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14" sheetId="11"/>
    <sheet name="Reconciliation" r:id="rId3" sheetId="1"/>
    <sheet name="1" r:id="rId5" sheetId="3"/>
    <sheet name="10" r:id="rId6" sheetId="4"/>
    <sheet name="23" r:id="rId7" sheetId="5"/>
    <sheet name="55" r:id="rId8" sheetId="6"/>
    <sheet name="61" r:id="rId9" sheetId="7"/>
    <sheet name="74" r:id="rId10" sheetId="8"/>
    <sheet name="79" r:id="rId11" sheetId="9"/>
    <sheet name="94" r:id="rId12" sheetId="10"/>
    <sheet name="Part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,###0.00"/>
    <numFmt numFmtId="165" formatCode="#,###,###0"/>
  </numFmts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5" fontId="0" fillId="0" borderId="8" xfId="0" applyBorder="true" applyNumberFormat="true"/>
    <xf numFmtId="0" fontId="0" fillId="0" borderId="8" xfId="0" applyBorder="true" applyAlignment="true">
      <alignment horizontal="right"/>
    </xf>
    <xf numFmtId="0" fontId="1" fillId="0" borderId="8" xfId="0" applyBorder="true" applyAlignment="true" applyFont="true">
      <alignment horizontal="left"/>
    </xf>
    <xf numFmtId="0" fontId="2" fillId="3" borderId="8" xfId="0" applyBorder="true" applyFill="true" applyAlignment="true" applyFont="true">
      <alignment wrapText="true" horizontal="center"/>
    </xf>
    <xf numFmtId="165" fontId="0" fillId="5" borderId="8" xfId="0" applyBorder="true" applyFill="true" applyNumberFormat="true"/>
    <xf numFmtId="0" fontId="0" fillId="3" borderId="8" xfId="0" applyBorder="true" applyFill="true"/>
    <xf numFmtId="165" fontId="0" fillId="3" borderId="8" xfId="0" applyBorder="true" applyFill="true" applyNumberFormat="true"/>
    <xf numFmtId="0" fontId="3" fillId="3" borderId="8" xfId="0" applyBorder="true" applyFill="true" applyFont="true">
      <alignment wrapText="true"/>
    </xf>
    <xf numFmtId="0" fontId="4" fillId="7" borderId="8" xfId="0" applyBorder="true" applyFill="true" applyFont="true">
      <alignment wrapText="true"/>
    </xf>
    <xf numFmtId="0" fontId="5" fillId="5" borderId="8" xfId="0" applyBorder="true" applyFill="true" applyFont="true">
      <alignment wrapText="true"/>
    </xf>
    <xf numFmtId="0" fontId="6" fillId="5" borderId="8" xfId="0" applyBorder="true" applyFill="true" applyFont="true">
      <alignment wrapText="true"/>
    </xf>
    <xf numFmtId="0" fontId="7" fillId="9" borderId="8" xfId="0" applyBorder="true" applyFill="true" applyFont="true">
      <alignment wrapText="true"/>
    </xf>
    <xf numFmtId="0" fontId="8" fillId="11" borderId="8" xfId="0" applyBorder="true" applyFill="true" applyFont="true">
      <alignment wrapText="true"/>
    </xf>
    <xf numFmtId="0" fontId="9" fillId="11" borderId="8" xfId="0" applyBorder="true" applyFill="true" applyFont="true">
      <alignment wrapText="true"/>
    </xf>
    <xf numFmtId="164" fontId="0" fillId="0" borderId="8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</cols>
  <sheetData>
    <row r="1">
      <c r="A1" s="8" t="inlineStr">
        <is>
          <t>Company Id</t>
        </is>
      </c>
      <c r="B1" s="8" t="inlineStr">
        <is>
          <t>Party Id</t>
        </is>
      </c>
      <c r="C1" s="8" t="inlineStr">
        <is>
          <t>Matched Id</t>
        </is>
      </c>
      <c r="D1" s="8" t="inlineStr">
        <is>
          <t>Status</t>
        </is>
      </c>
      <c r="E1" s="8" t="inlineStr">
        <is>
          <t>Classification</t>
        </is>
      </c>
      <c r="F1" s="9" t="inlineStr">
        <is>
          <t>Company Statement Type</t>
        </is>
      </c>
      <c r="G1" s="9" t="inlineStr">
        <is>
          <t>Company Invoice Date</t>
        </is>
      </c>
      <c r="H1" s="9" t="inlineStr">
        <is>
          <t>Company Invoice Number</t>
        </is>
      </c>
      <c r="I1" s="9" t="inlineStr">
        <is>
          <t>Company DocType</t>
        </is>
      </c>
      <c r="J1" s="9" t="inlineStr">
        <is>
          <t>Company Original DocType</t>
        </is>
      </c>
      <c r="K1" s="9" t="inlineStr">
        <is>
          <t>Company Narration</t>
        </is>
      </c>
      <c r="L1" s="9" t="inlineStr">
        <is>
          <t>Company Amount</t>
        </is>
      </c>
      <c r="M1" s="11" t="inlineStr">
        <is>
          <t>Party Statement Type</t>
        </is>
      </c>
      <c r="N1" s="11" t="inlineStr">
        <is>
          <t>Party Invoice Date</t>
        </is>
      </c>
      <c r="O1" s="11" t="inlineStr">
        <is>
          <t>Party Invoice Number</t>
        </is>
      </c>
      <c r="P1" s="11" t="inlineStr">
        <is>
          <t>Party DocType</t>
        </is>
      </c>
      <c r="Q1" s="11" t="inlineStr">
        <is>
          <t>Party Original DocType</t>
        </is>
      </c>
      <c r="R1" s="11" t="inlineStr">
        <is>
          <t>Party Narration</t>
        </is>
      </c>
      <c r="S1" s="11" t="inlineStr">
        <is>
          <t>Party Amount</t>
        </is>
      </c>
      <c r="T1" s="12" t="inlineStr">
        <is>
          <t>Difference</t>
        </is>
      </c>
      <c r="U1" s="8" t="inlineStr">
        <is>
          <t>Matched Rule</t>
        </is>
      </c>
      <c r="V1" s="8" t="inlineStr">
        <is>
          <t>Reco Data &amp; Time</t>
        </is>
      </c>
      <c r="W1" s="8" t="inlineStr">
        <is>
          <t>Remark</t>
        </is>
      </c>
      <c r="X1" s="13" t="inlineStr">
        <is>
          <t>Party Code</t>
        </is>
      </c>
      <c r="Y1" s="13" t="inlineStr">
        <is>
          <t>Daybook Name</t>
        </is>
      </c>
      <c r="Z1" s="9" t="inlineStr">
        <is>
          <t>Company Clearing Document Number</t>
        </is>
      </c>
      <c r="AA1" s="9" t="inlineStr">
        <is>
          <t>Company Clearing Date</t>
        </is>
      </c>
      <c r="AB1" s="9" t="inlineStr">
        <is>
          <t>Company TDS Amount</t>
        </is>
      </c>
      <c r="AC1" s="9" t="inlineStr">
        <is>
          <t>Company Posting Date</t>
        </is>
      </c>
      <c r="AD1" s="13" t="inlineStr">
        <is>
          <t>Company Code</t>
        </is>
      </c>
      <c r="AE1" s="13" t="inlineStr">
        <is>
          <t>Supplier</t>
        </is>
      </c>
      <c r="AF1" s="13" t="inlineStr">
        <is>
          <t>Document Number</t>
        </is>
      </c>
      <c r="AG1" s="13" t="inlineStr">
        <is>
          <t>Business Area</t>
        </is>
      </c>
      <c r="AH1" s="13" t="inlineStr">
        <is>
          <t>Assignment</t>
        </is>
      </c>
      <c r="AI1" s="13" t="inlineStr">
        <is>
          <t>Document Header Text</t>
        </is>
      </c>
      <c r="AJ1" s="13" t="inlineStr">
        <is>
          <t>Tax Code</t>
        </is>
      </c>
      <c r="AK1" s="13" t="inlineStr">
        <is>
          <t>Year/Month</t>
        </is>
      </c>
      <c r="AL1" s="13" t="inlineStr">
        <is>
          <t>Reference</t>
        </is>
      </c>
      <c r="AM1" s="13" t="inlineStr">
        <is>
          <t>Profit Center</t>
        </is>
      </c>
      <c r="AN1" s="13" t="inlineStr">
        <is>
          <t>Posting Date</t>
        </is>
      </c>
      <c r="AO1" s="13" t="inlineStr">
        <is>
          <t>Amount in Doc. Curr.</t>
        </is>
      </c>
      <c r="AP1" s="13" t="inlineStr">
        <is>
          <t>Document Currency</t>
        </is>
      </c>
      <c r="AQ1" s="13" t="inlineStr">
        <is>
          <t>Local Currency</t>
        </is>
      </c>
      <c r="AR1" s="13" t="inlineStr">
        <is>
          <t>Entry Date</t>
        </is>
      </c>
      <c r="AS1" s="13" t="inlineStr">
        <is>
          <t>Withhldg Tax Base Amount</t>
        </is>
      </c>
      <c r="AT1" s="13" t="inlineStr">
        <is>
          <t>Payment Date</t>
        </is>
      </c>
    </row>
    <row r="2">
      <c r="A2" s="1" t="inlineStr">
        <is>
          <t>60d2443b-0fb1-44e4-97fe-53fbdfc65b46</t>
        </is>
      </c>
      <c r="B2" s="1" t="inlineStr">
        <is>
          <t>4b10c103-35ae-417f-b854-efa1a8945391</t>
        </is>
      </c>
      <c r="C2" s="1" t="inlineStr">
        <is>
          <t>05185f70-d145-3675-9617-30ad2c62d476</t>
        </is>
      </c>
      <c r="D2" s="1" t="inlineStr">
        <is>
          <t>Reconciled</t>
        </is>
      </c>
      <c r="E2" s="1" t="inlineStr">
        <is>
          <t>Amount Matched - Recommended</t>
        </is>
      </c>
      <c r="F2" s="1" t="inlineStr">
        <is>
          <t>ledger</t>
        </is>
      </c>
      <c r="G2" s="1" t="inlineStr">
        <is>
          <t>21-08-2025</t>
        </is>
      </c>
      <c r="H2" s="1" t="inlineStr">
        <is>
          <t>ANK2526/DBN00007</t>
        </is>
      </c>
      <c r="I2" s="1" t="inlineStr">
        <is>
          <t>invoice</t>
        </is>
      </c>
      <c r="J2" s="1" t="inlineStr">
        <is>
          <t>MA</t>
        </is>
      </c>
      <c r="K2" s="1" t="inlineStr">
        <is>
          <t>MENOTROPIN IP (GUF)</t>
        </is>
      </c>
      <c r="L2" s="15" t="n">
        <v>-817740.0</v>
      </c>
      <c r="M2" s="1" t="inlineStr">
        <is>
          <t>ledger</t>
        </is>
      </c>
      <c r="N2" s="1" t="inlineStr">
        <is>
          <t>31-10-2025</t>
        </is>
      </c>
      <c r="O2" s="1" t="inlineStr">
        <is>
          <t xml:space="preserve">ANK2526/DBN00007      </t>
        </is>
      </c>
      <c r="P2" s="1" t="inlineStr">
        <is>
          <t>creditNote</t>
        </is>
      </c>
      <c r="Q2" s="1" t="inlineStr">
        <is>
          <t>CN</t>
        </is>
      </c>
      <c r="R2" s="1"/>
      <c r="S2" s="15" t="n">
        <v>817740.0</v>
      </c>
      <c r="T2" s="1" t="n">
        <v>0.0</v>
      </c>
      <c r="U2" s="1" t="inlineStr">
        <is>
          <t>SEC-CN1.1-party</t>
        </is>
      </c>
      <c r="V2" s="1" t="inlineStr">
        <is>
          <t>19-Jun-26 10:16 AM</t>
        </is>
      </c>
      <c r="W2" s="1" t="inlineStr">
        <is>
          <t/>
        </is>
      </c>
      <c r="X2" s="1" t="inlineStr">
        <is>
          <t>AAACL0820G</t>
        </is>
      </c>
      <c r="Y2" s="1"/>
      <c r="Z2" s="1" t="inlineStr">
        <is>
          <t>7053033057</t>
        </is>
      </c>
      <c r="AA2" s="1" t="inlineStr">
        <is>
          <t/>
        </is>
      </c>
      <c r="AB2" s="1" t="n">
        <v>0.0</v>
      </c>
      <c r="AC2" s="1" t="inlineStr">
        <is>
          <t/>
        </is>
      </c>
      <c r="AD2" t="inlineStr">
        <is>
          <t>EPL</t>
        </is>
      </c>
      <c r="AE2" t="inlineStr">
        <is>
          <t>5906</t>
        </is>
      </c>
      <c r="AF2" t="inlineStr">
        <is>
          <t>6000007609</t>
        </is>
      </c>
      <c r="AG2" t="inlineStr">
        <is>
          <t>EP00</t>
        </is>
      </c>
      <c r="AH2" t="inlineStr">
        <is>
          <t>ANK2526/DBN00007</t>
        </is>
      </c>
      <c r="AI2" t="inlineStr">
        <is>
          <t>ANK2526/DBN00007</t>
        </is>
      </c>
      <c r="AJ2" t="inlineStr">
        <is>
          <t>IA</t>
        </is>
      </c>
      <c r="AK2" t="inlineStr">
        <is>
          <t>2025/05</t>
        </is>
      </c>
      <c r="AL2" t="inlineStr">
        <is>
          <t>ELL2</t>
        </is>
      </c>
      <c r="AM2" t="inlineStr">
        <is>
          <t>2500</t>
        </is>
      </c>
      <c r="AN2" t="inlineStr">
        <is>
          <t>25-08-2025</t>
        </is>
      </c>
      <c r="AO2" t="inlineStr">
        <is>
          <t>-817740</t>
        </is>
      </c>
      <c r="AP2" t="inlineStr">
        <is>
          <t>INR</t>
        </is>
      </c>
      <c r="AQ2" t="inlineStr">
        <is>
          <t>INR</t>
        </is>
      </c>
      <c r="AR2" t="inlineStr">
        <is>
          <t>25-08-2025</t>
        </is>
      </c>
      <c r="AS2" t="inlineStr">
        <is>
          <t>-693000</t>
        </is>
      </c>
      <c r="AT2" t="inlineStr">
        <is>
          <t>21-08-2025</t>
        </is>
      </c>
    </row>
    <row r="3">
      <c r="A3" s="1" t="inlineStr">
        <is>
          <t>e3064d9b-36d2-47c3-b614-7a93582dac31</t>
        </is>
      </c>
      <c r="B3" s="1" t="inlineStr">
        <is>
          <t>4bf4f1e8-4ea0-4ebd-a461-51858d4a1d59</t>
        </is>
      </c>
      <c r="C3" s="1" t="inlineStr">
        <is>
          <t>05f4488d-878f-3ab2-a045-a82fee6d3bcb</t>
        </is>
      </c>
      <c r="D3" s="1" t="inlineStr">
        <is>
          <t>TDS Booked by Party</t>
        </is>
      </c>
      <c r="E3" s="1" t="inlineStr">
        <is>
          <t>Date and Amount Matched - Recommended</t>
        </is>
      </c>
      <c r="F3" s="1" t="inlineStr">
        <is>
          <t>ledger</t>
        </is>
      </c>
      <c r="G3" s="1" t="inlineStr">
        <is>
          <t>16-05-2025</t>
        </is>
      </c>
      <c r="H3" s="1" t="inlineStr">
        <is>
          <t>7053007500</t>
        </is>
      </c>
      <c r="I3" s="1" t="inlineStr">
        <is>
          <t>payment</t>
        </is>
      </c>
      <c r="J3" s="1" t="inlineStr">
        <is>
          <t>KZ</t>
        </is>
      </c>
      <c r="K3" s="1"/>
      <c r="L3" s="15" t="n">
        <v>1359585.0</v>
      </c>
      <c r="M3" s="1" t="inlineStr">
        <is>
          <t>ledger</t>
        </is>
      </c>
      <c r="N3" s="1" t="inlineStr">
        <is>
          <t>16-05-2025</t>
        </is>
      </c>
      <c r="O3" s="1" t="inlineStr">
        <is>
          <t>UTIBN62025051618331475</t>
        </is>
      </c>
      <c r="P3" s="1" t="inlineStr">
        <is>
          <t>payment</t>
        </is>
      </c>
      <c r="Q3" s="1" t="inlineStr">
        <is>
          <t>Receipt</t>
        </is>
      </c>
      <c r="R3" s="1"/>
      <c r="S3" s="15" t="n">
        <v>-1360800.0</v>
      </c>
      <c r="T3" s="1" t="n">
        <v>-1215.0</v>
      </c>
      <c r="U3" s="1" t="inlineStr">
        <is>
          <t>SEC-PAY3.1-company</t>
        </is>
      </c>
      <c r="V3" s="1" t="inlineStr">
        <is>
          <t>19-Jun-26 10:16 AM</t>
        </is>
      </c>
      <c r="W3" s="1" t="inlineStr">
        <is>
          <t/>
        </is>
      </c>
      <c r="X3" s="1" t="inlineStr">
        <is>
          <t>AAACL0820G</t>
        </is>
      </c>
      <c r="Y3" s="1"/>
      <c r="Z3" s="1" t="inlineStr">
        <is>
          <t>7053007500</t>
        </is>
      </c>
      <c r="AA3" s="1" t="inlineStr">
        <is>
          <t/>
        </is>
      </c>
      <c r="AB3" s="1" t="n">
        <v>0.0</v>
      </c>
      <c r="AC3" s="1" t="inlineStr">
        <is>
          <t/>
        </is>
      </c>
      <c r="AD3" t="inlineStr">
        <is>
          <t>EPL</t>
        </is>
      </c>
      <c r="AE3" t="inlineStr">
        <is>
          <t>5276</t>
        </is>
      </c>
      <c r="AF3" t="inlineStr">
        <is>
          <t>7053007500</t>
        </is>
      </c>
      <c r="AG3" t="inlineStr">
        <is>
          <t>EP00</t>
        </is>
      </c>
      <c r="AH3" t="inlineStr">
        <is>
          <t>20250516-SJW10</t>
        </is>
      </c>
      <c r="AI3" t="inlineStr">
        <is>
          <t>20250516-SJW10</t>
        </is>
      </c>
      <c r="AJ3" t="inlineStr">
        <is>
          <t/>
        </is>
      </c>
      <c r="AK3" t="inlineStr">
        <is>
          <t>2025/02</t>
        </is>
      </c>
      <c r="AL3" t="inlineStr">
        <is>
          <t/>
        </is>
      </c>
      <c r="AM3" t="inlineStr">
        <is>
          <t>ENNOVA</t>
        </is>
      </c>
      <c r="AN3" t="inlineStr">
        <is>
          <t>16-05-2025</t>
        </is>
      </c>
      <c r="AO3" t="inlineStr">
        <is>
          <t>1359585</t>
        </is>
      </c>
      <c r="AP3" t="inlineStr">
        <is>
          <t>INR</t>
        </is>
      </c>
      <c r="AQ3" t="inlineStr">
        <is>
          <t>INR</t>
        </is>
      </c>
      <c r="AR3" t="inlineStr">
        <is>
          <t>16-05-2025</t>
        </is>
      </c>
      <c r="AS3" t="inlineStr">
        <is>
          <t>1215000</t>
        </is>
      </c>
      <c r="AT3" t="inlineStr">
        <is>
          <t>16-05-2025</t>
        </is>
      </c>
    </row>
    <row r="4">
      <c r="A4" s="1" t="inlineStr">
        <is>
          <t>1db31cc9-1852-40e3-bee5-b9bac353c1f8</t>
        </is>
      </c>
      <c r="B4" s="1" t="inlineStr">
        <is>
          <t>af5535ab-0511-49c1-9292-8a5e1ca4c2b7</t>
        </is>
      </c>
      <c r="C4" s="1" t="inlineStr">
        <is>
          <t>0ea3ba69-0b5b-3e90-be9d-f02df002b4d7</t>
        </is>
      </c>
      <c r="D4" s="1" t="inlineStr">
        <is>
          <t>Reconciled</t>
        </is>
      </c>
      <c r="E4" s="1" t="inlineStr">
        <is>
          <t>Date and Amount Matched</t>
        </is>
      </c>
      <c r="F4" s="1" t="inlineStr">
        <is>
          <t>ledger</t>
        </is>
      </c>
      <c r="G4" s="1" t="inlineStr">
        <is>
          <t>25-07-2025</t>
        </is>
      </c>
      <c r="H4" s="1" t="inlineStr">
        <is>
          <t>7053020673</t>
        </is>
      </c>
      <c r="I4" s="1" t="inlineStr">
        <is>
          <t>payment</t>
        </is>
      </c>
      <c r="J4" s="1" t="inlineStr">
        <is>
          <t>KZ</t>
        </is>
      </c>
      <c r="K4" s="1"/>
      <c r="L4" s="15" t="n">
        <v>3940384.0</v>
      </c>
      <c r="M4" s="1" t="inlineStr">
        <is>
          <t>ledger</t>
        </is>
      </c>
      <c r="N4" s="1" t="inlineStr">
        <is>
          <t>25-07-2025</t>
        </is>
      </c>
      <c r="O4" s="1" t="inlineStr">
        <is>
          <t>UTIBR72025072500076328</t>
        </is>
      </c>
      <c r="P4" s="1" t="inlineStr">
        <is>
          <t>payment</t>
        </is>
      </c>
      <c r="Q4" s="1" t="inlineStr">
        <is>
          <t>Receipt</t>
        </is>
      </c>
      <c r="R4" s="1"/>
      <c r="S4" s="15" t="n">
        <v>-3940384.0</v>
      </c>
      <c r="T4" s="1" t="n">
        <v>0.0</v>
      </c>
      <c r="U4" s="1" t="inlineStr">
        <is>
          <t>PRI-PAY10.1-company</t>
        </is>
      </c>
      <c r="V4" s="1" t="inlineStr">
        <is>
          <t>19-Jun-26 10:16 AM</t>
        </is>
      </c>
      <c r="W4" s="1" t="inlineStr">
        <is>
          <t/>
        </is>
      </c>
      <c r="X4" s="1" t="inlineStr">
        <is>
          <t>AAACL0820G</t>
        </is>
      </c>
      <c r="Y4" s="1"/>
      <c r="Z4" s="1" t="inlineStr">
        <is>
          <t>7053020673</t>
        </is>
      </c>
      <c r="AA4" s="1" t="inlineStr">
        <is>
          <t/>
        </is>
      </c>
      <c r="AB4" s="1" t="n">
        <v>0.0</v>
      </c>
      <c r="AC4" s="1" t="inlineStr">
        <is>
          <t/>
        </is>
      </c>
      <c r="AD4" t="inlineStr">
        <is>
          <t>EPL</t>
        </is>
      </c>
      <c r="AE4" t="inlineStr">
        <is>
          <t>5906</t>
        </is>
      </c>
      <c r="AF4" t="inlineStr">
        <is>
          <t>7053020673</t>
        </is>
      </c>
      <c r="AG4" t="inlineStr">
        <is>
          <t>EP00</t>
        </is>
      </c>
      <c r="AH4" t="inlineStr">
        <is>
          <t>20250725-SJH10</t>
        </is>
      </c>
      <c r="AI4" t="inlineStr">
        <is>
          <t>20250725-SJH10</t>
        </is>
      </c>
      <c r="AJ4" t="inlineStr">
        <is>
          <t/>
        </is>
      </c>
      <c r="AK4" t="inlineStr">
        <is>
          <t>2025/04</t>
        </is>
      </c>
      <c r="AL4" t="inlineStr">
        <is>
          <t/>
        </is>
      </c>
      <c r="AM4" t="inlineStr">
        <is>
          <t>XENNEA</t>
        </is>
      </c>
      <c r="AN4" t="inlineStr">
        <is>
          <t>25-07-2025</t>
        </is>
      </c>
      <c r="AO4" t="inlineStr">
        <is>
          <t>3940384</t>
        </is>
      </c>
      <c r="AP4" t="inlineStr">
        <is>
          <t>INR</t>
        </is>
      </c>
      <c r="AQ4" t="inlineStr">
        <is>
          <t>INR</t>
        </is>
      </c>
      <c r="AR4" t="inlineStr">
        <is>
          <t>25-07-2025</t>
        </is>
      </c>
      <c r="AS4" t="inlineStr">
        <is>
          <t>3518200</t>
        </is>
      </c>
      <c r="AT4" t="inlineStr">
        <is>
          <t>25-07-2025</t>
        </is>
      </c>
    </row>
    <row r="5">
      <c r="A5" s="1" t="inlineStr">
        <is>
          <t>06b4cbc1-df7c-4dc2-a5e5-e3ed11468e91</t>
        </is>
      </c>
      <c r="B5" s="1" t="inlineStr">
        <is>
          <t>45a5cece-d771-4b25-a062-d0c539fffa26</t>
        </is>
      </c>
      <c r="C5" s="1" t="inlineStr">
        <is>
          <t>1395c5ae-873f-3f8b-ae53-ab71616636e5</t>
        </is>
      </c>
      <c r="D5" s="1" t="inlineStr">
        <is>
          <t>TDS Booked by Party</t>
        </is>
      </c>
      <c r="E5" s="1" t="inlineStr">
        <is>
          <t>Multiple Based on Date</t>
        </is>
      </c>
      <c r="F5" s="1" t="inlineStr">
        <is>
          <t>ledger</t>
        </is>
      </c>
      <c r="G5" s="1" t="inlineStr">
        <is>
          <t>08-10-2025</t>
        </is>
      </c>
      <c r="H5" s="1" t="inlineStr">
        <is>
          <t>7053032927</t>
        </is>
      </c>
      <c r="I5" s="1" t="inlineStr">
        <is>
          <t>payment</t>
        </is>
      </c>
      <c r="J5" s="1" t="inlineStr">
        <is>
          <t>KZ</t>
        </is>
      </c>
      <c r="K5" s="1"/>
      <c r="L5" s="15" t="n">
        <v>99742.0</v>
      </c>
      <c r="M5" s="1" t="inlineStr">
        <is>
          <t>ledger</t>
        </is>
      </c>
      <c r="N5" s="1" t="inlineStr">
        <is>
          <t>08-10-2025</t>
        </is>
      </c>
      <c r="O5" s="1" t="inlineStr">
        <is>
          <t>UTIBR72025100800060307</t>
        </is>
      </c>
      <c r="P5" s="1" t="inlineStr">
        <is>
          <t>payment</t>
        </is>
      </c>
      <c r="Q5" s="1" t="inlineStr">
        <is>
          <t>Receipt</t>
        </is>
      </c>
      <c r="R5" s="1"/>
      <c r="S5" s="15" t="n">
        <v>-258892.0</v>
      </c>
      <c r="T5" s="1" t="n">
        <v>0.0</v>
      </c>
      <c r="U5" s="1" t="inlineStr">
        <is>
          <t>PRI-PAY5.2-company</t>
        </is>
      </c>
      <c r="V5" s="1" t="inlineStr">
        <is>
          <t>19-Jun-26 10:16 AM</t>
        </is>
      </c>
      <c r="W5" s="1" t="inlineStr">
        <is>
          <t/>
        </is>
      </c>
      <c r="X5" s="1" t="inlineStr">
        <is>
          <t>AAACL0820G</t>
        </is>
      </c>
      <c r="Y5" s="1"/>
      <c r="Z5" s="1" t="inlineStr">
        <is>
          <t>7053032927</t>
        </is>
      </c>
      <c r="AA5" s="1" t="inlineStr">
        <is>
          <t/>
        </is>
      </c>
      <c r="AB5" s="1" t="n">
        <v>0.0</v>
      </c>
      <c r="AC5" s="1" t="inlineStr">
        <is>
          <t/>
        </is>
      </c>
      <c r="AD5" t="inlineStr">
        <is>
          <t>EPL</t>
        </is>
      </c>
      <c r="AE5" t="inlineStr">
        <is>
          <t>5159</t>
        </is>
      </c>
      <c r="AF5" t="inlineStr">
        <is>
          <t>7053032927</t>
        </is>
      </c>
      <c r="AG5" t="inlineStr">
        <is>
          <t>EP00</t>
        </is>
      </c>
      <c r="AH5" t="inlineStr">
        <is>
          <t>20251008-SJH10</t>
        </is>
      </c>
      <c r="AI5" t="inlineStr">
        <is>
          <t>20251008-SJH10</t>
        </is>
      </c>
      <c r="AJ5" t="inlineStr">
        <is>
          <t/>
        </is>
      </c>
      <c r="AK5" t="inlineStr">
        <is>
          <t>2025/07</t>
        </is>
      </c>
      <c r="AL5" t="inlineStr">
        <is>
          <t/>
        </is>
      </c>
      <c r="AM5" t="inlineStr">
        <is>
          <t>2500</t>
        </is>
      </c>
      <c r="AN5" t="inlineStr">
        <is>
          <t>08-10-2025</t>
        </is>
      </c>
      <c r="AO5" t="inlineStr">
        <is>
          <t>99742</t>
        </is>
      </c>
      <c r="AP5" t="inlineStr">
        <is>
          <t>INR</t>
        </is>
      </c>
      <c r="AQ5" t="inlineStr">
        <is>
          <t>INR</t>
        </is>
      </c>
      <c r="AR5" t="inlineStr">
        <is>
          <t>08-10-2025</t>
        </is>
      </c>
      <c r="AS5" t="inlineStr">
        <is>
          <t>90675</t>
        </is>
      </c>
      <c r="AT5" t="inlineStr">
        <is>
          <t>08-10-2025</t>
        </is>
      </c>
    </row>
    <row r="6">
      <c r="A6" s="1" t="inlineStr">
        <is>
          <t>77c42784-11ca-4039-a04e-9fc050e211d9</t>
        </is>
      </c>
      <c r="B6" s="1" t="inlineStr">
        <is>
          <t>c0ac7d01-7b9c-40c6-abca-c0fdf6d3a1c1</t>
        </is>
      </c>
      <c r="C6" s="1" t="inlineStr">
        <is>
          <t>1395c5ae-873f-3f8b-ae53-ab71616636e5</t>
        </is>
      </c>
      <c r="D6" s="1" t="inlineStr">
        <is>
          <t>TDS Booked by Party</t>
        </is>
      </c>
      <c r="E6" s="1" t="inlineStr">
        <is>
          <t>Multiple Based on Date</t>
        </is>
      </c>
      <c r="F6" s="1" t="inlineStr">
        <is>
          <t>ledger</t>
        </is>
      </c>
      <c r="G6" s="1" t="inlineStr">
        <is>
          <t>08-10-2025</t>
        </is>
      </c>
      <c r="H6" s="1" t="inlineStr">
        <is>
          <t>7053032930</t>
        </is>
      </c>
      <c r="I6" s="1" t="inlineStr">
        <is>
          <t>payment</t>
        </is>
      </c>
      <c r="J6" s="1" t="inlineStr">
        <is>
          <t>KZ</t>
        </is>
      </c>
      <c r="K6" s="1"/>
      <c r="L6" s="15" t="n">
        <v>257573.8</v>
      </c>
      <c r="M6" s="1" t="inlineStr">
        <is>
          <t>ledger</t>
        </is>
      </c>
      <c r="N6" s="1" t="inlineStr">
        <is>
          <t>08-10-2025</t>
        </is>
      </c>
      <c r="O6" s="1" t="inlineStr">
        <is>
          <t xml:space="preserve">AXISCN1112025593      </t>
        </is>
      </c>
      <c r="P6" s="1" t="inlineStr">
        <is>
          <t>payment</t>
        </is>
      </c>
      <c r="Q6" s="1" t="inlineStr">
        <is>
          <t>Receipt</t>
        </is>
      </c>
      <c r="R6" s="1"/>
      <c r="S6" s="15" t="n">
        <v>-101556.0</v>
      </c>
      <c r="T6" s="1" t="n">
        <v>0.0</v>
      </c>
      <c r="U6" s="1" t="inlineStr">
        <is>
          <t>PRI-PAY5.2-company</t>
        </is>
      </c>
      <c r="V6" s="1" t="inlineStr">
        <is>
          <t>19-Jun-26 10:16 AM</t>
        </is>
      </c>
      <c r="W6" s="1" t="inlineStr">
        <is>
          <t/>
        </is>
      </c>
      <c r="X6" s="1" t="inlineStr">
        <is>
          <t>AAACL0820G</t>
        </is>
      </c>
      <c r="Y6" s="1"/>
      <c r="Z6" s="1" t="inlineStr">
        <is>
          <t>7053032930</t>
        </is>
      </c>
      <c r="AA6" s="1" t="inlineStr">
        <is>
          <t/>
        </is>
      </c>
      <c r="AB6" s="1" t="n">
        <v>0.0</v>
      </c>
      <c r="AC6" s="1" t="inlineStr">
        <is>
          <t/>
        </is>
      </c>
      <c r="AD6" t="inlineStr">
        <is>
          <t>EPL</t>
        </is>
      </c>
      <c r="AE6" t="inlineStr">
        <is>
          <t>5276</t>
        </is>
      </c>
      <c r="AF6" t="inlineStr">
        <is>
          <t>7053032930</t>
        </is>
      </c>
      <c r="AG6" t="inlineStr">
        <is>
          <t>EP00</t>
        </is>
      </c>
      <c r="AH6" t="inlineStr">
        <is>
          <t>20251008-SJH10</t>
        </is>
      </c>
      <c r="AI6" t="inlineStr">
        <is>
          <t>20251008-SJH10</t>
        </is>
      </c>
      <c r="AJ6" t="inlineStr">
        <is>
          <t/>
        </is>
      </c>
      <c r="AK6" t="inlineStr">
        <is>
          <t>2025/07</t>
        </is>
      </c>
      <c r="AL6" t="inlineStr">
        <is>
          <t/>
        </is>
      </c>
      <c r="AM6" t="inlineStr">
        <is>
          <t>2500</t>
        </is>
      </c>
      <c r="AN6" t="inlineStr">
        <is>
          <t>08-10-2025</t>
        </is>
      </c>
      <c r="AO6" t="inlineStr">
        <is>
          <t>257573.8</t>
        </is>
      </c>
      <c r="AP6" t="inlineStr">
        <is>
          <t>INR</t>
        </is>
      </c>
      <c r="AQ6" t="inlineStr">
        <is>
          <t>INR</t>
        </is>
      </c>
      <c r="AR6" t="inlineStr">
        <is>
          <t>08-10-2025</t>
        </is>
      </c>
      <c r="AS6" t="inlineStr">
        <is>
          <t>222190</t>
        </is>
      </c>
      <c r="AT6" t="inlineStr">
        <is>
          <t>08-10-2025</t>
        </is>
      </c>
    </row>
    <row r="7">
      <c r="A7" s="1" t="inlineStr">
        <is>
          <t>c9413937-a0a2-440e-afed-243116b6bb39</t>
        </is>
      </c>
      <c r="B7" s="1" t="inlineStr">
        <is>
          <t>e052f7df-7a34-409c-820d-426b4b035581</t>
        </is>
      </c>
      <c r="C7" s="1" t="inlineStr">
        <is>
          <t>1395c5ae-873f-3f8b-ae53-ab71616636e5</t>
        </is>
      </c>
      <c r="D7" s="1" t="inlineStr">
        <is>
          <t>TDS Booked by Party</t>
        </is>
      </c>
      <c r="E7" s="1" t="inlineStr">
        <is>
          <t>Multiple Based on Date</t>
        </is>
      </c>
      <c r="F7" s="1" t="inlineStr">
        <is>
          <t>ledger</t>
        </is>
      </c>
      <c r="G7" s="1" t="inlineStr">
        <is>
          <t>08-10-2025</t>
        </is>
      </c>
      <c r="H7" s="1" t="inlineStr">
        <is>
          <t>7053033057</t>
        </is>
      </c>
      <c r="I7" s="1" t="inlineStr">
        <is>
          <t>payment</t>
        </is>
      </c>
      <c r="J7" s="1" t="inlineStr">
        <is>
          <t>KZ</t>
        </is>
      </c>
      <c r="K7" s="1"/>
      <c r="L7" s="15" t="n">
        <v>817740.0</v>
      </c>
      <c r="M7" s="1" t="inlineStr">
        <is>
          <t>ledger</t>
        </is>
      </c>
      <c r="N7" s="1" t="inlineStr">
        <is>
          <t>08-10-2025</t>
        </is>
      </c>
      <c r="O7" s="1" t="inlineStr">
        <is>
          <t xml:space="preserve">AXISCN1112157656      </t>
        </is>
      </c>
      <c r="P7" s="1" t="inlineStr">
        <is>
          <t>payment</t>
        </is>
      </c>
      <c r="Q7" s="1" t="inlineStr">
        <is>
          <t>Receipt</t>
        </is>
      </c>
      <c r="R7" s="1"/>
      <c r="S7" s="15" t="n">
        <v>-817740.0</v>
      </c>
      <c r="T7" s="1" t="n">
        <v>-3132.1999999999534</v>
      </c>
      <c r="U7" s="1" t="inlineStr">
        <is>
          <t>PRI-PAY5.2-company</t>
        </is>
      </c>
      <c r="V7" s="1" t="inlineStr">
        <is>
          <t>19-Jun-26 10:16 AM</t>
        </is>
      </c>
      <c r="W7" s="1" t="inlineStr">
        <is>
          <t/>
        </is>
      </c>
      <c r="X7" s="1" t="inlineStr">
        <is>
          <t>AAACL0820G</t>
        </is>
      </c>
      <c r="Y7" s="1"/>
      <c r="Z7" s="1" t="inlineStr">
        <is>
          <t>7053033057</t>
        </is>
      </c>
      <c r="AA7" s="1" t="inlineStr">
        <is>
          <t/>
        </is>
      </c>
      <c r="AB7" s="1" t="n">
        <v>0.0</v>
      </c>
      <c r="AC7" s="1" t="inlineStr">
        <is>
          <t/>
        </is>
      </c>
      <c r="AD7" t="inlineStr">
        <is>
          <t>EPL</t>
        </is>
      </c>
      <c r="AE7" t="inlineStr">
        <is>
          <t>5906</t>
        </is>
      </c>
      <c r="AF7" t="inlineStr">
        <is>
          <t>7053033057</t>
        </is>
      </c>
      <c r="AG7" t="inlineStr">
        <is>
          <t>EP00</t>
        </is>
      </c>
      <c r="AH7" t="inlineStr">
        <is>
          <t>20251008-MSESJ</t>
        </is>
      </c>
      <c r="AI7" t="inlineStr">
        <is>
          <t>20251008-MSESJ</t>
        </is>
      </c>
      <c r="AJ7" t="inlineStr">
        <is>
          <t/>
        </is>
      </c>
      <c r="AK7" t="inlineStr">
        <is>
          <t>2025/07</t>
        </is>
      </c>
      <c r="AL7" t="inlineStr">
        <is>
          <t/>
        </is>
      </c>
      <c r="AM7" t="inlineStr">
        <is>
          <t>2500</t>
        </is>
      </c>
      <c r="AN7" t="inlineStr">
        <is>
          <t>08-10-2025</t>
        </is>
      </c>
      <c r="AO7" t="inlineStr">
        <is>
          <t>817740</t>
        </is>
      </c>
      <c r="AP7" t="inlineStr">
        <is>
          <t>INR</t>
        </is>
      </c>
      <c r="AQ7" t="inlineStr">
        <is>
          <t>INR</t>
        </is>
      </c>
      <c r="AR7" t="inlineStr">
        <is>
          <t>08-10-2025</t>
        </is>
      </c>
      <c r="AS7" t="inlineStr">
        <is>
          <t>693000</t>
        </is>
      </c>
      <c r="AT7" t="inlineStr">
        <is>
          <t>08-10-2025</t>
        </is>
      </c>
    </row>
    <row r="8">
      <c r="A8" s="1" t="inlineStr">
        <is>
          <t>ee54b17a-3187-41c3-ad47-a9f5f3bb14a8</t>
        </is>
      </c>
      <c r="B8" s="1" t="inlineStr">
        <is>
          <t>f1fc1d2c-fb00-477d-8a75-09008d81a667</t>
        </is>
      </c>
      <c r="C8" s="1" t="inlineStr">
        <is>
          <t>16fef953-aaae-3c19-8966-746b3c3f8cfe</t>
        </is>
      </c>
      <c r="D8" s="1" t="inlineStr">
        <is>
          <t>Reconciled</t>
        </is>
      </c>
      <c r="E8" s="1" t="inlineStr">
        <is>
          <t>Invoice Number Matched</t>
        </is>
      </c>
      <c r="F8" s="1" t="inlineStr">
        <is>
          <t>ledger</t>
        </is>
      </c>
      <c r="G8" s="1" t="inlineStr">
        <is>
          <t>30-04-2025</t>
        </is>
      </c>
      <c r="H8" s="1" t="inlineStr">
        <is>
          <t>ANK2526/GIS00091</t>
        </is>
      </c>
      <c r="I8" s="1" t="inlineStr">
        <is>
          <t>invoice</t>
        </is>
      </c>
      <c r="J8" s="1" t="inlineStr">
        <is>
          <t>MF</t>
        </is>
      </c>
      <c r="K8" s="1" t="inlineStr">
        <is>
          <t>MATERNA DEPOT 3.75 MG INJ.[P2P]NSCH-ONCO</t>
        </is>
      </c>
      <c r="L8" s="15" t="n">
        <v>-3940384.0</v>
      </c>
      <c r="M8" s="1" t="inlineStr">
        <is>
          <t>ledger</t>
        </is>
      </c>
      <c r="N8" s="1" t="inlineStr">
        <is>
          <t>30-04-2025</t>
        </is>
      </c>
      <c r="O8" s="1" t="inlineStr">
        <is>
          <t xml:space="preserve">ANK2526/GIS00091      </t>
        </is>
      </c>
      <c r="P8" s="1" t="inlineStr">
        <is>
          <t>invoice</t>
        </is>
      </c>
      <c r="Q8" s="1" t="inlineStr">
        <is>
          <t>Sale</t>
        </is>
      </c>
      <c r="R8" s="1"/>
      <c r="S8" s="15" t="n">
        <v>3940384.0</v>
      </c>
      <c r="T8" s="1" t="n">
        <v>0.0</v>
      </c>
      <c r="U8" s="1" t="inlineStr">
        <is>
          <t>PRI-INV1.5_A-company</t>
        </is>
      </c>
      <c r="V8" s="1" t="inlineStr">
        <is>
          <t>19-Jun-26 10:16 AM</t>
        </is>
      </c>
      <c r="W8" s="1" t="inlineStr">
        <is>
          <t/>
        </is>
      </c>
      <c r="X8" s="1" t="inlineStr">
        <is>
          <t>AAACL0820G</t>
        </is>
      </c>
      <c r="Y8" s="1"/>
      <c r="Z8" s="1" t="inlineStr">
        <is>
          <t>7053020673</t>
        </is>
      </c>
      <c r="AA8" s="1" t="inlineStr">
        <is>
          <t/>
        </is>
      </c>
      <c r="AB8" s="1" t="n">
        <v>0.0</v>
      </c>
      <c r="AC8" s="1" t="inlineStr">
        <is>
          <t/>
        </is>
      </c>
      <c r="AD8" t="inlineStr">
        <is>
          <t>EPL</t>
        </is>
      </c>
      <c r="AE8" t="inlineStr">
        <is>
          <t>5906</t>
        </is>
      </c>
      <c r="AF8" t="inlineStr">
        <is>
          <t>6006000193</t>
        </is>
      </c>
      <c r="AG8" t="inlineStr">
        <is>
          <t>EP00</t>
        </is>
      </c>
      <c r="AH8" t="inlineStr">
        <is>
          <t>ANK2526/GIS00091</t>
        </is>
      </c>
      <c r="AI8" t="inlineStr">
        <is>
          <t>ANK2526/GIS00091</t>
        </is>
      </c>
      <c r="AJ8" t="inlineStr">
        <is>
          <t>I1</t>
        </is>
      </c>
      <c r="AK8" t="inlineStr">
        <is>
          <t>2025/02</t>
        </is>
      </c>
      <c r="AL8" t="inlineStr">
        <is>
          <t>EMHC</t>
        </is>
      </c>
      <c r="AM8" t="inlineStr">
        <is>
          <t>XENNEA</t>
        </is>
      </c>
      <c r="AN8" t="inlineStr">
        <is>
          <t>13-05-2025</t>
        </is>
      </c>
      <c r="AO8" t="inlineStr">
        <is>
          <t>-3940384</t>
        </is>
      </c>
      <c r="AP8" t="inlineStr">
        <is>
          <t>INR</t>
        </is>
      </c>
      <c r="AQ8" t="inlineStr">
        <is>
          <t>INR</t>
        </is>
      </c>
      <c r="AR8" t="inlineStr">
        <is>
          <t>13-05-2025</t>
        </is>
      </c>
      <c r="AS8" t="inlineStr">
        <is>
          <t>-3518200</t>
        </is>
      </c>
      <c r="AT8" t="inlineStr">
        <is>
          <t>12-05-2025</t>
        </is>
      </c>
    </row>
    <row r="9">
      <c r="A9" s="1" t="inlineStr">
        <is>
          <t>017f564b-f905-4d5a-9000-0baf92ea446c</t>
        </is>
      </c>
      <c r="B9" s="1" t="inlineStr">
        <is>
          <t>9a50f4c0-c21a-4aad-960a-713d5c03e0b6</t>
        </is>
      </c>
      <c r="C9" s="1" t="inlineStr">
        <is>
          <t>1991f216-b6cf-4890-8202-8b48ceaa8400</t>
        </is>
      </c>
      <c r="D9" s="1" t="inlineStr">
        <is>
          <t>TDS Booked by Party</t>
        </is>
      </c>
      <c r="E9" s="1" t="inlineStr">
        <is>
          <t>Payment Matched - Recommended</t>
        </is>
      </c>
      <c r="F9" s="1" t="inlineStr">
        <is>
          <t>ledger</t>
        </is>
      </c>
      <c r="G9" s="1" t="inlineStr">
        <is>
          <t>24-09-2025</t>
        </is>
      </c>
      <c r="H9" s="1" t="inlineStr">
        <is>
          <t>7053030340</t>
        </is>
      </c>
      <c r="I9" s="1" t="inlineStr">
        <is>
          <t>payment</t>
        </is>
      </c>
      <c r="J9" s="1" t="inlineStr">
        <is>
          <t>KZ</t>
        </is>
      </c>
      <c r="K9" s="1"/>
      <c r="L9" s="15" t="n">
        <v>1024095.52</v>
      </c>
      <c r="M9" s="1" t="inlineStr">
        <is>
          <t>ledger</t>
        </is>
      </c>
      <c r="N9" s="1" t="inlineStr">
        <is>
          <t>25-09-2025</t>
        </is>
      </c>
      <c r="O9" s="1" t="inlineStr">
        <is>
          <t xml:space="preserve">AXISCN1096036481      </t>
        </is>
      </c>
      <c r="P9" s="1" t="inlineStr">
        <is>
          <t>payment</t>
        </is>
      </c>
      <c r="Q9" s="1" t="inlineStr">
        <is>
          <t>Receipt</t>
        </is>
      </c>
      <c r="R9" s="1"/>
      <c r="S9" s="15" t="n">
        <v>-1042715.52</v>
      </c>
      <c r="T9" s="1" t="n">
        <v>-18620.0</v>
      </c>
      <c r="U9" s="1" t="inlineStr">
        <is>
          <t>SEC-PAY4.1-company</t>
        </is>
      </c>
      <c r="V9" s="1" t="inlineStr">
        <is>
          <t>19-Jun-26 10:16 AM</t>
        </is>
      </c>
      <c r="W9" s="1" t="inlineStr">
        <is>
          <t/>
        </is>
      </c>
      <c r="X9" s="1" t="inlineStr">
        <is>
          <t>AAACL0820G</t>
        </is>
      </c>
      <c r="Y9" s="1"/>
      <c r="Z9" s="1" t="inlineStr">
        <is>
          <t>7053030340</t>
        </is>
      </c>
      <c r="AA9" s="1" t="inlineStr">
        <is>
          <t/>
        </is>
      </c>
      <c r="AB9" s="1" t="n">
        <v>0.0</v>
      </c>
      <c r="AC9" s="1" t="inlineStr">
        <is>
          <t/>
        </is>
      </c>
      <c r="AD9" t="inlineStr">
        <is>
          <t>EPL</t>
        </is>
      </c>
      <c r="AE9" t="inlineStr">
        <is>
          <t>5159</t>
        </is>
      </c>
      <c r="AF9" t="inlineStr">
        <is>
          <t>7053030340</t>
        </is>
      </c>
      <c r="AG9" t="inlineStr">
        <is>
          <t>EP00</t>
        </is>
      </c>
      <c r="AH9" t="inlineStr">
        <is>
          <t>20250924-MSMSJ</t>
        </is>
      </c>
      <c r="AI9" t="inlineStr">
        <is>
          <t>20250924-MSMSJ</t>
        </is>
      </c>
      <c r="AJ9" t="inlineStr">
        <is>
          <t/>
        </is>
      </c>
      <c r="AK9" t="inlineStr">
        <is>
          <t>2025/06</t>
        </is>
      </c>
      <c r="AL9" t="inlineStr">
        <is>
          <t/>
        </is>
      </c>
      <c r="AM9" t="inlineStr">
        <is>
          <t>2500</t>
        </is>
      </c>
      <c r="AN9" t="inlineStr">
        <is>
          <t>24-09-2025</t>
        </is>
      </c>
      <c r="AO9" t="inlineStr">
        <is>
          <t>1024095.52</t>
        </is>
      </c>
      <c r="AP9" t="inlineStr">
        <is>
          <t>INR</t>
        </is>
      </c>
      <c r="AQ9" t="inlineStr">
        <is>
          <t>INR</t>
        </is>
      </c>
      <c r="AR9" t="inlineStr">
        <is>
          <t>24-09-2025</t>
        </is>
      </c>
      <c r="AS9" t="inlineStr">
        <is>
          <t>930996</t>
        </is>
      </c>
      <c r="AT9" t="inlineStr">
        <is>
          <t>24-09-2025</t>
        </is>
      </c>
    </row>
    <row r="10">
      <c r="A10" s="1" t="inlineStr">
        <is>
          <t>524bc8e0-a4a8-42e8-b23d-c1f23686de5a</t>
        </is>
      </c>
      <c r="B10" s="1" t="inlineStr">
        <is>
          <t>186ecf5a-6b8f-46dc-affc-8da4ff6898d7</t>
        </is>
      </c>
      <c r="C10" s="1" t="inlineStr">
        <is>
          <t>23202ed6-9dcb-4c15-beab-145bc4a547de</t>
        </is>
      </c>
      <c r="D10" s="1" t="inlineStr">
        <is>
          <t>TDS Booked by Party</t>
        </is>
      </c>
      <c r="E10" s="1" t="inlineStr">
        <is>
          <t>Payment Matched - Recommended</t>
        </is>
      </c>
      <c r="F10" s="1" t="inlineStr">
        <is>
          <t>ledger</t>
        </is>
      </c>
      <c r="G10" s="1" t="inlineStr">
        <is>
          <t>22-01-2026</t>
        </is>
      </c>
      <c r="H10" s="1" t="inlineStr">
        <is>
          <t>7053054141</t>
        </is>
      </c>
      <c r="I10" s="1" t="inlineStr">
        <is>
          <t>payment</t>
        </is>
      </c>
      <c r="J10" s="1" t="inlineStr">
        <is>
          <t>KZ</t>
        </is>
      </c>
      <c r="K10" s="1"/>
      <c r="L10" s="15" t="n">
        <v>413433.0</v>
      </c>
      <c r="M10" s="1" t="inlineStr">
        <is>
          <t>ledger</t>
        </is>
      </c>
      <c r="N10" s="1" t="inlineStr">
        <is>
          <t>23-01-2026</t>
        </is>
      </c>
      <c r="O10" s="1" t="inlineStr">
        <is>
          <t>UTIBR72026012300040395</t>
        </is>
      </c>
      <c r="P10" s="1" t="inlineStr">
        <is>
          <t>payment</t>
        </is>
      </c>
      <c r="Q10" s="1" t="inlineStr">
        <is>
          <t>Receipt</t>
        </is>
      </c>
      <c r="R10" s="1"/>
      <c r="S10" s="15" t="n">
        <v>-413827.0</v>
      </c>
      <c r="T10" s="1" t="n">
        <v>-394.0</v>
      </c>
      <c r="U10" s="1" t="inlineStr">
        <is>
          <t>SEC-PAY4.1-company</t>
        </is>
      </c>
      <c r="V10" s="1" t="inlineStr">
        <is>
          <t>19-Jun-26 10:16 AM</t>
        </is>
      </c>
      <c r="W10" s="1" t="inlineStr">
        <is>
          <t/>
        </is>
      </c>
      <c r="X10" s="1" t="inlineStr">
        <is>
          <t>AAACL0820G</t>
        </is>
      </c>
      <c r="Y10" s="1"/>
      <c r="Z10" s="1" t="inlineStr">
        <is>
          <t>7053054141</t>
        </is>
      </c>
      <c r="AA10" s="1" t="inlineStr">
        <is>
          <t/>
        </is>
      </c>
      <c r="AB10" s="1" t="n">
        <v>0.0</v>
      </c>
      <c r="AC10" s="1" t="inlineStr">
        <is>
          <t/>
        </is>
      </c>
      <c r="AD10" t="inlineStr">
        <is>
          <t>EPL</t>
        </is>
      </c>
      <c r="AE10" t="inlineStr">
        <is>
          <t>5276</t>
        </is>
      </c>
      <c r="AF10" t="inlineStr">
        <is>
          <t>7053054141</t>
        </is>
      </c>
      <c r="AG10" t="inlineStr">
        <is>
          <t>EP00</t>
        </is>
      </c>
      <c r="AH10" t="inlineStr">
        <is>
          <t>20260122-SJW10</t>
        </is>
      </c>
      <c r="AI10" t="inlineStr">
        <is>
          <t>20260122-SJW10</t>
        </is>
      </c>
      <c r="AJ10" t="inlineStr">
        <is>
          <t/>
        </is>
      </c>
      <c r="AK10" t="inlineStr">
        <is>
          <t>2025/10</t>
        </is>
      </c>
      <c r="AL10" t="inlineStr">
        <is>
          <t/>
        </is>
      </c>
      <c r="AM10" t="inlineStr">
        <is>
          <t>ENNOVA</t>
        </is>
      </c>
      <c r="AN10" t="inlineStr">
        <is>
          <t>22-01-2026</t>
        </is>
      </c>
      <c r="AO10" t="inlineStr">
        <is>
          <t>413433</t>
        </is>
      </c>
      <c r="AP10" t="inlineStr">
        <is>
          <t>INR</t>
        </is>
      </c>
      <c r="AQ10" t="inlineStr">
        <is>
          <t>INR</t>
        </is>
      </c>
      <c r="AR10" t="inlineStr">
        <is>
          <t>22-01-2026</t>
        </is>
      </c>
      <c r="AS10" t="inlineStr">
        <is>
          <t>394120.94</t>
        </is>
      </c>
      <c r="AT10" t="inlineStr">
        <is>
          <t>22-01-2026</t>
        </is>
      </c>
    </row>
    <row r="11">
      <c r="A11" s="1" t="inlineStr">
        <is>
          <t>4496d1c4-1e8a-4d2d-968c-d797ac14155c</t>
        </is>
      </c>
      <c r="B11" s="1" t="inlineStr">
        <is>
          <t>03c26d9f-6c72-4e5f-bfec-675ae5dc3ecd</t>
        </is>
      </c>
      <c r="C11" s="1" t="inlineStr">
        <is>
          <t>2399b5aa-899a-3e44-8e5f-4d09a538a2c3</t>
        </is>
      </c>
      <c r="D11" s="1" t="inlineStr">
        <is>
          <t>TDS Booked by Company</t>
        </is>
      </c>
      <c r="E11" s="1" t="inlineStr">
        <is>
          <t>Invoice Number Matched</t>
        </is>
      </c>
      <c r="F11" s="1" t="inlineStr">
        <is>
          <t>ledger</t>
        </is>
      </c>
      <c r="G11" s="1" t="inlineStr">
        <is>
          <t>21-04-2025</t>
        </is>
      </c>
      <c r="H11" s="1" t="inlineStr">
        <is>
          <t>ANK2526/SER00001</t>
        </is>
      </c>
      <c r="I11" s="1" t="inlineStr">
        <is>
          <t>invoice</t>
        </is>
      </c>
      <c r="J11" s="1" t="inlineStr">
        <is>
          <t>MI</t>
        </is>
      </c>
      <c r="K11" s="1" t="inlineStr">
        <is>
          <t>421111714  MATERNA - HCG 5000 IU</t>
        </is>
      </c>
      <c r="L11" s="15" t="n">
        <v>-1860607.0</v>
      </c>
      <c r="M11" s="1" t="inlineStr">
        <is>
          <t>ledger</t>
        </is>
      </c>
      <c r="N11" s="1" t="inlineStr">
        <is>
          <t>21-04-2025</t>
        </is>
      </c>
      <c r="O11" s="1" t="inlineStr">
        <is>
          <t xml:space="preserve">ANK2526/SER00001      </t>
        </is>
      </c>
      <c r="P11" s="1" t="inlineStr">
        <is>
          <t>invoice</t>
        </is>
      </c>
      <c r="Q11" s="1" t="inlineStr">
        <is>
          <t>Other</t>
        </is>
      </c>
      <c r="R11" s="1"/>
      <c r="S11" s="15" t="n">
        <v>1894233.6</v>
      </c>
      <c r="T11" s="1" t="n">
        <v>33626.60000000009</v>
      </c>
      <c r="U11" s="1" t="inlineStr">
        <is>
          <t>PRI-INV1.6-company</t>
        </is>
      </c>
      <c r="V11" s="1" t="inlineStr">
        <is>
          <t>19-Jun-26 10:16 AM</t>
        </is>
      </c>
      <c r="W11" s="1" t="inlineStr">
        <is>
          <t/>
        </is>
      </c>
      <c r="X11" s="1" t="inlineStr">
        <is>
          <t>AAACL0820G</t>
        </is>
      </c>
      <c r="Y11" s="1"/>
      <c r="Z11" s="1" t="inlineStr">
        <is>
          <t>7053012813</t>
        </is>
      </c>
      <c r="AA11" s="1" t="inlineStr">
        <is>
          <t/>
        </is>
      </c>
      <c r="AB11" s="1" t="n">
        <v>-33626.0</v>
      </c>
      <c r="AC11" s="1" t="inlineStr">
        <is>
          <t/>
        </is>
      </c>
      <c r="AD11" t="inlineStr">
        <is>
          <t>EPL</t>
        </is>
      </c>
      <c r="AE11" t="inlineStr">
        <is>
          <t>5159</t>
        </is>
      </c>
      <c r="AF11" t="inlineStr">
        <is>
          <t>6008004363</t>
        </is>
      </c>
      <c r="AG11" t="inlineStr">
        <is>
          <t>EP00</t>
        </is>
      </c>
      <c r="AH11" t="inlineStr">
        <is>
          <t>ANK2526/SER00001</t>
        </is>
      </c>
      <c r="AI11" t="inlineStr">
        <is>
          <t>ANK2526/SER00001</t>
        </is>
      </c>
      <c r="AJ11" t="inlineStr">
        <is>
          <t>IA</t>
        </is>
      </c>
      <c r="AK11" t="inlineStr">
        <is>
          <t>2025/02</t>
        </is>
      </c>
      <c r="AL11" t="inlineStr">
        <is>
          <t>ELL2</t>
        </is>
      </c>
      <c r="AM11" t="inlineStr">
        <is>
          <t>2500</t>
        </is>
      </c>
      <c r="AN11" t="inlineStr">
        <is>
          <t>16-05-2025</t>
        </is>
      </c>
      <c r="AO11" t="inlineStr">
        <is>
          <t>-1860607</t>
        </is>
      </c>
      <c r="AP11" t="inlineStr">
        <is>
          <t>INR</t>
        </is>
      </c>
      <c r="AQ11" t="inlineStr">
        <is>
          <t>INR</t>
        </is>
      </c>
      <c r="AR11" t="inlineStr">
        <is>
          <t>16-05-2025</t>
        </is>
      </c>
      <c r="AS11" t="inlineStr">
        <is>
          <t>-1681280</t>
        </is>
      </c>
      <c r="AT11" t="inlineStr">
        <is>
          <t>21-05-2025</t>
        </is>
      </c>
    </row>
    <row r="12">
      <c r="A12" s="1" t="inlineStr">
        <is>
          <t>1bdafe07-41ec-47b3-baed-36acb746303a</t>
        </is>
      </c>
      <c r="B12" s="1" t="inlineStr">
        <is>
          <t>3c3607e3-b64d-4e2d-8c7c-98b4f01adbac</t>
        </is>
      </c>
      <c r="C12" s="1" t="inlineStr">
        <is>
          <t>252dae23-d549-3aa6-a82d-35d32098b55f</t>
        </is>
      </c>
      <c r="D12" s="1" t="inlineStr">
        <is>
          <t>TDS Booked by Company</t>
        </is>
      </c>
      <c r="E12" s="1" t="inlineStr">
        <is>
          <t>Invoice Number Matched</t>
        </is>
      </c>
      <c r="F12" s="1" t="inlineStr">
        <is>
          <t>ledger</t>
        </is>
      </c>
      <c r="G12" s="1" t="inlineStr">
        <is>
          <t>29-01-2026</t>
        </is>
      </c>
      <c r="H12" s="1" t="inlineStr">
        <is>
          <t>ANK2526/GIS00934</t>
        </is>
      </c>
      <c r="I12" s="1" t="inlineStr">
        <is>
          <t>invoice</t>
        </is>
      </c>
      <c r="J12" s="1" t="inlineStr">
        <is>
          <t>MF</t>
        </is>
      </c>
      <c r="K12" s="1" t="inlineStr">
        <is>
          <t>REBEZ  IV INJECTION [P TO P]</t>
        </is>
      </c>
      <c r="L12" s="15" t="n">
        <v>-1370813.0</v>
      </c>
      <c r="M12" s="1" t="inlineStr">
        <is>
          <t>ledger</t>
        </is>
      </c>
      <c r="N12" s="1" t="inlineStr">
        <is>
          <t>29-01-2026</t>
        </is>
      </c>
      <c r="O12" s="1" t="inlineStr">
        <is>
          <t xml:space="preserve">ANK2526/GIS00934      </t>
        </is>
      </c>
      <c r="P12" s="1" t="inlineStr">
        <is>
          <t>invoice</t>
        </is>
      </c>
      <c r="Q12" s="1" t="inlineStr">
        <is>
          <t>Sale</t>
        </is>
      </c>
      <c r="R12" s="1"/>
      <c r="S12" s="15" t="n">
        <v>1372120.0</v>
      </c>
      <c r="T12" s="1" t="n">
        <v>1307.0</v>
      </c>
      <c r="U12" s="1" t="inlineStr">
        <is>
          <t>PRI-INV1.6-company</t>
        </is>
      </c>
      <c r="V12" s="1" t="inlineStr">
        <is>
          <t>19-Jun-26 10:16 AM</t>
        </is>
      </c>
      <c r="W12" s="1" t="inlineStr">
        <is>
          <t/>
        </is>
      </c>
      <c r="X12" s="1" t="inlineStr">
        <is>
          <t>AAACL0820G</t>
        </is>
      </c>
      <c r="Y12" s="1"/>
      <c r="Z12" s="1" t="inlineStr">
        <is>
          <t>7053002431</t>
        </is>
      </c>
      <c r="AA12" s="1" t="inlineStr">
        <is>
          <t/>
        </is>
      </c>
      <c r="AB12" s="1" t="n">
        <v>-1307.0</v>
      </c>
      <c r="AC12" s="1" t="inlineStr">
        <is>
          <t/>
        </is>
      </c>
      <c r="AD12" t="inlineStr">
        <is>
          <t>EPL</t>
        </is>
      </c>
      <c r="AE12" t="inlineStr">
        <is>
          <t>5276</t>
        </is>
      </c>
      <c r="AF12" t="inlineStr">
        <is>
          <t>6006002082</t>
        </is>
      </c>
      <c r="AG12" t="inlineStr">
        <is>
          <t>EP00</t>
        </is>
      </c>
      <c r="AH12" t="inlineStr">
        <is>
          <t>ANK2526/GIS00934</t>
        </is>
      </c>
      <c r="AI12" t="inlineStr">
        <is>
          <t>ANK2526/GIS00934</t>
        </is>
      </c>
      <c r="AJ12" t="inlineStr">
        <is>
          <t>I3</t>
        </is>
      </c>
      <c r="AK12" t="inlineStr">
        <is>
          <t>2025/11</t>
        </is>
      </c>
      <c r="AL12" t="inlineStr">
        <is>
          <t>EMHC</t>
        </is>
      </c>
      <c r="AM12" t="inlineStr">
        <is>
          <t>ENNOVA</t>
        </is>
      </c>
      <c r="AN12" t="inlineStr">
        <is>
          <t>02-02-2026</t>
        </is>
      </c>
      <c r="AO12" t="inlineStr">
        <is>
          <t>-1370813</t>
        </is>
      </c>
      <c r="AP12" t="inlineStr">
        <is>
          <t>INR</t>
        </is>
      </c>
      <c r="AQ12" t="inlineStr">
        <is>
          <t>INR</t>
        </is>
      </c>
      <c r="AR12" t="inlineStr">
        <is>
          <t>02-02-2026</t>
        </is>
      </c>
      <c r="AS12" t="inlineStr">
        <is>
          <t>-1306780.94</t>
        </is>
      </c>
      <c r="AT12" t="inlineStr">
        <is>
          <t>30-01-2026</t>
        </is>
      </c>
    </row>
    <row r="13">
      <c r="A13" s="1" t="inlineStr">
        <is>
          <t>823a6688-4523-4a8e-9948-a9933e848717</t>
        </is>
      </c>
      <c r="B13" s="1" t="inlineStr">
        <is>
          <t>8c1a1eab-34db-4f50-8dd1-f0029d456470</t>
        </is>
      </c>
      <c r="C13" s="1" t="inlineStr">
        <is>
          <t>272317a6-3e17-325e-9f62-8625bbbb07c3</t>
        </is>
      </c>
      <c r="D13" s="1" t="inlineStr">
        <is>
          <t>TDS Booked by Party</t>
        </is>
      </c>
      <c r="E13" s="1" t="inlineStr">
        <is>
          <t>Multiple Based on Date</t>
        </is>
      </c>
      <c r="F13" s="1" t="inlineStr">
        <is>
          <t>ledger</t>
        </is>
      </c>
      <c r="G13" s="1" t="inlineStr">
        <is>
          <t>21-01-2026</t>
        </is>
      </c>
      <c r="H13" s="1" t="inlineStr">
        <is>
          <t>7053053702</t>
        </is>
      </c>
      <c r="I13" s="1" t="inlineStr">
        <is>
          <t>payment</t>
        </is>
      </c>
      <c r="J13" s="1" t="inlineStr">
        <is>
          <t>KZ</t>
        </is>
      </c>
      <c r="K13" s="1"/>
      <c r="L13" s="15" t="n">
        <v>594152.0</v>
      </c>
      <c r="M13" s="1" t="inlineStr">
        <is>
          <t>ledger</t>
        </is>
      </c>
      <c r="N13" s="1" t="inlineStr">
        <is>
          <t>21-01-2026</t>
        </is>
      </c>
      <c r="O13" s="1" t="inlineStr">
        <is>
          <t>UTIBR72026012100004817</t>
        </is>
      </c>
      <c r="P13" s="1" t="inlineStr">
        <is>
          <t>payment</t>
        </is>
      </c>
      <c r="Q13" s="1" t="inlineStr">
        <is>
          <t>Receipt</t>
        </is>
      </c>
      <c r="R13" s="1"/>
      <c r="S13" s="15" t="n">
        <v>-604396.0</v>
      </c>
      <c r="T13" s="1" t="n">
        <v>0.0</v>
      </c>
      <c r="U13" s="1" t="inlineStr">
        <is>
          <t>PRI-PAY5.2-company</t>
        </is>
      </c>
      <c r="V13" s="1" t="inlineStr">
        <is>
          <t>19-Jun-26 10:16 AM</t>
        </is>
      </c>
      <c r="W13" s="1" t="inlineStr">
        <is>
          <t/>
        </is>
      </c>
      <c r="X13" s="1" t="inlineStr">
        <is>
          <t>AAACL0820G</t>
        </is>
      </c>
      <c r="Y13" s="1"/>
      <c r="Z13" s="1" t="inlineStr">
        <is>
          <t>7053053702</t>
        </is>
      </c>
      <c r="AA13" s="1" t="inlineStr">
        <is>
          <t/>
        </is>
      </c>
      <c r="AB13" s="1" t="n">
        <v>0.0</v>
      </c>
      <c r="AC13" s="1" t="inlineStr">
        <is>
          <t/>
        </is>
      </c>
      <c r="AD13" t="inlineStr">
        <is>
          <t>EPL</t>
        </is>
      </c>
      <c r="AE13" t="inlineStr">
        <is>
          <t>5276</t>
        </is>
      </c>
      <c r="AF13" t="inlineStr">
        <is>
          <t>7053053702</t>
        </is>
      </c>
      <c r="AG13" t="inlineStr">
        <is>
          <t>EP00</t>
        </is>
      </c>
      <c r="AH13" t="inlineStr">
        <is>
          <t>20260121-SJH10</t>
        </is>
      </c>
      <c r="AI13" t="inlineStr">
        <is>
          <t>20260121-SJH10</t>
        </is>
      </c>
      <c r="AJ13" t="inlineStr">
        <is>
          <t/>
        </is>
      </c>
      <c r="AK13" t="inlineStr">
        <is>
          <t>2025/10</t>
        </is>
      </c>
      <c r="AL13" t="inlineStr">
        <is>
          <t/>
        </is>
      </c>
      <c r="AM13" t="inlineStr">
        <is>
          <t>2500</t>
        </is>
      </c>
      <c r="AN13" t="inlineStr">
        <is>
          <t>21-01-2026</t>
        </is>
      </c>
      <c r="AO13" t="inlineStr">
        <is>
          <t>594152</t>
        </is>
      </c>
      <c r="AP13" t="inlineStr">
        <is>
          <t>INR</t>
        </is>
      </c>
      <c r="AQ13" t="inlineStr">
        <is>
          <t>INR</t>
        </is>
      </c>
      <c r="AR13" t="inlineStr">
        <is>
          <t>21-01-2026</t>
        </is>
      </c>
      <c r="AS13" t="inlineStr">
        <is>
          <t>512200</t>
        </is>
      </c>
      <c r="AT13" t="inlineStr">
        <is>
          <t>21-01-2026</t>
        </is>
      </c>
    </row>
    <row r="14">
      <c r="A14" s="1" t="inlineStr">
        <is>
          <t>af58096c-cbad-44b4-b5a8-a14cd3630f2b</t>
        </is>
      </c>
      <c r="B14" s="1" t="inlineStr">
        <is>
          <t>95c1917c-7ae0-4de2-b5f4-d43cd30002ab</t>
        </is>
      </c>
      <c r="C14" s="1" t="inlineStr">
        <is>
          <t>272317a6-3e17-325e-9f62-8625bbbb07c3</t>
        </is>
      </c>
      <c r="D14" s="1" t="inlineStr">
        <is>
          <t>TDS Booked by Party</t>
        </is>
      </c>
      <c r="E14" s="1" t="inlineStr">
        <is>
          <t>Multiple Based on Date</t>
        </is>
      </c>
      <c r="F14" s="1" t="inlineStr">
        <is>
          <t>ledger</t>
        </is>
      </c>
      <c r="G14" s="1" t="inlineStr">
        <is>
          <t>21-01-2026</t>
        </is>
      </c>
      <c r="H14" s="1" t="inlineStr">
        <is>
          <t>7053053708</t>
        </is>
      </c>
      <c r="I14" s="1" t="inlineStr">
        <is>
          <t>payment</t>
        </is>
      </c>
      <c r="J14" s="1" t="inlineStr">
        <is>
          <t>KZ</t>
        </is>
      </c>
      <c r="K14" s="1"/>
      <c r="L14" s="15" t="n">
        <v>3398760.0</v>
      </c>
      <c r="M14" s="1" t="inlineStr">
        <is>
          <t>ledger</t>
        </is>
      </c>
      <c r="N14" s="1" t="inlineStr">
        <is>
          <t>21-01-2026</t>
        </is>
      </c>
      <c r="O14" s="1" t="inlineStr">
        <is>
          <t>UTIBR72026012100004816</t>
        </is>
      </c>
      <c r="P14" s="1" t="inlineStr">
        <is>
          <t>payment</t>
        </is>
      </c>
      <c r="Q14" s="1" t="inlineStr">
        <is>
          <t>Receipt</t>
        </is>
      </c>
      <c r="R14" s="1"/>
      <c r="S14" s="15" t="n">
        <v>-3402000.0</v>
      </c>
      <c r="T14" s="1" t="n">
        <v>-13484.0</v>
      </c>
      <c r="U14" s="1" t="inlineStr">
        <is>
          <t>PRI-PAY5.2-company</t>
        </is>
      </c>
      <c r="V14" s="1" t="inlineStr">
        <is>
          <t>19-Jun-26 10:16 AM</t>
        </is>
      </c>
      <c r="W14" s="1" t="inlineStr">
        <is>
          <t/>
        </is>
      </c>
      <c r="X14" s="1" t="inlineStr">
        <is>
          <t>AAACL0820G</t>
        </is>
      </c>
      <c r="Y14" s="1"/>
      <c r="Z14" s="1" t="inlineStr">
        <is>
          <t>7053053708</t>
        </is>
      </c>
      <c r="AA14" s="1" t="inlineStr">
        <is>
          <t/>
        </is>
      </c>
      <c r="AB14" s="1" t="n">
        <v>0.0</v>
      </c>
      <c r="AC14" s="1" t="inlineStr">
        <is>
          <t/>
        </is>
      </c>
      <c r="AD14" t="inlineStr">
        <is>
          <t>EPL</t>
        </is>
      </c>
      <c r="AE14" t="inlineStr">
        <is>
          <t>5906</t>
        </is>
      </c>
      <c r="AF14" t="inlineStr">
        <is>
          <t>7053053708</t>
        </is>
      </c>
      <c r="AG14" t="inlineStr">
        <is>
          <t>EP00</t>
        </is>
      </c>
      <c r="AH14" t="inlineStr">
        <is>
          <t>20260121-SJH10</t>
        </is>
      </c>
      <c r="AI14" t="inlineStr">
        <is>
          <t>20260121-SJH10</t>
        </is>
      </c>
      <c r="AJ14" t="inlineStr">
        <is>
          <t/>
        </is>
      </c>
      <c r="AK14" t="inlineStr">
        <is>
          <t>2025/10</t>
        </is>
      </c>
      <c r="AL14" t="inlineStr">
        <is>
          <t/>
        </is>
      </c>
      <c r="AM14" t="inlineStr">
        <is>
          <t>CRITI_CARE</t>
        </is>
      </c>
      <c r="AN14" t="inlineStr">
        <is>
          <t>21-01-2026</t>
        </is>
      </c>
      <c r="AO14" t="inlineStr">
        <is>
          <t>3398760</t>
        </is>
      </c>
      <c r="AP14" t="inlineStr">
        <is>
          <t>INR</t>
        </is>
      </c>
      <c r="AQ14" t="inlineStr">
        <is>
          <t>INR</t>
        </is>
      </c>
      <c r="AR14" t="inlineStr">
        <is>
          <t>21-01-2026</t>
        </is>
      </c>
      <c r="AS14" t="inlineStr">
        <is>
          <t>3240000</t>
        </is>
      </c>
      <c r="AT14" t="inlineStr">
        <is>
          <t>21-01-2026</t>
        </is>
      </c>
    </row>
    <row r="15">
      <c r="A15" s="1" t="inlineStr">
        <is>
          <t>450bd921-1a8d-4845-b2ae-bf1216fd9198</t>
        </is>
      </c>
      <c r="B15" s="1" t="inlineStr">
        <is>
          <t>2eff2df9-aac2-4397-a9c7-638e6ac9253a</t>
        </is>
      </c>
      <c r="C15" s="1" t="inlineStr">
        <is>
          <t>2a78bd4d-795a-39e0-b2e2-25d82ab37a71</t>
        </is>
      </c>
      <c r="D15" s="1" t="inlineStr">
        <is>
          <t>TDS Booked by Company</t>
        </is>
      </c>
      <c r="E15" s="1" t="inlineStr">
        <is>
          <t>Invoice Number Matched</t>
        </is>
      </c>
      <c r="F15" s="1" t="inlineStr">
        <is>
          <t>ledger</t>
        </is>
      </c>
      <c r="G15" s="1" t="inlineStr">
        <is>
          <t>16-03-2026</t>
        </is>
      </c>
      <c r="H15" s="1" t="inlineStr">
        <is>
          <t>ANK2526/SER00080</t>
        </is>
      </c>
      <c r="I15" s="1" t="inlineStr">
        <is>
          <t>invoice</t>
        </is>
      </c>
      <c r="J15" s="1" t="inlineStr">
        <is>
          <t>MI</t>
        </is>
      </c>
      <c r="K15" s="1" t="inlineStr">
        <is>
          <t>421111716  MATERNA - HMG 75 IU</t>
        </is>
      </c>
      <c r="L15" s="15" t="n">
        <v>-1372125.0</v>
      </c>
      <c r="M15" s="1" t="inlineStr">
        <is>
          <t>ledger</t>
        </is>
      </c>
      <c r="N15" s="1" t="inlineStr">
        <is>
          <t>16-03-2026</t>
        </is>
      </c>
      <c r="O15" s="1" t="inlineStr">
        <is>
          <t xml:space="preserve">ANK2526/SER00080      </t>
        </is>
      </c>
      <c r="P15" s="1" t="inlineStr">
        <is>
          <t>invoice</t>
        </is>
      </c>
      <c r="Q15" s="1" t="inlineStr">
        <is>
          <t>Other</t>
        </is>
      </c>
      <c r="R15" s="1"/>
      <c r="S15" s="15" t="n">
        <v>1398768.0</v>
      </c>
      <c r="T15" s="1" t="n">
        <v>26643.0</v>
      </c>
      <c r="U15" s="1" t="inlineStr">
        <is>
          <t>PRI-INV1.6-company</t>
        </is>
      </c>
      <c r="V15" s="1" t="inlineStr">
        <is>
          <t>19-Jun-26 10:16 AM</t>
        </is>
      </c>
      <c r="W15" s="1" t="inlineStr">
        <is>
          <t/>
        </is>
      </c>
      <c r="X15" s="1" t="inlineStr">
        <is>
          <t>AAACL0820G</t>
        </is>
      </c>
      <c r="Y15" s="1"/>
      <c r="Z15" s="1"/>
      <c r="AA15" s="1" t="inlineStr">
        <is>
          <t/>
        </is>
      </c>
      <c r="AB15" s="1" t="n">
        <v>-26643.0</v>
      </c>
      <c r="AC15" s="1" t="inlineStr">
        <is>
          <t/>
        </is>
      </c>
      <c r="AD15" t="inlineStr">
        <is>
          <t>EPL</t>
        </is>
      </c>
      <c r="AE15" t="inlineStr">
        <is>
          <t>5159</t>
        </is>
      </c>
      <c r="AF15" t="inlineStr">
        <is>
          <t>6008042702</t>
        </is>
      </c>
      <c r="AG15" t="inlineStr">
        <is>
          <t>EP00</t>
        </is>
      </c>
      <c r="AH15" t="inlineStr">
        <is>
          <t>ANK2526/SER00080</t>
        </is>
      </c>
      <c r="AI15" t="inlineStr">
        <is>
          <t>ANK2526/SER00080</t>
        </is>
      </c>
      <c r="AJ15" t="inlineStr">
        <is>
          <t>IG</t>
        </is>
      </c>
      <c r="AK15" t="inlineStr">
        <is>
          <t>2025/12</t>
        </is>
      </c>
      <c r="AL15" t="inlineStr">
        <is>
          <t>ELL2</t>
        </is>
      </c>
      <c r="AM15" t="inlineStr">
        <is>
          <t>2500</t>
        </is>
      </c>
      <c r="AN15" t="inlineStr">
        <is>
          <t>20-03-2026</t>
        </is>
      </c>
      <c r="AO15" t="inlineStr">
        <is>
          <t>-1372125</t>
        </is>
      </c>
      <c r="AP15" t="inlineStr">
        <is>
          <t>INR</t>
        </is>
      </c>
      <c r="AQ15" t="inlineStr">
        <is>
          <t>INR</t>
        </is>
      </c>
      <c r="AR15" t="inlineStr">
        <is>
          <t>20-03-2026</t>
        </is>
      </c>
      <c r="AS15" t="inlineStr">
        <is>
          <t>-1332160</t>
        </is>
      </c>
      <c r="AT15" t="inlineStr">
        <is>
          <t>02-04-2026</t>
        </is>
      </c>
    </row>
    <row r="16">
      <c r="A16" s="1" t="inlineStr">
        <is>
          <t>bfacda10-298a-45fb-a0b8-561ea38f192b</t>
        </is>
      </c>
      <c r="B16" s="1" t="inlineStr">
        <is>
          <t>d7ed3f6c-6931-4855-85b0-e1359d7f45cc</t>
        </is>
      </c>
      <c r="C16" s="1" t="inlineStr">
        <is>
          <t>2f904425-1935-38d4-b518-fd53aca1c625</t>
        </is>
      </c>
      <c r="D16" s="1" t="inlineStr">
        <is>
          <t>TDS Booked by Company</t>
        </is>
      </c>
      <c r="E16" s="1" t="inlineStr">
        <is>
          <t>Invoice Number Matched</t>
        </is>
      </c>
      <c r="F16" s="1" t="inlineStr">
        <is>
          <t>ledger</t>
        </is>
      </c>
      <c r="G16" s="1" t="inlineStr">
        <is>
          <t>26-06-2025</t>
        </is>
      </c>
      <c r="H16" s="1" t="inlineStr">
        <is>
          <t>ANK2526/SER00025</t>
        </is>
      </c>
      <c r="I16" s="1" t="inlineStr">
        <is>
          <t>invoice</t>
        </is>
      </c>
      <c r="J16" s="1" t="inlineStr">
        <is>
          <t>MI</t>
        </is>
      </c>
      <c r="K16" s="1" t="inlineStr">
        <is>
          <t>420002214  PANPURE I.V. 20 MG DO</t>
        </is>
      </c>
      <c r="L16" s="15" t="n">
        <v>-508860.0</v>
      </c>
      <c r="M16" s="1" t="inlineStr">
        <is>
          <t>ledger</t>
        </is>
      </c>
      <c r="N16" s="1" t="inlineStr">
        <is>
          <t>26-06-2025</t>
        </is>
      </c>
      <c r="O16" s="1" t="inlineStr">
        <is>
          <t xml:space="preserve">ANK2526/SER00025      </t>
        </is>
      </c>
      <c r="P16" s="1" t="inlineStr">
        <is>
          <t>invoice</t>
        </is>
      </c>
      <c r="Q16" s="1" t="inlineStr">
        <is>
          <t>Other</t>
        </is>
      </c>
      <c r="R16" s="1"/>
      <c r="S16" s="15" t="n">
        <v>518112.0</v>
      </c>
      <c r="T16" s="1" t="n">
        <v>9252.0</v>
      </c>
      <c r="U16" s="1" t="inlineStr">
        <is>
          <t>PRI-INV1.6-company</t>
        </is>
      </c>
      <c r="V16" s="1" t="inlineStr">
        <is>
          <t>19-Jun-26 10:16 AM</t>
        </is>
      </c>
      <c r="W16" s="1" t="inlineStr">
        <is>
          <t/>
        </is>
      </c>
      <c r="X16" s="1" t="inlineStr">
        <is>
          <t>AAACL0820G</t>
        </is>
      </c>
      <c r="Y16" s="1"/>
      <c r="Z16" s="1" t="inlineStr">
        <is>
          <t>7053031634</t>
        </is>
      </c>
      <c r="AA16" s="1" t="inlineStr">
        <is>
          <t/>
        </is>
      </c>
      <c r="AB16" s="1" t="n">
        <v>-9252.0</v>
      </c>
      <c r="AC16" s="1" t="inlineStr">
        <is>
          <t/>
        </is>
      </c>
      <c r="AD16" t="inlineStr">
        <is>
          <t>EPL</t>
        </is>
      </c>
      <c r="AE16" t="inlineStr">
        <is>
          <t>5159</t>
        </is>
      </c>
      <c r="AF16" t="inlineStr">
        <is>
          <t>6008010168</t>
        </is>
      </c>
      <c r="AG16" t="inlineStr">
        <is>
          <t>EP00</t>
        </is>
      </c>
      <c r="AH16" t="inlineStr">
        <is>
          <t>ANK2526/SER00025</t>
        </is>
      </c>
      <c r="AI16" t="inlineStr">
        <is>
          <t>ANK2526/SER00025</t>
        </is>
      </c>
      <c r="AJ16" t="inlineStr">
        <is>
          <t>IA</t>
        </is>
      </c>
      <c r="AK16" t="inlineStr">
        <is>
          <t>2025/04</t>
        </is>
      </c>
      <c r="AL16" t="inlineStr">
        <is>
          <t>ELL2</t>
        </is>
      </c>
      <c r="AM16" t="inlineStr">
        <is>
          <t>2500</t>
        </is>
      </c>
      <c r="AN16" t="inlineStr">
        <is>
          <t>01-07-2025</t>
        </is>
      </c>
      <c r="AO16" t="inlineStr">
        <is>
          <t>-508860</t>
        </is>
      </c>
      <c r="AP16" t="inlineStr">
        <is>
          <t>INR</t>
        </is>
      </c>
      <c r="AQ16" t="inlineStr">
        <is>
          <t>INR</t>
        </is>
      </c>
      <c r="AR16" t="inlineStr">
        <is>
          <t>01-07-2025</t>
        </is>
      </c>
      <c r="AS16" t="inlineStr">
        <is>
          <t>-462600</t>
        </is>
      </c>
      <c r="AT16" t="inlineStr">
        <is>
          <t>15-07-2025</t>
        </is>
      </c>
    </row>
    <row r="17">
      <c r="A17" s="1" t="inlineStr">
        <is>
          <t>ffb7e322-b11e-418d-8624-0c78428ff4bc</t>
        </is>
      </c>
      <c r="B17" s="1" t="inlineStr">
        <is>
          <t>5ce800c0-06e5-4125-a988-a782f27d2933</t>
        </is>
      </c>
      <c r="C17" s="1" t="inlineStr">
        <is>
          <t>30c02a2c-73e5-4135-843c-26b6c22ef8ec</t>
        </is>
      </c>
      <c r="D17" s="1" t="inlineStr">
        <is>
          <t>TDS Booked by Party</t>
        </is>
      </c>
      <c r="E17" s="1" t="inlineStr">
        <is>
          <t>Multiple Based on Invoice Number and Date Range</t>
        </is>
      </c>
      <c r="F17" s="1" t="inlineStr">
        <is>
          <t>ledger</t>
        </is>
      </c>
      <c r="G17" s="1" t="inlineStr">
        <is>
          <t>26-05-2025</t>
        </is>
      </c>
      <c r="H17" s="1" t="inlineStr">
        <is>
          <t>7053009079</t>
        </is>
      </c>
      <c r="I17" s="1" t="inlineStr">
        <is>
          <t>payment</t>
        </is>
      </c>
      <c r="J17" s="1" t="inlineStr">
        <is>
          <t>KZ</t>
        </is>
      </c>
      <c r="K17" s="1"/>
      <c r="L17" s="15" t="n">
        <v>1812780.0</v>
      </c>
      <c r="M17" s="1" t="inlineStr">
        <is>
          <t>ledger</t>
        </is>
      </c>
      <c r="N17" s="1" t="inlineStr">
        <is>
          <t>30-05-2025</t>
        </is>
      </c>
      <c r="O17" s="1" t="inlineStr">
        <is>
          <t xml:space="preserve">AXISCN0983739554      </t>
        </is>
      </c>
      <c r="P17" s="1" t="inlineStr">
        <is>
          <t>payment</t>
        </is>
      </c>
      <c r="Q17" s="1" t="inlineStr">
        <is>
          <t>Receipt</t>
        </is>
      </c>
      <c r="R17" s="1"/>
      <c r="S17" s="15" t="n">
        <v>-1816778.88</v>
      </c>
      <c r="T17" s="1" t="n">
        <v>0.0</v>
      </c>
      <c r="U17" s="1" t="inlineStr">
        <is>
          <t>PRI-PAY13.1-company</t>
        </is>
      </c>
      <c r="V17" s="1" t="inlineStr">
        <is>
          <t>19-Jun-26 10:16 AM</t>
        </is>
      </c>
      <c r="W17" s="1" t="inlineStr">
        <is>
          <t/>
        </is>
      </c>
      <c r="X17" s="1" t="inlineStr">
        <is>
          <t>AAACL0820G</t>
        </is>
      </c>
      <c r="Y17" s="1"/>
      <c r="Z17" s="1" t="inlineStr">
        <is>
          <t>7053009079</t>
        </is>
      </c>
      <c r="AA17" s="1" t="inlineStr">
        <is>
          <t/>
        </is>
      </c>
      <c r="AB17" s="1" t="n">
        <v>0.0</v>
      </c>
      <c r="AC17" s="1" t="inlineStr">
        <is>
          <t/>
        </is>
      </c>
      <c r="AD17" t="inlineStr">
        <is>
          <t>EPL</t>
        </is>
      </c>
      <c r="AE17" t="inlineStr">
        <is>
          <t>5276</t>
        </is>
      </c>
      <c r="AF17" t="inlineStr">
        <is>
          <t>7053009079</t>
        </is>
      </c>
      <c r="AG17" t="inlineStr">
        <is>
          <t>EP00</t>
        </is>
      </c>
      <c r="AH17" t="inlineStr">
        <is>
          <t>20250526-SJW01</t>
        </is>
      </c>
      <c r="AI17" t="inlineStr">
        <is>
          <t>20250526-SJW01</t>
        </is>
      </c>
      <c r="AJ17" t="inlineStr">
        <is>
          <t/>
        </is>
      </c>
      <c r="AK17" t="inlineStr">
        <is>
          <t>2025/02</t>
        </is>
      </c>
      <c r="AL17" t="inlineStr">
        <is>
          <t/>
        </is>
      </c>
      <c r="AM17" t="inlineStr">
        <is>
          <t>ENNOVA</t>
        </is>
      </c>
      <c r="AN17" t="inlineStr">
        <is>
          <t>26-05-2025</t>
        </is>
      </c>
      <c r="AO17" t="inlineStr">
        <is>
          <t>1812780</t>
        </is>
      </c>
      <c r="AP17" t="inlineStr">
        <is>
          <t>INR</t>
        </is>
      </c>
      <c r="AQ17" t="inlineStr">
        <is>
          <t>INR</t>
        </is>
      </c>
      <c r="AR17" t="inlineStr">
        <is>
          <t>26-05-2025</t>
        </is>
      </c>
      <c r="AS17" t="inlineStr">
        <is>
          <t>1620000</t>
        </is>
      </c>
      <c r="AT17" t="inlineStr">
        <is>
          <t>26-05-2025</t>
        </is>
      </c>
    </row>
    <row r="18">
      <c r="A18" s="1"/>
      <c r="B18" s="1" t="inlineStr">
        <is>
          <t>c3e2afb1-e631-4f35-9c16-28866885aed8</t>
        </is>
      </c>
      <c r="C18" s="1" t="inlineStr">
        <is>
          <t>30c02a2c-73e5-4135-843c-26b6c22ef8ec</t>
        </is>
      </c>
      <c r="D18" s="1" t="inlineStr">
        <is>
          <t>TDS Booked by Party</t>
        </is>
      </c>
      <c r="E18" s="1" t="inlineStr">
        <is>
          <t>Multiple Based on Invoice Number and Date Range</t>
        </is>
      </c>
      <c r="F18" s="1" t="inlineStr">
        <is>
          <t>ledger</t>
        </is>
      </c>
      <c r="G18" s="1"/>
      <c r="H18" s="1"/>
      <c r="I18" s="1"/>
      <c r="J18" s="1"/>
      <c r="K18" s="1"/>
      <c r="L18" s="15" t="n">
        <v>0.0</v>
      </c>
      <c r="M18" s="1" t="inlineStr">
        <is>
          <t>ledger</t>
        </is>
      </c>
      <c r="N18" s="1" t="inlineStr">
        <is>
          <t>30-05-2025</t>
        </is>
      </c>
      <c r="O18" s="1" t="inlineStr">
        <is>
          <t xml:space="preserve">AXISCN0983739555      </t>
        </is>
      </c>
      <c r="P18" s="1" t="inlineStr">
        <is>
          <t>payment</t>
        </is>
      </c>
      <c r="Q18" s="1" t="inlineStr">
        <is>
          <t>Receipt</t>
        </is>
      </c>
      <c r="R18" s="1"/>
      <c r="S18" s="15" t="n">
        <v>-624.96</v>
      </c>
      <c r="T18" s="1" t="n">
        <v>-4623.839999999851</v>
      </c>
      <c r="U18" s="1" t="inlineStr">
        <is>
          <t>PRI-PAY13.1-company</t>
        </is>
      </c>
      <c r="V18" s="1" t="inlineStr">
        <is>
          <t>19-Jun-26 10:16 AM</t>
        </is>
      </c>
      <c r="W18" s="1" t="inlineStr">
        <is>
          <t/>
        </is>
      </c>
      <c r="X18" s="1" t="inlineStr">
        <is>
          <t>AAACL0820G</t>
        </is>
      </c>
      <c r="Y18" s="1"/>
      <c r="Z18" s="1"/>
      <c r="AA18" s="1" t="inlineStr">
        <is>
          <t/>
        </is>
      </c>
      <c r="AB18" s="1" t="n">
        <v>0.0</v>
      </c>
      <c r="AC18" s="1" t="inlineStr">
        <is>
          <t/>
        </is>
      </c>
    </row>
    <row r="19">
      <c r="A19" s="1" t="inlineStr">
        <is>
          <t>19cf0320-a7d6-4632-93f9-3aa8ebabefda</t>
        </is>
      </c>
      <c r="B19" s="1" t="inlineStr">
        <is>
          <t>356677a1-0763-4f5f-b67d-9fa67464a66e</t>
        </is>
      </c>
      <c r="C19" s="1" t="inlineStr">
        <is>
          <t>33b8f008-c93f-3a19-a5a5-37851b94ef77</t>
        </is>
      </c>
      <c r="D19" s="1" t="inlineStr">
        <is>
          <t>TDS Booked by Company</t>
        </is>
      </c>
      <c r="E19" s="1" t="inlineStr">
        <is>
          <t>Invoice Number Matched</t>
        </is>
      </c>
      <c r="F19" s="1" t="inlineStr">
        <is>
          <t>ledger</t>
        </is>
      </c>
      <c r="G19" s="1" t="inlineStr">
        <is>
          <t>10-12-2025</t>
        </is>
      </c>
      <c r="H19" s="1" t="inlineStr">
        <is>
          <t>ANK2526/GIS00839</t>
        </is>
      </c>
      <c r="I19" s="1" t="inlineStr">
        <is>
          <t>invoice</t>
        </is>
      </c>
      <c r="J19" s="1" t="inlineStr">
        <is>
          <t>MF</t>
        </is>
      </c>
      <c r="K19" s="1" t="inlineStr">
        <is>
          <t>REBEZ  IV INJECTION [P TO P]</t>
        </is>
      </c>
      <c r="L19" s="15" t="n">
        <v>-1666450.0</v>
      </c>
      <c r="M19" s="1" t="inlineStr">
        <is>
          <t>ledger</t>
        </is>
      </c>
      <c r="N19" s="1" t="inlineStr">
        <is>
          <t>10-12-2025</t>
        </is>
      </c>
      <c r="O19" s="1" t="inlineStr">
        <is>
          <t xml:space="preserve">ANK2526/GIS00839      </t>
        </is>
      </c>
      <c r="P19" s="1" t="inlineStr">
        <is>
          <t>invoice</t>
        </is>
      </c>
      <c r="Q19" s="1" t="inlineStr">
        <is>
          <t>Sale</t>
        </is>
      </c>
      <c r="R19" s="1"/>
      <c r="S19" s="15" t="n">
        <v>1668039.0</v>
      </c>
      <c r="T19" s="1" t="n">
        <v>1589.0</v>
      </c>
      <c r="U19" s="1" t="inlineStr">
        <is>
          <t>PRI-INV1.6-company</t>
        </is>
      </c>
      <c r="V19" s="1" t="inlineStr">
        <is>
          <t>19-Jun-26 10:16 AM</t>
        </is>
      </c>
      <c r="W19" s="1" t="inlineStr">
        <is>
          <t/>
        </is>
      </c>
      <c r="X19" s="1" t="inlineStr">
        <is>
          <t>AAACL0820G</t>
        </is>
      </c>
      <c r="Y19" s="1"/>
      <c r="Z19" s="1" t="inlineStr">
        <is>
          <t>7053058597</t>
        </is>
      </c>
      <c r="AA19" s="1" t="inlineStr">
        <is>
          <t/>
        </is>
      </c>
      <c r="AB19" s="1" t="n">
        <v>-1589.0</v>
      </c>
      <c r="AC19" s="1" t="inlineStr">
        <is>
          <t/>
        </is>
      </c>
      <c r="AD19" t="inlineStr">
        <is>
          <t>EPL</t>
        </is>
      </c>
      <c r="AE19" t="inlineStr">
        <is>
          <t>5276</t>
        </is>
      </c>
      <c r="AF19" t="inlineStr">
        <is>
          <t>6006001732</t>
        </is>
      </c>
      <c r="AG19" t="inlineStr">
        <is>
          <t>EP00</t>
        </is>
      </c>
      <c r="AH19" t="inlineStr">
        <is>
          <t>ANK2526/GIS00839</t>
        </is>
      </c>
      <c r="AI19" t="inlineStr">
        <is>
          <t>ANK2526/GIS00839</t>
        </is>
      </c>
      <c r="AJ19" t="inlineStr">
        <is>
          <t>I3</t>
        </is>
      </c>
      <c r="AK19" t="inlineStr">
        <is>
          <t>2025/09</t>
        </is>
      </c>
      <c r="AL19" t="inlineStr">
        <is>
          <t>EMHC</t>
        </is>
      </c>
      <c r="AM19" t="inlineStr">
        <is>
          <t>ENNOVA</t>
        </is>
      </c>
      <c r="AN19" t="inlineStr">
        <is>
          <t>19-12-2025</t>
        </is>
      </c>
      <c r="AO19" t="inlineStr">
        <is>
          <t>-1666450</t>
        </is>
      </c>
      <c r="AP19" t="inlineStr">
        <is>
          <t>INR</t>
        </is>
      </c>
      <c r="AQ19" t="inlineStr">
        <is>
          <t>INR</t>
        </is>
      </c>
      <c r="AR19" t="inlineStr">
        <is>
          <t>19-12-2025</t>
        </is>
      </c>
      <c r="AS19" t="inlineStr">
        <is>
          <t>-1588608.56</t>
        </is>
      </c>
      <c r="AT19" t="inlineStr">
        <is>
          <t>11-12-2025</t>
        </is>
      </c>
    </row>
    <row r="20">
      <c r="A20" s="1" t="inlineStr">
        <is>
          <t>e2c99a70-4d15-48ef-b920-e2e1303ed043</t>
        </is>
      </c>
      <c r="B20" s="1" t="inlineStr">
        <is>
          <t>dfa78401-46da-4c19-8814-55f73efb5a9d</t>
        </is>
      </c>
      <c r="C20" s="1" t="inlineStr">
        <is>
          <t>3a6a07f5-c8d0-3111-8209-202a899a258e</t>
        </is>
      </c>
      <c r="D20" s="1" t="inlineStr">
        <is>
          <t>TDS Booked by Party</t>
        </is>
      </c>
      <c r="E20" s="1" t="inlineStr">
        <is>
          <t>Date and Amount Matched - Recommended</t>
        </is>
      </c>
      <c r="F20" s="1" t="inlineStr">
        <is>
          <t>ledger</t>
        </is>
      </c>
      <c r="G20" s="1" t="inlineStr">
        <is>
          <t>12-02-2026</t>
        </is>
      </c>
      <c r="H20" s="1" t="inlineStr">
        <is>
          <t>7053058597</t>
        </is>
      </c>
      <c r="I20" s="1" t="inlineStr">
        <is>
          <t>payment</t>
        </is>
      </c>
      <c r="J20" s="1" t="inlineStr">
        <is>
          <t>KZ</t>
        </is>
      </c>
      <c r="K20" s="1"/>
      <c r="L20" s="15" t="n">
        <v>1666450.0</v>
      </c>
      <c r="M20" s="1" t="inlineStr">
        <is>
          <t>ledger</t>
        </is>
      </c>
      <c r="N20" s="1" t="inlineStr">
        <is>
          <t>12-02-2026</t>
        </is>
      </c>
      <c r="O20" s="1" t="inlineStr">
        <is>
          <t>UTIBR72026021200092359</t>
        </is>
      </c>
      <c r="P20" s="1" t="inlineStr">
        <is>
          <t>payment</t>
        </is>
      </c>
      <c r="Q20" s="1" t="inlineStr">
        <is>
          <t>Receipt</t>
        </is>
      </c>
      <c r="R20" s="1"/>
      <c r="S20" s="15" t="n">
        <v>-1668039.0</v>
      </c>
      <c r="T20" s="1" t="n">
        <v>-1589.0</v>
      </c>
      <c r="U20" s="1" t="inlineStr">
        <is>
          <t>SEC-PAY3.1-company</t>
        </is>
      </c>
      <c r="V20" s="1" t="inlineStr">
        <is>
          <t>19-Jun-26 10:16 AM</t>
        </is>
      </c>
      <c r="W20" s="1" t="inlineStr">
        <is>
          <t/>
        </is>
      </c>
      <c r="X20" s="1" t="inlineStr">
        <is>
          <t>AAACL0820G</t>
        </is>
      </c>
      <c r="Y20" s="1"/>
      <c r="Z20" s="1" t="inlineStr">
        <is>
          <t>7053058597</t>
        </is>
      </c>
      <c r="AA20" s="1" t="inlineStr">
        <is>
          <t/>
        </is>
      </c>
      <c r="AB20" s="1" t="n">
        <v>0.0</v>
      </c>
      <c r="AC20" s="1" t="inlineStr">
        <is>
          <t/>
        </is>
      </c>
      <c r="AD20" t="inlineStr">
        <is>
          <t>EPL</t>
        </is>
      </c>
      <c r="AE20" t="inlineStr">
        <is>
          <t>5276</t>
        </is>
      </c>
      <c r="AF20" t="inlineStr">
        <is>
          <t>7053058597</t>
        </is>
      </c>
      <c r="AG20" t="inlineStr">
        <is>
          <t>EP00</t>
        </is>
      </c>
      <c r="AH20" t="inlineStr">
        <is>
          <t>20260212-SJW10</t>
        </is>
      </c>
      <c r="AI20" t="inlineStr">
        <is>
          <t>20260212-SJW10</t>
        </is>
      </c>
      <c r="AJ20" t="inlineStr">
        <is>
          <t/>
        </is>
      </c>
      <c r="AK20" t="inlineStr">
        <is>
          <t>2025/11</t>
        </is>
      </c>
      <c r="AL20" t="inlineStr">
        <is>
          <t/>
        </is>
      </c>
      <c r="AM20" t="inlineStr">
        <is>
          <t>ENNOVA</t>
        </is>
      </c>
      <c r="AN20" t="inlineStr">
        <is>
          <t>12-02-2026</t>
        </is>
      </c>
      <c r="AO20" t="inlineStr">
        <is>
          <t>1666450</t>
        </is>
      </c>
      <c r="AP20" t="inlineStr">
        <is>
          <t>INR</t>
        </is>
      </c>
      <c r="AQ20" t="inlineStr">
        <is>
          <t>INR</t>
        </is>
      </c>
      <c r="AR20" t="inlineStr">
        <is>
          <t>12-02-2026</t>
        </is>
      </c>
      <c r="AS20" t="inlineStr">
        <is>
          <t>1588608.56</t>
        </is>
      </c>
      <c r="AT20" t="inlineStr">
        <is>
          <t>12-02-2026</t>
        </is>
      </c>
    </row>
    <row r="21">
      <c r="A21" s="1" t="inlineStr">
        <is>
          <t>31bbc752-4579-4f0a-8c60-93d9f4763baa</t>
        </is>
      </c>
      <c r="B21" s="1" t="inlineStr">
        <is>
          <t>81bba397-4096-40c8-b7e2-b7017396a2d5</t>
        </is>
      </c>
      <c r="C21" s="1" t="inlineStr">
        <is>
          <t>4121dcea-21e1-39ea-b2ae-617ac8d404e6</t>
        </is>
      </c>
      <c r="D21" s="1" t="inlineStr">
        <is>
          <t>TDS Booked by Company</t>
        </is>
      </c>
      <c r="E21" s="1" t="inlineStr">
        <is>
          <t>Invoice Number Matched</t>
        </is>
      </c>
      <c r="F21" s="1" t="inlineStr">
        <is>
          <t>ledger</t>
        </is>
      </c>
      <c r="G21" s="1" t="inlineStr">
        <is>
          <t>27-11-2025</t>
        </is>
      </c>
      <c r="H21" s="1" t="inlineStr">
        <is>
          <t>ANK2526/GIS00786</t>
        </is>
      </c>
      <c r="I21" s="1" t="inlineStr">
        <is>
          <t>invoice</t>
        </is>
      </c>
      <c r="J21" s="1" t="inlineStr">
        <is>
          <t>MF</t>
        </is>
      </c>
      <c r="K21" s="1" t="inlineStr">
        <is>
          <t>EMTIG INJECTION [P TO P]</t>
        </is>
      </c>
      <c r="L21" s="15" t="n">
        <v>-1707537.0</v>
      </c>
      <c r="M21" s="1" t="inlineStr">
        <is>
          <t>ledger</t>
        </is>
      </c>
      <c r="N21" s="1" t="inlineStr">
        <is>
          <t>27-11-2025</t>
        </is>
      </c>
      <c r="O21" s="1" t="inlineStr">
        <is>
          <t xml:space="preserve">ANK2526/GIS00786      </t>
        </is>
      </c>
      <c r="P21" s="1" t="inlineStr">
        <is>
          <t>invoice</t>
        </is>
      </c>
      <c r="Q21" s="1" t="inlineStr">
        <is>
          <t>Sale</t>
        </is>
      </c>
      <c r="R21" s="1"/>
      <c r="S21" s="15" t="n">
        <v>1709165.0</v>
      </c>
      <c r="T21" s="1" t="n">
        <v>1628.0</v>
      </c>
      <c r="U21" s="1" t="inlineStr">
        <is>
          <t>PRI-INV1.6-company</t>
        </is>
      </c>
      <c r="V21" s="1" t="inlineStr">
        <is>
          <t>19-Jun-26 10:16 AM</t>
        </is>
      </c>
      <c r="W21" s="1" t="inlineStr">
        <is>
          <t/>
        </is>
      </c>
      <c r="X21" s="1" t="inlineStr">
        <is>
          <t>AAACL0820G</t>
        </is>
      </c>
      <c r="Y21" s="1"/>
      <c r="Z21" s="1" t="inlineStr">
        <is>
          <t>7053053708</t>
        </is>
      </c>
      <c r="AA21" s="1" t="inlineStr">
        <is>
          <t/>
        </is>
      </c>
      <c r="AB21" s="1" t="n">
        <v>-1628.0</v>
      </c>
      <c r="AC21" s="1" t="inlineStr">
        <is>
          <t/>
        </is>
      </c>
      <c r="AD21" t="inlineStr">
        <is>
          <t>EPL</t>
        </is>
      </c>
      <c r="AE21" t="inlineStr">
        <is>
          <t>5906</t>
        </is>
      </c>
      <c r="AF21" t="inlineStr">
        <is>
          <t>6006001720</t>
        </is>
      </c>
      <c r="AG21" t="inlineStr">
        <is>
          <t>EP00</t>
        </is>
      </c>
      <c r="AH21" t="inlineStr">
        <is>
          <t>ANK2526/GIS00786</t>
        </is>
      </c>
      <c r="AI21" t="inlineStr">
        <is>
          <t>ANK2526/GIS00786</t>
        </is>
      </c>
      <c r="AJ21" t="inlineStr">
        <is>
          <t>I3</t>
        </is>
      </c>
      <c r="AK21" t="inlineStr">
        <is>
          <t>2025/09</t>
        </is>
      </c>
      <c r="AL21" t="inlineStr">
        <is>
          <t>EMHC</t>
        </is>
      </c>
      <c r="AM21" t="inlineStr">
        <is>
          <t>CRITI_CARE</t>
        </is>
      </c>
      <c r="AN21" t="inlineStr">
        <is>
          <t>19-12-2025</t>
        </is>
      </c>
      <c r="AO21" t="inlineStr">
        <is>
          <t>-1707537</t>
        </is>
      </c>
      <c r="AP21" t="inlineStr">
        <is>
          <t>INR</t>
        </is>
      </c>
      <c r="AQ21" t="inlineStr">
        <is>
          <t>INR</t>
        </is>
      </c>
      <c r="AR21" t="inlineStr">
        <is>
          <t>19-12-2025</t>
        </is>
      </c>
      <c r="AS21" t="inlineStr">
        <is>
          <t>-1627776.2</t>
        </is>
      </c>
      <c r="AT21" t="inlineStr">
        <is>
          <t>06-12-2025</t>
        </is>
      </c>
    </row>
    <row r="22">
      <c r="A22" s="1" t="inlineStr">
        <is>
          <t>01b0bfca-76c7-41e4-b373-b8f58d7c5a86</t>
        </is>
      </c>
      <c r="B22" s="1" t="inlineStr">
        <is>
          <t>1e1bce79-95dd-4cc6-8b1b-ff4d93cc6372</t>
        </is>
      </c>
      <c r="C22" s="1" t="inlineStr">
        <is>
          <t>4d6f23b7-dd76-3d73-b15f-1e43a867c178</t>
        </is>
      </c>
      <c r="D22" s="1" t="inlineStr">
        <is>
          <t>TDS Booked by Party</t>
        </is>
      </c>
      <c r="E22" s="1" t="inlineStr">
        <is>
          <t>Date and Amount Matched - Recommended</t>
        </is>
      </c>
      <c r="F22" s="1" t="inlineStr">
        <is>
          <t>ledger</t>
        </is>
      </c>
      <c r="G22" s="1" t="inlineStr">
        <is>
          <t>17-04-2025</t>
        </is>
      </c>
      <c r="H22" s="1" t="inlineStr">
        <is>
          <t>7053002545</t>
        </is>
      </c>
      <c r="I22" s="1" t="inlineStr">
        <is>
          <t>payment</t>
        </is>
      </c>
      <c r="J22" s="1" t="inlineStr">
        <is>
          <t>KZ</t>
        </is>
      </c>
      <c r="K22" s="1"/>
      <c r="L22" s="15" t="n">
        <v>7298494.0</v>
      </c>
      <c r="M22" s="1" t="inlineStr">
        <is>
          <t>ledger</t>
        </is>
      </c>
      <c r="N22" s="1" t="inlineStr">
        <is>
          <t>17-04-2025</t>
        </is>
      </c>
      <c r="O22" s="1" t="inlineStr">
        <is>
          <t>UTIBR72025041700038257</t>
        </is>
      </c>
      <c r="P22" s="1" t="inlineStr">
        <is>
          <t>payment</t>
        </is>
      </c>
      <c r="Q22" s="1" t="inlineStr">
        <is>
          <t>Receipt</t>
        </is>
      </c>
      <c r="R22" s="1"/>
      <c r="S22" s="15" t="n">
        <v>-7305016.0</v>
      </c>
      <c r="T22" s="1" t="n">
        <v>-6522.0</v>
      </c>
      <c r="U22" s="1" t="inlineStr">
        <is>
          <t>SEC-PAY3.1-company</t>
        </is>
      </c>
      <c r="V22" s="1" t="inlineStr">
        <is>
          <t>19-Jun-26 10:16 AM</t>
        </is>
      </c>
      <c r="W22" s="1" t="inlineStr">
        <is>
          <t/>
        </is>
      </c>
      <c r="X22" s="1" t="inlineStr">
        <is>
          <t>AAACL0820G</t>
        </is>
      </c>
      <c r="Y22" s="1"/>
      <c r="Z22" s="1" t="inlineStr">
        <is>
          <t>7053002545</t>
        </is>
      </c>
      <c r="AA22" s="1" t="inlineStr">
        <is>
          <t/>
        </is>
      </c>
      <c r="AB22" s="1" t="n">
        <v>0.0</v>
      </c>
      <c r="AC22" s="1" t="inlineStr">
        <is>
          <t/>
        </is>
      </c>
      <c r="AD22" t="inlineStr">
        <is>
          <t>EPL</t>
        </is>
      </c>
      <c r="AE22" t="inlineStr">
        <is>
          <t>5906</t>
        </is>
      </c>
      <c r="AF22" t="inlineStr">
        <is>
          <t>7053002545</t>
        </is>
      </c>
      <c r="AG22" t="inlineStr">
        <is>
          <t>EP00</t>
        </is>
      </c>
      <c r="AH22" t="inlineStr">
        <is>
          <t>20250417-SJH10</t>
        </is>
      </c>
      <c r="AI22" t="inlineStr">
        <is>
          <t>20250417-SJH10</t>
        </is>
      </c>
      <c r="AJ22" t="inlineStr">
        <is>
          <t/>
        </is>
      </c>
      <c r="AK22" t="inlineStr">
        <is>
          <t>2025/01</t>
        </is>
      </c>
      <c r="AL22" t="inlineStr">
        <is>
          <t/>
        </is>
      </c>
      <c r="AM22" t="inlineStr">
        <is>
          <t>CRITI_CARE</t>
        </is>
      </c>
      <c r="AN22" t="inlineStr">
        <is>
          <t>17-04-2025</t>
        </is>
      </c>
      <c r="AO22" t="inlineStr">
        <is>
          <t>7298494</t>
        </is>
      </c>
      <c r="AP22" t="inlineStr">
        <is>
          <t>INR</t>
        </is>
      </c>
      <c r="AQ22" t="inlineStr">
        <is>
          <t>INR</t>
        </is>
      </c>
      <c r="AR22" t="inlineStr">
        <is>
          <t>17-04-2025</t>
        </is>
      </c>
      <c r="AS22" t="inlineStr">
        <is>
          <t>6522335.6799999997</t>
        </is>
      </c>
      <c r="AT22" t="inlineStr">
        <is>
          <t>17-04-2025</t>
        </is>
      </c>
    </row>
    <row r="23">
      <c r="A23" s="1" t="inlineStr">
        <is>
          <t>168a257c-6f08-46b6-9608-0725e376ecba</t>
        </is>
      </c>
      <c r="B23" s="1" t="inlineStr">
        <is>
          <t>4cabb64d-c453-46f4-808e-9156760af86e</t>
        </is>
      </c>
      <c r="C23" s="1" t="inlineStr">
        <is>
          <t>5a843abf-e9ca-324c-afd1-0dedba4227f0</t>
        </is>
      </c>
      <c r="D23" s="1" t="inlineStr">
        <is>
          <t>TDS Booked by Company</t>
        </is>
      </c>
      <c r="E23" s="1" t="inlineStr">
        <is>
          <t>Invoice Number Matched</t>
        </is>
      </c>
      <c r="F23" s="1" t="inlineStr">
        <is>
          <t>ledger</t>
        </is>
      </c>
      <c r="G23" s="1" t="inlineStr">
        <is>
          <t>26-11-2025</t>
        </is>
      </c>
      <c r="H23" s="1" t="inlineStr">
        <is>
          <t>ANK2526/GIS00781</t>
        </is>
      </c>
      <c r="I23" s="1" t="inlineStr">
        <is>
          <t>invoice</t>
        </is>
      </c>
      <c r="J23" s="1" t="inlineStr">
        <is>
          <t>MF</t>
        </is>
      </c>
      <c r="K23" s="1" t="inlineStr">
        <is>
          <t>REBEZ  IV INJECTION [P TO P]</t>
        </is>
      </c>
      <c r="L23" s="15" t="n">
        <v>-292718.0</v>
      </c>
      <c r="M23" s="1" t="inlineStr">
        <is>
          <t>ledger</t>
        </is>
      </c>
      <c r="N23" s="1" t="inlineStr">
        <is>
          <t>26-11-2025</t>
        </is>
      </c>
      <c r="O23" s="1" t="inlineStr">
        <is>
          <t xml:space="preserve">ANK2526/GIS00781      </t>
        </is>
      </c>
      <c r="P23" s="1" t="inlineStr">
        <is>
          <t>invoice</t>
        </is>
      </c>
      <c r="Q23" s="1" t="inlineStr">
        <is>
          <t>Sale</t>
        </is>
      </c>
      <c r="R23" s="1"/>
      <c r="S23" s="15" t="n">
        <v>292997.0</v>
      </c>
      <c r="T23" s="1" t="n">
        <v>279.0</v>
      </c>
      <c r="U23" s="1" t="inlineStr">
        <is>
          <t>PRI-INV1.6-company</t>
        </is>
      </c>
      <c r="V23" s="1" t="inlineStr">
        <is>
          <t>19-Jun-26 10:16 AM</t>
        </is>
      </c>
      <c r="W23" s="1" t="inlineStr">
        <is>
          <t/>
        </is>
      </c>
      <c r="X23" s="1" t="inlineStr">
        <is>
          <t>AAACL0820G</t>
        </is>
      </c>
      <c r="Y23" s="1"/>
      <c r="Z23" s="1" t="inlineStr">
        <is>
          <t>7053054141</t>
        </is>
      </c>
      <c r="AA23" s="1" t="inlineStr">
        <is>
          <t/>
        </is>
      </c>
      <c r="AB23" s="1" t="n">
        <v>-279.0</v>
      </c>
      <c r="AC23" s="1" t="inlineStr">
        <is>
          <t/>
        </is>
      </c>
      <c r="AD23" t="inlineStr">
        <is>
          <t>EPL</t>
        </is>
      </c>
      <c r="AE23" t="inlineStr">
        <is>
          <t>5276</t>
        </is>
      </c>
      <c r="AF23" t="inlineStr">
        <is>
          <t>6006001724</t>
        </is>
      </c>
      <c r="AG23" t="inlineStr">
        <is>
          <t>EP00</t>
        </is>
      </c>
      <c r="AH23" t="inlineStr">
        <is>
          <t>ANK2526/GIS00781</t>
        </is>
      </c>
      <c r="AI23" t="inlineStr">
        <is>
          <t>ANK2526/GIS00781</t>
        </is>
      </c>
      <c r="AJ23" t="inlineStr">
        <is>
          <t>I3</t>
        </is>
      </c>
      <c r="AK23" t="inlineStr">
        <is>
          <t>2025/09</t>
        </is>
      </c>
      <c r="AL23" t="inlineStr">
        <is>
          <t>EMHC</t>
        </is>
      </c>
      <c r="AM23" t="inlineStr">
        <is>
          <t>ENNOVA</t>
        </is>
      </c>
      <c r="AN23" t="inlineStr">
        <is>
          <t>19-12-2025</t>
        </is>
      </c>
      <c r="AO23" t="inlineStr">
        <is>
          <t>-292718</t>
        </is>
      </c>
      <c r="AP23" t="inlineStr">
        <is>
          <t>INR</t>
        </is>
      </c>
      <c r="AQ23" t="inlineStr">
        <is>
          <t>INR</t>
        </is>
      </c>
      <c r="AR23" t="inlineStr">
        <is>
          <t>19-12-2025</t>
        </is>
      </c>
      <c r="AS23" t="inlineStr">
        <is>
          <t>-279044.75</t>
        </is>
      </c>
      <c r="AT23" t="inlineStr">
        <is>
          <t>08-12-2025</t>
        </is>
      </c>
    </row>
    <row r="24">
      <c r="A24" s="1" t="inlineStr">
        <is>
          <t>7c3db2b5-709b-419a-9fee-1ff7747aea8a</t>
        </is>
      </c>
      <c r="B24" s="1" t="inlineStr">
        <is>
          <t>6a61b6ee-0eba-480f-ba9a-db85633f5e91</t>
        </is>
      </c>
      <c r="C24" s="1" t="inlineStr">
        <is>
          <t>5c4816a8-ac14-3e72-9090-a3b72bad22e7</t>
        </is>
      </c>
      <c r="D24" s="1" t="inlineStr">
        <is>
          <t>TDS Booked by Party</t>
        </is>
      </c>
      <c r="E24" s="1" t="inlineStr">
        <is>
          <t>Date and Amount Matched - Recommended</t>
        </is>
      </c>
      <c r="F24" s="1" t="inlineStr">
        <is>
          <t>ledger</t>
        </is>
      </c>
      <c r="G24" s="1" t="inlineStr">
        <is>
          <t>01-10-2025</t>
        </is>
      </c>
      <c r="H24" s="1" t="inlineStr">
        <is>
          <t>7053031634</t>
        </is>
      </c>
      <c r="I24" s="1" t="inlineStr">
        <is>
          <t>payment</t>
        </is>
      </c>
      <c r="J24" s="1" t="inlineStr">
        <is>
          <t>KZ</t>
        </is>
      </c>
      <c r="K24" s="1"/>
      <c r="L24" s="15" t="n">
        <v>1070387.0</v>
      </c>
      <c r="M24" s="1" t="inlineStr">
        <is>
          <t>ledger</t>
        </is>
      </c>
      <c r="N24" s="1" t="inlineStr">
        <is>
          <t>01-10-2025</t>
        </is>
      </c>
      <c r="O24" s="1" t="inlineStr">
        <is>
          <t xml:space="preserve">AXISCN1103265077      </t>
        </is>
      </c>
      <c r="P24" s="1" t="inlineStr">
        <is>
          <t>payment</t>
        </is>
      </c>
      <c r="Q24" s="1" t="inlineStr">
        <is>
          <t>Receipt</t>
        </is>
      </c>
      <c r="R24" s="1"/>
      <c r="S24" s="15" t="n">
        <v>-1089849.6</v>
      </c>
      <c r="T24" s="1" t="n">
        <v>-19462.600000000093</v>
      </c>
      <c r="U24" s="1" t="inlineStr">
        <is>
          <t>SEC-PAY3.1-company</t>
        </is>
      </c>
      <c r="V24" s="1" t="inlineStr">
        <is>
          <t>19-Jun-26 10:16 AM</t>
        </is>
      </c>
      <c r="W24" s="1" t="inlineStr">
        <is>
          <t/>
        </is>
      </c>
      <c r="X24" s="1" t="inlineStr">
        <is>
          <t>AAACL0820G</t>
        </is>
      </c>
      <c r="Y24" s="1"/>
      <c r="Z24" s="1" t="inlineStr">
        <is>
          <t>7053031634</t>
        </is>
      </c>
      <c r="AA24" s="1" t="inlineStr">
        <is>
          <t/>
        </is>
      </c>
      <c r="AB24" s="1" t="n">
        <v>0.0</v>
      </c>
      <c r="AC24" s="1" t="inlineStr">
        <is>
          <t/>
        </is>
      </c>
      <c r="AD24" t="inlineStr">
        <is>
          <t>EPL</t>
        </is>
      </c>
      <c r="AE24" t="inlineStr">
        <is>
          <t>5159</t>
        </is>
      </c>
      <c r="AF24" t="inlineStr">
        <is>
          <t>7053031634</t>
        </is>
      </c>
      <c r="AG24" t="inlineStr">
        <is>
          <t>EP00</t>
        </is>
      </c>
      <c r="AH24" t="inlineStr">
        <is>
          <t>20251001-SJH11</t>
        </is>
      </c>
      <c r="AI24" t="inlineStr">
        <is>
          <t>20251001-SJH11</t>
        </is>
      </c>
      <c r="AJ24" t="inlineStr">
        <is>
          <t/>
        </is>
      </c>
      <c r="AK24" t="inlineStr">
        <is>
          <t>2025/07</t>
        </is>
      </c>
      <c r="AL24" t="inlineStr">
        <is>
          <t/>
        </is>
      </c>
      <c r="AM24" t="inlineStr">
        <is>
          <t>2500</t>
        </is>
      </c>
      <c r="AN24" t="inlineStr">
        <is>
          <t>01-10-2025</t>
        </is>
      </c>
      <c r="AO24" t="inlineStr">
        <is>
          <t>1070387</t>
        </is>
      </c>
      <c r="AP24" t="inlineStr">
        <is>
          <t>INR</t>
        </is>
      </c>
      <c r="AQ24" t="inlineStr">
        <is>
          <t>INR</t>
        </is>
      </c>
      <c r="AR24" t="inlineStr">
        <is>
          <t>01-10-2025</t>
        </is>
      </c>
      <c r="AS24" t="inlineStr">
        <is>
          <t>973080</t>
        </is>
      </c>
      <c r="AT24" t="inlineStr">
        <is>
          <t>01-10-2025</t>
        </is>
      </c>
    </row>
    <row r="25">
      <c r="A25" s="1" t="inlineStr">
        <is>
          <t>40a85208-dcf4-496e-bfaa-a1aa50d87efd</t>
        </is>
      </c>
      <c r="B25" s="1" t="inlineStr">
        <is>
          <t>412b0cf1-2b9a-4f3d-b552-fb96018b8efd</t>
        </is>
      </c>
      <c r="C25" s="1" t="inlineStr">
        <is>
          <t>5e3d74eb-1238-31a5-b9ea-68850a0ee4b8</t>
        </is>
      </c>
      <c r="D25" s="1" t="inlineStr">
        <is>
          <t>TDS Booked by Company</t>
        </is>
      </c>
      <c r="E25" s="1" t="inlineStr">
        <is>
          <t>Invoice Number Matched</t>
        </is>
      </c>
      <c r="F25" s="1" t="inlineStr">
        <is>
          <t>ledger</t>
        </is>
      </c>
      <c r="G25" s="1" t="inlineStr">
        <is>
          <t>21-08-2025</t>
        </is>
      </c>
      <c r="H25" s="1" t="inlineStr">
        <is>
          <t>ANK2526/SER00049</t>
        </is>
      </c>
      <c r="I25" s="1" t="inlineStr">
        <is>
          <t>invoice</t>
        </is>
      </c>
      <c r="J25" s="1" t="inlineStr">
        <is>
          <t>KR</t>
        </is>
      </c>
      <c r="K25" s="1" t="inlineStr">
        <is>
          <t>LYKA RATE DIFFERENCE</t>
        </is>
      </c>
      <c r="L25" s="15" t="n">
        <v>-99742.0</v>
      </c>
      <c r="M25" s="1" t="inlineStr">
        <is>
          <t>ledger</t>
        </is>
      </c>
      <c r="N25" s="1" t="inlineStr">
        <is>
          <t>21-08-2025</t>
        </is>
      </c>
      <c r="O25" s="1" t="inlineStr">
        <is>
          <t xml:space="preserve">ANK2526/SER00049      </t>
        </is>
      </c>
      <c r="P25" s="1" t="inlineStr">
        <is>
          <t>invoice</t>
        </is>
      </c>
      <c r="Q25" s="1" t="inlineStr">
        <is>
          <t>Other</t>
        </is>
      </c>
      <c r="R25" s="1"/>
      <c r="S25" s="15" t="n">
        <v>101556.0</v>
      </c>
      <c r="T25" s="1" t="n">
        <v>1814.0</v>
      </c>
      <c r="U25" s="1" t="inlineStr">
        <is>
          <t>PRI-INV1.6-company</t>
        </is>
      </c>
      <c r="V25" s="1" t="inlineStr">
        <is>
          <t>19-Jun-26 10:16 AM</t>
        </is>
      </c>
      <c r="W25" s="1" t="inlineStr">
        <is>
          <t/>
        </is>
      </c>
      <c r="X25" s="1" t="inlineStr">
        <is>
          <t>AAACL0820G</t>
        </is>
      </c>
      <c r="Y25" s="1"/>
      <c r="Z25" s="1" t="inlineStr">
        <is>
          <t>7053032927</t>
        </is>
      </c>
      <c r="AA25" s="1" t="inlineStr">
        <is>
          <t/>
        </is>
      </c>
      <c r="AB25" s="1" t="n">
        <v>-1814.0</v>
      </c>
      <c r="AC25" s="1" t="inlineStr">
        <is>
          <t/>
        </is>
      </c>
      <c r="AD25" t="inlineStr">
        <is>
          <t>EPL</t>
        </is>
      </c>
      <c r="AE25" t="inlineStr">
        <is>
          <t>5159</t>
        </is>
      </c>
      <c r="AF25" t="inlineStr">
        <is>
          <t>7043041053</t>
        </is>
      </c>
      <c r="AG25" t="inlineStr">
        <is>
          <t>EP00</t>
        </is>
      </c>
      <c r="AH25" t="inlineStr">
        <is>
          <t>ANK2526/SER00049</t>
        </is>
      </c>
      <c r="AI25" t="inlineStr">
        <is>
          <t/>
        </is>
      </c>
      <c r="AJ25" t="inlineStr">
        <is>
          <t>IH</t>
        </is>
      </c>
      <c r="AK25" t="inlineStr">
        <is>
          <t>2025/06</t>
        </is>
      </c>
      <c r="AL25" t="inlineStr">
        <is>
          <t>2025159442</t>
        </is>
      </c>
      <c r="AM25" t="inlineStr">
        <is>
          <t>2500</t>
        </is>
      </c>
      <c r="AN25" t="inlineStr">
        <is>
          <t>10-09-2025</t>
        </is>
      </c>
      <c r="AO25" t="inlineStr">
        <is>
          <t>-99742</t>
        </is>
      </c>
      <c r="AP25" t="inlineStr">
        <is>
          <t>INR</t>
        </is>
      </c>
      <c r="AQ25" t="inlineStr">
        <is>
          <t>INR</t>
        </is>
      </c>
      <c r="AR25" t="inlineStr">
        <is>
          <t>10-09-2025</t>
        </is>
      </c>
      <c r="AS25" t="inlineStr">
        <is>
          <t>-90675</t>
        </is>
      </c>
      <c r="AT25" t="inlineStr">
        <is>
          <t>25-09-2025</t>
        </is>
      </c>
    </row>
    <row r="26">
      <c r="A26" s="1" t="inlineStr">
        <is>
          <t>d1150970-655c-4d2c-b033-cd90711105ce</t>
        </is>
      </c>
      <c r="B26" s="1" t="inlineStr">
        <is>
          <t>e95e28a5-d3f0-4f82-9ff8-0b8b5698664d</t>
        </is>
      </c>
      <c r="C26" s="1" t="inlineStr">
        <is>
          <t>60345083-22dc-399c-9caf-fadd92d4175f</t>
        </is>
      </c>
      <c r="D26" s="1" t="inlineStr">
        <is>
          <t>TDS Booked by Party</t>
        </is>
      </c>
      <c r="E26" s="1" t="inlineStr">
        <is>
          <t>Date and Amount Matched - Recommended</t>
        </is>
      </c>
      <c r="F26" s="1" t="inlineStr">
        <is>
          <t>ledger</t>
        </is>
      </c>
      <c r="G26" s="1" t="inlineStr">
        <is>
          <t>10-10-2025</t>
        </is>
      </c>
      <c r="H26" s="1" t="inlineStr">
        <is>
          <t>7053033678</t>
        </is>
      </c>
      <c r="I26" s="1" t="inlineStr">
        <is>
          <t>payment</t>
        </is>
      </c>
      <c r="J26" s="1" t="inlineStr">
        <is>
          <t>KZ</t>
        </is>
      </c>
      <c r="K26" s="1"/>
      <c r="L26" s="15" t="n">
        <v>2460902.0</v>
      </c>
      <c r="M26" s="1" t="inlineStr">
        <is>
          <t>ledger</t>
        </is>
      </c>
      <c r="N26" s="1" t="inlineStr">
        <is>
          <t>10-10-2025</t>
        </is>
      </c>
      <c r="O26" s="1" t="inlineStr">
        <is>
          <t xml:space="preserve">AXISCN1114230662      </t>
        </is>
      </c>
      <c r="P26" s="1" t="inlineStr">
        <is>
          <t>payment</t>
        </is>
      </c>
      <c r="Q26" s="1" t="inlineStr">
        <is>
          <t>Receipt</t>
        </is>
      </c>
      <c r="R26" s="1"/>
      <c r="S26" s="15" t="n">
        <v>-2505646.08</v>
      </c>
      <c r="T26" s="1" t="n">
        <v>-44744.080000000075</v>
      </c>
      <c r="U26" s="1" t="inlineStr">
        <is>
          <t>SEC-PAY3.1-company</t>
        </is>
      </c>
      <c r="V26" s="1" t="inlineStr">
        <is>
          <t>19-Jun-26 10:16 AM</t>
        </is>
      </c>
      <c r="W26" s="1" t="inlineStr">
        <is>
          <t/>
        </is>
      </c>
      <c r="X26" s="1" t="inlineStr">
        <is>
          <t>AAACL0820G</t>
        </is>
      </c>
      <c r="Y26" s="1"/>
      <c r="Z26" s="1" t="inlineStr">
        <is>
          <t>7053033678</t>
        </is>
      </c>
      <c r="AA26" s="1" t="inlineStr">
        <is>
          <t/>
        </is>
      </c>
      <c r="AB26" s="1" t="n">
        <v>0.0</v>
      </c>
      <c r="AC26" s="1" t="inlineStr">
        <is>
          <t/>
        </is>
      </c>
      <c r="AD26" t="inlineStr">
        <is>
          <t>EPL</t>
        </is>
      </c>
      <c r="AE26" t="inlineStr">
        <is>
          <t>5159</t>
        </is>
      </c>
      <c r="AF26" t="inlineStr">
        <is>
          <t>7053033678</t>
        </is>
      </c>
      <c r="AG26" t="inlineStr">
        <is>
          <t>EP00</t>
        </is>
      </c>
      <c r="AH26" t="inlineStr">
        <is>
          <t>20251010-MSMSJ</t>
        </is>
      </c>
      <c r="AI26" t="inlineStr">
        <is>
          <t>20251010-MSMSJ</t>
        </is>
      </c>
      <c r="AJ26" t="inlineStr">
        <is>
          <t/>
        </is>
      </c>
      <c r="AK26" t="inlineStr">
        <is>
          <t>2025/07</t>
        </is>
      </c>
      <c r="AL26" t="inlineStr">
        <is>
          <t/>
        </is>
      </c>
      <c r="AM26" t="inlineStr">
        <is>
          <t>2500</t>
        </is>
      </c>
      <c r="AN26" t="inlineStr">
        <is>
          <t>10-10-2025</t>
        </is>
      </c>
      <c r="AO26" t="inlineStr">
        <is>
          <t>2460902</t>
        </is>
      </c>
      <c r="AP26" t="inlineStr">
        <is>
          <t>INR</t>
        </is>
      </c>
      <c r="AQ26" t="inlineStr">
        <is>
          <t>INR</t>
        </is>
      </c>
      <c r="AR26" t="inlineStr">
        <is>
          <t>10-10-2025</t>
        </is>
      </c>
      <c r="AS26" t="inlineStr">
        <is>
          <t>2237184</t>
        </is>
      </c>
      <c r="AT26" t="inlineStr">
        <is>
          <t>10-10-2025</t>
        </is>
      </c>
    </row>
    <row r="27">
      <c r="A27" s="1" t="inlineStr">
        <is>
          <t>25c35bca-1693-4cb9-90b0-065e84c3251d</t>
        </is>
      </c>
      <c r="B27" s="1" t="inlineStr">
        <is>
          <t>e2f002de-023e-4431-af63-6f673f3fc3cb</t>
        </is>
      </c>
      <c r="C27" s="1" t="inlineStr">
        <is>
          <t>61a89e37-90ac-4087-8224-63e799811c06</t>
        </is>
      </c>
      <c r="D27" s="1" t="inlineStr">
        <is>
          <t>TDS Booked by Party</t>
        </is>
      </c>
      <c r="E27" s="1" t="inlineStr">
        <is>
          <t>Payment Matched - Recommended</t>
        </is>
      </c>
      <c r="F27" s="1" t="inlineStr">
        <is>
          <t>ledger</t>
        </is>
      </c>
      <c r="G27" s="1" t="inlineStr">
        <is>
          <t>17-10-2025</t>
        </is>
      </c>
      <c r="H27" s="1" t="inlineStr">
        <is>
          <t>7053036126</t>
        </is>
      </c>
      <c r="I27" s="1" t="inlineStr">
        <is>
          <t>payment</t>
        </is>
      </c>
      <c r="J27" s="1" t="inlineStr">
        <is>
          <t>KZ</t>
        </is>
      </c>
      <c r="K27" s="1"/>
      <c r="L27" s="15" t="n">
        <v>3917289.0</v>
      </c>
      <c r="M27" s="1" t="inlineStr">
        <is>
          <t>ledger</t>
        </is>
      </c>
      <c r="N27" s="1" t="inlineStr">
        <is>
          <t>18-10-2025</t>
        </is>
      </c>
      <c r="O27" s="1" t="inlineStr">
        <is>
          <t xml:space="preserve">AXISCN1122982304      </t>
        </is>
      </c>
      <c r="P27" s="1" t="inlineStr">
        <is>
          <t>payment</t>
        </is>
      </c>
      <c r="Q27" s="1" t="inlineStr">
        <is>
          <t>Receipt</t>
        </is>
      </c>
      <c r="R27" s="1"/>
      <c r="S27" s="15" t="n">
        <v>-3920000.0</v>
      </c>
      <c r="T27" s="1" t="n">
        <v>-2711.0</v>
      </c>
      <c r="U27" s="1" t="inlineStr">
        <is>
          <t>SEC-PAY4.1-company</t>
        </is>
      </c>
      <c r="V27" s="1" t="inlineStr">
        <is>
          <t>19-Jun-26 10:16 AM</t>
        </is>
      </c>
      <c r="W27" s="1" t="inlineStr">
        <is>
          <t/>
        </is>
      </c>
      <c r="X27" s="1" t="inlineStr">
        <is>
          <t>AAACL0820G</t>
        </is>
      </c>
      <c r="Y27" s="1"/>
      <c r="Z27" s="1" t="inlineStr">
        <is>
          <t>7053036126</t>
        </is>
      </c>
      <c r="AA27" s="1" t="inlineStr">
        <is>
          <t/>
        </is>
      </c>
      <c r="AB27" s="1" t="n">
        <v>0.0</v>
      </c>
      <c r="AC27" s="1" t="inlineStr">
        <is>
          <t/>
        </is>
      </c>
      <c r="AD27" t="inlineStr">
        <is>
          <t>EPL</t>
        </is>
      </c>
      <c r="AE27" t="inlineStr">
        <is>
          <t>5906</t>
        </is>
      </c>
      <c r="AF27" t="inlineStr">
        <is>
          <t>7053036126</t>
        </is>
      </c>
      <c r="AG27" t="inlineStr">
        <is>
          <t>EP00</t>
        </is>
      </c>
      <c r="AH27" t="inlineStr">
        <is>
          <t>20251017-MSESJ</t>
        </is>
      </c>
      <c r="AI27" t="inlineStr">
        <is>
          <t>20251017-MSESJ</t>
        </is>
      </c>
      <c r="AJ27" t="inlineStr">
        <is>
          <t/>
        </is>
      </c>
      <c r="AK27" t="inlineStr">
        <is>
          <t>2025/07</t>
        </is>
      </c>
      <c r="AL27" t="inlineStr">
        <is>
          <t/>
        </is>
      </c>
      <c r="AM27" t="inlineStr">
        <is>
          <t>XENNEA</t>
        </is>
      </c>
      <c r="AN27" t="inlineStr">
        <is>
          <t>17-10-2025</t>
        </is>
      </c>
      <c r="AO27" t="inlineStr">
        <is>
          <t>3917289</t>
        </is>
      </c>
      <c r="AP27" t="inlineStr">
        <is>
          <t>INR</t>
        </is>
      </c>
      <c r="AQ27" t="inlineStr">
        <is>
          <t>INR</t>
        </is>
      </c>
      <c r="AR27" t="inlineStr">
        <is>
          <t>17-10-2025</t>
        </is>
      </c>
      <c r="AS27" t="inlineStr">
        <is>
          <t>3500000</t>
        </is>
      </c>
      <c r="AT27" t="inlineStr">
        <is>
          <t>17-10-2025</t>
        </is>
      </c>
    </row>
    <row r="28">
      <c r="A28" s="1" t="inlineStr">
        <is>
          <t>5d4248ec-7a4e-4fcd-bcc9-3fa3cbd79825</t>
        </is>
      </c>
      <c r="B28" s="1" t="inlineStr">
        <is>
          <t>80f49ab0-4efa-4eda-b1aa-723f9a2e2702</t>
        </is>
      </c>
      <c r="C28" s="1" t="inlineStr">
        <is>
          <t>7515671b-9a76-3276-8caa-36e894b60403</t>
        </is>
      </c>
      <c r="D28" s="1" t="inlineStr">
        <is>
          <t>TDS Booked by Company</t>
        </is>
      </c>
      <c r="E28" s="1" t="inlineStr">
        <is>
          <t>Invoice Number Matched</t>
        </is>
      </c>
      <c r="F28" s="1" t="inlineStr">
        <is>
          <t>ledger</t>
        </is>
      </c>
      <c r="G28" s="1" t="inlineStr">
        <is>
          <t>30-11-2025</t>
        </is>
      </c>
      <c r="H28" s="1" t="inlineStr">
        <is>
          <t>ANK2526/GIS00823</t>
        </is>
      </c>
      <c r="I28" s="1" t="inlineStr">
        <is>
          <t>invoice</t>
        </is>
      </c>
      <c r="J28" s="1" t="inlineStr">
        <is>
          <t>MF</t>
        </is>
      </c>
      <c r="K28" s="1" t="inlineStr">
        <is>
          <t>REBEZ  IV INJECTION [P TO P]</t>
        </is>
      </c>
      <c r="L28" s="15" t="n">
        <v>-834164.0</v>
      </c>
      <c r="M28" s="1" t="inlineStr">
        <is>
          <t>ledger</t>
        </is>
      </c>
      <c r="N28" s="1" t="inlineStr">
        <is>
          <t>30-11-2025</t>
        </is>
      </c>
      <c r="O28" s="1" t="inlineStr">
        <is>
          <t xml:space="preserve">ANK2526/GIS00823      </t>
        </is>
      </c>
      <c r="P28" s="1" t="inlineStr">
        <is>
          <t>invoice</t>
        </is>
      </c>
      <c r="Q28" s="1" t="inlineStr">
        <is>
          <t>Sale</t>
        </is>
      </c>
      <c r="R28" s="1"/>
      <c r="S28" s="15" t="n">
        <v>834959.0</v>
      </c>
      <c r="T28" s="1" t="n">
        <v>795.0</v>
      </c>
      <c r="U28" s="1" t="inlineStr">
        <is>
          <t>PRI-INV1.6-company</t>
        </is>
      </c>
      <c r="V28" s="1" t="inlineStr">
        <is>
          <t>19-Jun-26 10:16 AM</t>
        </is>
      </c>
      <c r="W28" s="1" t="inlineStr">
        <is>
          <t/>
        </is>
      </c>
      <c r="X28" s="1" t="inlineStr">
        <is>
          <t>AAACL0820G</t>
        </is>
      </c>
      <c r="Y28" s="1"/>
      <c r="Z28" s="1" t="inlineStr">
        <is>
          <t>7053055928</t>
        </is>
      </c>
      <c r="AA28" s="1" t="inlineStr">
        <is>
          <t/>
        </is>
      </c>
      <c r="AB28" s="1" t="n">
        <v>-795.0</v>
      </c>
      <c r="AC28" s="1" t="inlineStr">
        <is>
          <t/>
        </is>
      </c>
      <c r="AD28" t="inlineStr">
        <is>
          <t>EPL</t>
        </is>
      </c>
      <c r="AE28" t="inlineStr">
        <is>
          <t>5276</t>
        </is>
      </c>
      <c r="AF28" t="inlineStr">
        <is>
          <t>6006001769</t>
        </is>
      </c>
      <c r="AG28" t="inlineStr">
        <is>
          <t>EP00</t>
        </is>
      </c>
      <c r="AH28" t="inlineStr">
        <is>
          <t>ANK2526/GIS00823</t>
        </is>
      </c>
      <c r="AI28" t="inlineStr">
        <is>
          <t>ANK2526/GIS00823</t>
        </is>
      </c>
      <c r="AJ28" t="inlineStr">
        <is>
          <t>I3</t>
        </is>
      </c>
      <c r="AK28" t="inlineStr">
        <is>
          <t>2025/09</t>
        </is>
      </c>
      <c r="AL28" t="inlineStr">
        <is>
          <t>EMHC</t>
        </is>
      </c>
      <c r="AM28" t="inlineStr">
        <is>
          <t>ENNOVA</t>
        </is>
      </c>
      <c r="AN28" t="inlineStr">
        <is>
          <t>22-12-2025</t>
        </is>
      </c>
      <c r="AO28" t="inlineStr">
        <is>
          <t>-834164</t>
        </is>
      </c>
      <c r="AP28" t="inlineStr">
        <is>
          <t>INR</t>
        </is>
      </c>
      <c r="AQ28" t="inlineStr">
        <is>
          <t>INR</t>
        </is>
      </c>
      <c r="AR28" t="inlineStr">
        <is>
          <t>22-12-2025</t>
        </is>
      </c>
      <c r="AS28" t="inlineStr">
        <is>
          <t>-795199.06</t>
        </is>
      </c>
      <c r="AT28" t="inlineStr">
        <is>
          <t>11-12-2025</t>
        </is>
      </c>
    </row>
    <row r="29">
      <c r="A29" s="1" t="inlineStr">
        <is>
          <t>e88999b1-05ec-4268-bbbc-5119f6a8b867</t>
        </is>
      </c>
      <c r="B29" s="1" t="inlineStr">
        <is>
          <t>3df3999c-3eae-447e-86eb-ace45ffe1656</t>
        </is>
      </c>
      <c r="C29" s="1" t="inlineStr">
        <is>
          <t>7969e88d-93c3-3ac6-a71b-a5a023490392</t>
        </is>
      </c>
      <c r="D29" s="1" t="inlineStr">
        <is>
          <t>TDS Booked by Company</t>
        </is>
      </c>
      <c r="E29" s="1" t="inlineStr">
        <is>
          <t>Invoice Number Matched</t>
        </is>
      </c>
      <c r="F29" s="1" t="inlineStr">
        <is>
          <t>ledger</t>
        </is>
      </c>
      <c r="G29" s="1" t="inlineStr">
        <is>
          <t>31-10-2025</t>
        </is>
      </c>
      <c r="H29" s="1" t="inlineStr">
        <is>
          <t>ANK2526/GIS00697</t>
        </is>
      </c>
      <c r="I29" s="1" t="inlineStr">
        <is>
          <t>invoice</t>
        </is>
      </c>
      <c r="J29" s="1" t="inlineStr">
        <is>
          <t>MF</t>
        </is>
      </c>
      <c r="K29" s="1" t="inlineStr">
        <is>
          <t>EMTIG INJECTION [P TO P]</t>
        </is>
      </c>
      <c r="L29" s="15" t="n">
        <v>-3480330.0</v>
      </c>
      <c r="M29" s="1" t="inlineStr">
        <is>
          <t>ledger</t>
        </is>
      </c>
      <c r="N29" s="1" t="inlineStr">
        <is>
          <t>31-10-2025</t>
        </is>
      </c>
      <c r="O29" s="1" t="inlineStr">
        <is>
          <t xml:space="preserve">ANK2526/GIS00697      </t>
        </is>
      </c>
      <c r="P29" s="1" t="inlineStr">
        <is>
          <t>invoice</t>
        </is>
      </c>
      <c r="Q29" s="1" t="inlineStr">
        <is>
          <t>Sale</t>
        </is>
      </c>
      <c r="R29" s="1"/>
      <c r="S29" s="15" t="n">
        <v>3483648.0</v>
      </c>
      <c r="T29" s="1" t="n">
        <v>3318.0</v>
      </c>
      <c r="U29" s="1" t="inlineStr">
        <is>
          <t>PRI-INV1.6-company</t>
        </is>
      </c>
      <c r="V29" s="1" t="inlineStr">
        <is>
          <t>19-Jun-26 10:16 AM</t>
        </is>
      </c>
      <c r="W29" s="1" t="inlineStr">
        <is>
          <t/>
        </is>
      </c>
      <c r="X29" s="1" t="inlineStr">
        <is>
          <t>AAACL0820G</t>
        </is>
      </c>
      <c r="Y29" s="1"/>
      <c r="Z29" s="1" t="inlineStr">
        <is>
          <t>7053052271</t>
        </is>
      </c>
      <c r="AA29" s="1" t="inlineStr">
        <is>
          <t/>
        </is>
      </c>
      <c r="AB29" s="1" t="n">
        <v>-3318.0</v>
      </c>
      <c r="AC29" s="1" t="inlineStr">
        <is>
          <t/>
        </is>
      </c>
      <c r="AD29" t="inlineStr">
        <is>
          <t>EPL</t>
        </is>
      </c>
      <c r="AE29" t="inlineStr">
        <is>
          <t>5906</t>
        </is>
      </c>
      <c r="AF29" t="inlineStr">
        <is>
          <t>6006001534</t>
        </is>
      </c>
      <c r="AG29" t="inlineStr">
        <is>
          <t>EP00</t>
        </is>
      </c>
      <c r="AH29" t="inlineStr">
        <is>
          <t>ANK2526/GIS00697</t>
        </is>
      </c>
      <c r="AI29" t="inlineStr">
        <is>
          <t>ANK2526/GIS00697</t>
        </is>
      </c>
      <c r="AJ29" t="inlineStr">
        <is>
          <t>I3</t>
        </is>
      </c>
      <c r="AK29" t="inlineStr">
        <is>
          <t>2025/08</t>
        </is>
      </c>
      <c r="AL29" t="inlineStr">
        <is>
          <t>EMHC</t>
        </is>
      </c>
      <c r="AM29" t="inlineStr">
        <is>
          <t>CRITI_CARE</t>
        </is>
      </c>
      <c r="AN29" t="inlineStr">
        <is>
          <t>19-11-2025</t>
        </is>
      </c>
      <c r="AO29" t="inlineStr">
        <is>
          <t>-3480330</t>
        </is>
      </c>
      <c r="AP29" t="inlineStr">
        <is>
          <t>INR</t>
        </is>
      </c>
      <c r="AQ29" t="inlineStr">
        <is>
          <t>INR</t>
        </is>
      </c>
      <c r="AR29" t="inlineStr">
        <is>
          <t>19-11-2025</t>
        </is>
      </c>
      <c r="AS29" t="inlineStr">
        <is>
          <t>-3317760</t>
        </is>
      </c>
      <c r="AT29" t="inlineStr">
        <is>
          <t>13-11-2025</t>
        </is>
      </c>
    </row>
    <row r="30">
      <c r="A30" s="1" t="inlineStr">
        <is>
          <t>74df1aa3-bc82-40e6-b13c-9ad2dd46ec10</t>
        </is>
      </c>
      <c r="B30" s="1" t="inlineStr">
        <is>
          <t>d151a706-c557-4177-ace4-ad6f0c530f1d</t>
        </is>
      </c>
      <c r="C30" s="1" t="inlineStr">
        <is>
          <t>7f4b4023-d438-3660-b28b-f92d110c9b33</t>
        </is>
      </c>
      <c r="D30" s="1" t="inlineStr">
        <is>
          <t>TDS Booked by Company</t>
        </is>
      </c>
      <c r="E30" s="1" t="inlineStr">
        <is>
          <t>Invoice Number Matched</t>
        </is>
      </c>
      <c r="F30" s="1" t="inlineStr">
        <is>
          <t>ledger</t>
        </is>
      </c>
      <c r="G30" s="1" t="inlineStr">
        <is>
          <t>19-07-2025</t>
        </is>
      </c>
      <c r="H30" s="1" t="inlineStr">
        <is>
          <t>ANK2526/SER00034</t>
        </is>
      </c>
      <c r="I30" s="1" t="inlineStr">
        <is>
          <t>invoice</t>
        </is>
      </c>
      <c r="J30" s="1" t="inlineStr">
        <is>
          <t>MI</t>
        </is>
      </c>
      <c r="K30" s="1" t="inlineStr">
        <is>
          <t>421111715  MATERNA - HCG 10000</t>
        </is>
      </c>
      <c r="L30" s="15" t="n">
        <v>-561527.0</v>
      </c>
      <c r="M30" s="1" t="inlineStr">
        <is>
          <t>ledger</t>
        </is>
      </c>
      <c r="N30" s="1" t="inlineStr">
        <is>
          <t>19-07-2025</t>
        </is>
      </c>
      <c r="O30" s="1" t="inlineStr">
        <is>
          <t xml:space="preserve">ANK2526/SER00034      </t>
        </is>
      </c>
      <c r="P30" s="1" t="inlineStr">
        <is>
          <t>invoice</t>
        </is>
      </c>
      <c r="Q30" s="1" t="inlineStr">
        <is>
          <t>Other</t>
        </is>
      </c>
      <c r="R30" s="1"/>
      <c r="S30" s="15" t="n">
        <v>571737.6</v>
      </c>
      <c r="T30" s="1" t="n">
        <v>10210.599999999977</v>
      </c>
      <c r="U30" s="1" t="inlineStr">
        <is>
          <t>PRI-INV1.6-company</t>
        </is>
      </c>
      <c r="V30" s="1" t="inlineStr">
        <is>
          <t>19-Jun-26 10:16 AM</t>
        </is>
      </c>
      <c r="W30" s="1" t="inlineStr">
        <is>
          <t/>
        </is>
      </c>
      <c r="X30" s="1" t="inlineStr">
        <is>
          <t>AAACL0820G</t>
        </is>
      </c>
      <c r="Y30" s="1"/>
      <c r="Z30" s="1" t="inlineStr">
        <is>
          <t>7053031634</t>
        </is>
      </c>
      <c r="AA30" s="1" t="inlineStr">
        <is>
          <t/>
        </is>
      </c>
      <c r="AB30" s="1" t="n">
        <v>-10210.0</v>
      </c>
      <c r="AC30" s="1" t="inlineStr">
        <is>
          <t/>
        </is>
      </c>
      <c r="AD30" t="inlineStr">
        <is>
          <t>EPL</t>
        </is>
      </c>
      <c r="AE30" t="inlineStr">
        <is>
          <t>5159</t>
        </is>
      </c>
      <c r="AF30" t="inlineStr">
        <is>
          <t>6008014035</t>
        </is>
      </c>
      <c r="AG30" t="inlineStr">
        <is>
          <t>EP00</t>
        </is>
      </c>
      <c r="AH30" t="inlineStr">
        <is>
          <t>ANK2526/SER00034</t>
        </is>
      </c>
      <c r="AI30" t="inlineStr">
        <is>
          <t>ANK2526/SER00034</t>
        </is>
      </c>
      <c r="AJ30" t="inlineStr">
        <is>
          <t>IA</t>
        </is>
      </c>
      <c r="AK30" t="inlineStr">
        <is>
          <t>2025/04</t>
        </is>
      </c>
      <c r="AL30" t="inlineStr">
        <is>
          <t>ELP3</t>
        </is>
      </c>
      <c r="AM30" t="inlineStr">
        <is>
          <t>2500</t>
        </is>
      </c>
      <c r="AN30" t="inlineStr">
        <is>
          <t>31-07-2025</t>
        </is>
      </c>
      <c r="AO30" t="inlineStr">
        <is>
          <t>-561527</t>
        </is>
      </c>
      <c r="AP30" t="inlineStr">
        <is>
          <t>INR</t>
        </is>
      </c>
      <c r="AQ30" t="inlineStr">
        <is>
          <t>INR</t>
        </is>
      </c>
      <c r="AR30" t="inlineStr">
        <is>
          <t>31-07-2025</t>
        </is>
      </c>
      <c r="AS30" t="inlineStr">
        <is>
          <t>-510480</t>
        </is>
      </c>
      <c r="AT30" t="inlineStr">
        <is>
          <t>13-08-2025</t>
        </is>
      </c>
    </row>
    <row r="31">
      <c r="A31" s="1" t="inlineStr">
        <is>
          <t>feffc451-9eb3-4171-8faf-000859405a38</t>
        </is>
      </c>
      <c r="B31" s="1" t="inlineStr">
        <is>
          <t>fad17af0-baf0-4352-a9e7-25d790de30fe</t>
        </is>
      </c>
      <c r="C31" s="1" t="inlineStr">
        <is>
          <t>80ae845c-e9fa-33be-bd86-890140fe421e</t>
        </is>
      </c>
      <c r="D31" s="1" t="inlineStr">
        <is>
          <t>TDS Booked by Company</t>
        </is>
      </c>
      <c r="E31" s="1" t="inlineStr">
        <is>
          <t>Invoice Number Matched</t>
        </is>
      </c>
      <c r="F31" s="1" t="inlineStr">
        <is>
          <t>ledger</t>
        </is>
      </c>
      <c r="G31" s="1" t="inlineStr">
        <is>
          <t>26-11-2025</t>
        </is>
      </c>
      <c r="H31" s="1" t="inlineStr">
        <is>
          <t>ANK2526/GIS00782</t>
        </is>
      </c>
      <c r="I31" s="1" t="inlineStr">
        <is>
          <t>invoice</t>
        </is>
      </c>
      <c r="J31" s="1" t="inlineStr">
        <is>
          <t>MF</t>
        </is>
      </c>
      <c r="K31" s="1" t="inlineStr">
        <is>
          <t>REBEZ  IV INJECTION [P TO P]</t>
        </is>
      </c>
      <c r="L31" s="15" t="n">
        <v>-120715.0</v>
      </c>
      <c r="M31" s="1" t="inlineStr">
        <is>
          <t>ledger</t>
        </is>
      </c>
      <c r="N31" s="1" t="inlineStr">
        <is>
          <t>26-11-2025</t>
        </is>
      </c>
      <c r="O31" s="1" t="inlineStr">
        <is>
          <t xml:space="preserve">ANK2526/GIS00782      </t>
        </is>
      </c>
      <c r="P31" s="1" t="inlineStr">
        <is>
          <t>invoice</t>
        </is>
      </c>
      <c r="Q31" s="1" t="inlineStr">
        <is>
          <t>Sale</t>
        </is>
      </c>
      <c r="R31" s="1"/>
      <c r="S31" s="15" t="n">
        <v>120830.0</v>
      </c>
      <c r="T31" s="1" t="n">
        <v>115.0</v>
      </c>
      <c r="U31" s="1" t="inlineStr">
        <is>
          <t>PRI-INV1.6-company</t>
        </is>
      </c>
      <c r="V31" s="1" t="inlineStr">
        <is>
          <t>19-Jun-26 10:16 AM</t>
        </is>
      </c>
      <c r="W31" s="1" t="inlineStr">
        <is>
          <t/>
        </is>
      </c>
      <c r="X31" s="1" t="inlineStr">
        <is>
          <t>AAACL0820G</t>
        </is>
      </c>
      <c r="Y31" s="1"/>
      <c r="Z31" s="1" t="inlineStr">
        <is>
          <t>7053054141</t>
        </is>
      </c>
      <c r="AA31" s="1" t="inlineStr">
        <is>
          <t/>
        </is>
      </c>
      <c r="AB31" s="1" t="n">
        <v>-115.0</v>
      </c>
      <c r="AC31" s="1" t="inlineStr">
        <is>
          <t/>
        </is>
      </c>
      <c r="AD31" t="inlineStr">
        <is>
          <t>EPL</t>
        </is>
      </c>
      <c r="AE31" t="inlineStr">
        <is>
          <t>5276</t>
        </is>
      </c>
      <c r="AF31" t="inlineStr">
        <is>
          <t>6006001725</t>
        </is>
      </c>
      <c r="AG31" t="inlineStr">
        <is>
          <t>EP00</t>
        </is>
      </c>
      <c r="AH31" t="inlineStr">
        <is>
          <t>ANK2526/GIS00782</t>
        </is>
      </c>
      <c r="AI31" t="inlineStr">
        <is>
          <t>ANK2526/GIS00782</t>
        </is>
      </c>
      <c r="AJ31" t="inlineStr">
        <is>
          <t>I3</t>
        </is>
      </c>
      <c r="AK31" t="inlineStr">
        <is>
          <t>2025/09</t>
        </is>
      </c>
      <c r="AL31" t="inlineStr">
        <is>
          <t>EMHC</t>
        </is>
      </c>
      <c r="AM31" t="inlineStr">
        <is>
          <t>ENNOVA</t>
        </is>
      </c>
      <c r="AN31" t="inlineStr">
        <is>
          <t>19-12-2025</t>
        </is>
      </c>
      <c r="AO31" t="inlineStr">
        <is>
          <t>-120715</t>
        </is>
      </c>
      <c r="AP31" t="inlineStr">
        <is>
          <t>INR</t>
        </is>
      </c>
      <c r="AQ31" t="inlineStr">
        <is>
          <t>INR</t>
        </is>
      </c>
      <c r="AR31" t="inlineStr">
        <is>
          <t>19-12-2025</t>
        </is>
      </c>
      <c r="AS31" t="inlineStr">
        <is>
          <t>-115076.19</t>
        </is>
      </c>
      <c r="AT31" t="inlineStr">
        <is>
          <t>08-12-2025</t>
        </is>
      </c>
    </row>
    <row r="32">
      <c r="A32" s="1" t="inlineStr">
        <is>
          <t>bc391e80-a6e0-453d-a423-c7da6adc84f0</t>
        </is>
      </c>
      <c r="B32" s="1" t="inlineStr">
        <is>
          <t>c81bf6c0-b64d-488b-bee6-59e4ad1faaec</t>
        </is>
      </c>
      <c r="C32" s="1" t="inlineStr">
        <is>
          <t>9286c9af-9bb2-3567-b2b7-fdf0c45b4115</t>
        </is>
      </c>
      <c r="D32" s="1" t="inlineStr">
        <is>
          <t>TDS Booked by Party</t>
        </is>
      </c>
      <c r="E32" s="1" t="inlineStr">
        <is>
          <t>Multiple Based on Invoice Number</t>
        </is>
      </c>
      <c r="F32" s="1" t="inlineStr">
        <is>
          <t>ledger</t>
        </is>
      </c>
      <c r="G32" s="1" t="inlineStr">
        <is>
          <t>14-01-2026</t>
        </is>
      </c>
      <c r="H32" s="1" t="inlineStr">
        <is>
          <t>7053052271</t>
        </is>
      </c>
      <c r="I32" s="1" t="inlineStr">
        <is>
          <t>payment</t>
        </is>
      </c>
      <c r="J32" s="1" t="inlineStr">
        <is>
          <t>KZ</t>
        </is>
      </c>
      <c r="K32" s="1"/>
      <c r="L32" s="15" t="n">
        <v>3480330.0</v>
      </c>
      <c r="M32" s="1" t="inlineStr">
        <is>
          <t>ledger</t>
        </is>
      </c>
      <c r="N32" s="1" t="inlineStr">
        <is>
          <t>14-01-2026</t>
        </is>
      </c>
      <c r="O32" s="1" t="inlineStr">
        <is>
          <t>UTIBR72026011400000543</t>
        </is>
      </c>
      <c r="P32" s="1" t="inlineStr">
        <is>
          <t>payment</t>
        </is>
      </c>
      <c r="Q32" s="1" t="inlineStr">
        <is>
          <t>Receipt</t>
        </is>
      </c>
      <c r="R32" s="1"/>
      <c r="S32" s="15" t="n">
        <v>-232460.0</v>
      </c>
      <c r="T32" s="1" t="n">
        <v>0.0</v>
      </c>
      <c r="U32" s="1" t="inlineStr">
        <is>
          <t>PRI-PAY5.1-company</t>
        </is>
      </c>
      <c r="V32" s="1" t="inlineStr">
        <is>
          <t>19-Jun-26 10:16 AM</t>
        </is>
      </c>
      <c r="W32" s="1" t="inlineStr">
        <is>
          <t/>
        </is>
      </c>
      <c r="X32" s="1" t="inlineStr">
        <is>
          <t>AAACL0820G</t>
        </is>
      </c>
      <c r="Y32" s="1"/>
      <c r="Z32" s="1" t="inlineStr">
        <is>
          <t>7053052271</t>
        </is>
      </c>
      <c r="AA32" s="1" t="inlineStr">
        <is>
          <t/>
        </is>
      </c>
      <c r="AB32" s="1" t="n">
        <v>0.0</v>
      </c>
      <c r="AC32" s="1" t="inlineStr">
        <is>
          <t/>
        </is>
      </c>
      <c r="AD32" t="inlineStr">
        <is>
          <t>EPL</t>
        </is>
      </c>
      <c r="AE32" t="inlineStr">
        <is>
          <t>5906</t>
        </is>
      </c>
      <c r="AF32" t="inlineStr">
        <is>
          <t>7053052271</t>
        </is>
      </c>
      <c r="AG32" t="inlineStr">
        <is>
          <t>EP00</t>
        </is>
      </c>
      <c r="AH32" t="inlineStr">
        <is>
          <t>20260114-SJH01</t>
        </is>
      </c>
      <c r="AI32" t="inlineStr">
        <is>
          <t>20260114-SJH01</t>
        </is>
      </c>
      <c r="AJ32" t="inlineStr">
        <is>
          <t/>
        </is>
      </c>
      <c r="AK32" t="inlineStr">
        <is>
          <t>2025/10</t>
        </is>
      </c>
      <c r="AL32" t="inlineStr">
        <is>
          <t/>
        </is>
      </c>
      <c r="AM32" t="inlineStr">
        <is>
          <t>CRITI_CARE</t>
        </is>
      </c>
      <c r="AN32" t="inlineStr">
        <is>
          <t>14-01-2026</t>
        </is>
      </c>
      <c r="AO32" t="inlineStr">
        <is>
          <t>3480330</t>
        </is>
      </c>
      <c r="AP32" t="inlineStr">
        <is>
          <t>INR</t>
        </is>
      </c>
      <c r="AQ32" t="inlineStr">
        <is>
          <t>INR</t>
        </is>
      </c>
      <c r="AR32" t="inlineStr">
        <is>
          <t>14-01-2026</t>
        </is>
      </c>
      <c r="AS32" t="inlineStr">
        <is>
          <t>3317760</t>
        </is>
      </c>
      <c r="AT32" t="inlineStr">
        <is>
          <t>14-01-2026</t>
        </is>
      </c>
    </row>
    <row r="33">
      <c r="A33" s="1"/>
      <c r="B33" s="1" t="inlineStr">
        <is>
          <t>f1bfb71a-578f-499f-b334-3d225c80979b</t>
        </is>
      </c>
      <c r="C33" s="1" t="inlineStr">
        <is>
          <t>9286c9af-9bb2-3567-b2b7-fdf0c45b4115</t>
        </is>
      </c>
      <c r="D33" s="1" t="inlineStr">
        <is>
          <t>TDS Booked by Party</t>
        </is>
      </c>
      <c r="E33" s="1" t="inlineStr">
        <is>
          <t>Multiple Based on Invoice Number</t>
        </is>
      </c>
      <c r="F33" s="1" t="inlineStr">
        <is>
          <t>ledger</t>
        </is>
      </c>
      <c r="G33" s="1"/>
      <c r="H33" s="1"/>
      <c r="I33" s="1"/>
      <c r="J33" s="1"/>
      <c r="K33" s="1"/>
      <c r="L33" s="15" t="n">
        <v>0.0</v>
      </c>
      <c r="M33" s="1" t="inlineStr">
        <is>
          <t>ledger</t>
        </is>
      </c>
      <c r="N33" s="1" t="inlineStr">
        <is>
          <t>14-01-2026</t>
        </is>
      </c>
      <c r="O33" s="1" t="inlineStr">
        <is>
          <t>UTIBR72026011400000544</t>
        </is>
      </c>
      <c r="P33" s="1" t="inlineStr">
        <is>
          <t>payment</t>
        </is>
      </c>
      <c r="Q33" s="1" t="inlineStr">
        <is>
          <t>Receipt</t>
        </is>
      </c>
      <c r="R33" s="1"/>
      <c r="S33" s="15" t="n">
        <v>-3483648.0</v>
      </c>
      <c r="T33" s="1" t="n">
        <v>-235778.0</v>
      </c>
      <c r="U33" s="1" t="inlineStr">
        <is>
          <t>PRI-PAY5.1-company</t>
        </is>
      </c>
      <c r="V33" s="1" t="inlineStr">
        <is>
          <t>19-Jun-26 10:16 AM</t>
        </is>
      </c>
      <c r="W33" s="1" t="inlineStr">
        <is>
          <t/>
        </is>
      </c>
      <c r="X33" s="1" t="inlineStr">
        <is>
          <t>AAACL0820G</t>
        </is>
      </c>
      <c r="Y33" s="1"/>
      <c r="Z33" s="1"/>
      <c r="AA33" s="1" t="inlineStr">
        <is>
          <t/>
        </is>
      </c>
      <c r="AB33" s="1" t="n">
        <v>0.0</v>
      </c>
      <c r="AC33" s="1" t="inlineStr">
        <is>
          <t/>
        </is>
      </c>
    </row>
    <row r="34">
      <c r="A34" s="1" t="inlineStr">
        <is>
          <t>70d5264b-d33f-4983-93dd-ef6ff1535b45</t>
        </is>
      </c>
      <c r="B34" s="1" t="inlineStr">
        <is>
          <t>363f9169-6096-452e-9b08-14f89e80ab75</t>
        </is>
      </c>
      <c r="C34" s="1" t="inlineStr">
        <is>
          <t>96ca066f-f3dd-31d1-8565-a73b4c76be09</t>
        </is>
      </c>
      <c r="D34" s="1" t="inlineStr">
        <is>
          <t>TDS Booked by Company</t>
        </is>
      </c>
      <c r="E34" s="1" t="inlineStr">
        <is>
          <t>Invoice Number Matched</t>
        </is>
      </c>
      <c r="F34" s="1" t="inlineStr">
        <is>
          <t>ledger</t>
        </is>
      </c>
      <c r="G34" s="1" t="inlineStr">
        <is>
          <t>02-08-2025</t>
        </is>
      </c>
      <c r="H34" s="1" t="inlineStr">
        <is>
          <t>ANK2526/SER00045</t>
        </is>
      </c>
      <c r="I34" s="1" t="inlineStr">
        <is>
          <t>invoice</t>
        </is>
      </c>
      <c r="J34" s="1" t="inlineStr">
        <is>
          <t>MI</t>
        </is>
      </c>
      <c r="K34" s="1" t="inlineStr">
        <is>
          <t>Job Work Charge - AUG 2025</t>
        </is>
      </c>
      <c r="L34" s="15" t="n">
        <v>-1227.92</v>
      </c>
      <c r="M34" s="1" t="inlineStr">
        <is>
          <t>ledger</t>
        </is>
      </c>
      <c r="N34" s="1" t="inlineStr">
        <is>
          <t>02-08-2025</t>
        </is>
      </c>
      <c r="O34" s="1" t="inlineStr">
        <is>
          <t xml:space="preserve">ANK2526/SER00045      </t>
        </is>
      </c>
      <c r="P34" s="1" t="inlineStr">
        <is>
          <t>invoice</t>
        </is>
      </c>
      <c r="Q34" s="1" t="inlineStr">
        <is>
          <t>Other</t>
        </is>
      </c>
      <c r="R34" s="1"/>
      <c r="S34" s="15" t="n">
        <v>1249.92</v>
      </c>
      <c r="T34" s="1" t="n">
        <v>22.0</v>
      </c>
      <c r="U34" s="1" t="inlineStr">
        <is>
          <t>PRI-INV1.6-company</t>
        </is>
      </c>
      <c r="V34" s="1" t="inlineStr">
        <is>
          <t>19-Jun-26 10:16 AM</t>
        </is>
      </c>
      <c r="W34" s="1" t="inlineStr">
        <is>
          <t/>
        </is>
      </c>
      <c r="X34" s="1" t="inlineStr">
        <is>
          <t>AAACL0820G</t>
        </is>
      </c>
      <c r="Y34" s="1"/>
      <c r="Z34" s="1" t="inlineStr">
        <is>
          <t>7053032930</t>
        </is>
      </c>
      <c r="AA34" s="1" t="inlineStr">
        <is>
          <t/>
        </is>
      </c>
      <c r="AB34" s="1" t="n">
        <v>-22.0</v>
      </c>
      <c r="AC34" s="1" t="inlineStr">
        <is>
          <t/>
        </is>
      </c>
      <c r="AD34" t="inlineStr">
        <is>
          <t>EPL</t>
        </is>
      </c>
      <c r="AE34" t="inlineStr">
        <is>
          <t>5276</t>
        </is>
      </c>
      <c r="AF34" t="inlineStr">
        <is>
          <t>6008018400</t>
        </is>
      </c>
      <c r="AG34" t="inlineStr">
        <is>
          <t>EP00</t>
        </is>
      </c>
      <c r="AH34" t="inlineStr">
        <is>
          <t>ANK2526/SER00045</t>
        </is>
      </c>
      <c r="AI34" t="inlineStr">
        <is>
          <t>ANK2526/SER00045</t>
        </is>
      </c>
      <c r="AJ34" t="inlineStr">
        <is>
          <t>IA</t>
        </is>
      </c>
      <c r="AK34" t="inlineStr">
        <is>
          <t>2025/06</t>
        </is>
      </c>
      <c r="AL34" t="inlineStr">
        <is>
          <t>EGUA</t>
        </is>
      </c>
      <c r="AM34" t="inlineStr">
        <is>
          <t>2500</t>
        </is>
      </c>
      <c r="AN34" t="inlineStr">
        <is>
          <t>18-09-2025</t>
        </is>
      </c>
      <c r="AO34" t="inlineStr">
        <is>
          <t>-1227.92</t>
        </is>
      </c>
      <c r="AP34" t="inlineStr">
        <is>
          <t>INR</t>
        </is>
      </c>
      <c r="AQ34" t="inlineStr">
        <is>
          <t>INR</t>
        </is>
      </c>
      <c r="AR34" t="inlineStr">
        <is>
          <t>18-09-2025</t>
        </is>
      </c>
      <c r="AS34" t="inlineStr">
        <is>
          <t>-1116</t>
        </is>
      </c>
      <c r="AT34" t="inlineStr">
        <is>
          <t>29-08-2025</t>
        </is>
      </c>
    </row>
    <row r="35">
      <c r="A35" s="1" t="inlineStr">
        <is>
          <t>72d032ec-9e10-4e0c-9d88-adf0df871a90</t>
        </is>
      </c>
      <c r="B35" s="1" t="inlineStr">
        <is>
          <t>f3934940-c201-4051-9bf2-3ce66b5a27b5</t>
        </is>
      </c>
      <c r="C35" s="1" t="inlineStr">
        <is>
          <t>9b7b3f14-1268-37bd-8f97-a800357d4974</t>
        </is>
      </c>
      <c r="D35" s="1" t="inlineStr">
        <is>
          <t>TDS Booked by Party</t>
        </is>
      </c>
      <c r="E35" s="1" t="inlineStr">
        <is>
          <t>Date and Amount Matched - Recommended</t>
        </is>
      </c>
      <c r="F35" s="1" t="inlineStr">
        <is>
          <t>ledger</t>
        </is>
      </c>
      <c r="G35" s="1" t="inlineStr">
        <is>
          <t>30-01-2026</t>
        </is>
      </c>
      <c r="H35" s="1" t="inlineStr">
        <is>
          <t>7053055928</t>
        </is>
      </c>
      <c r="I35" s="1" t="inlineStr">
        <is>
          <t>payment</t>
        </is>
      </c>
      <c r="J35" s="1" t="inlineStr">
        <is>
          <t>KZ</t>
        </is>
      </c>
      <c r="K35" s="1"/>
      <c r="L35" s="15" t="n">
        <v>834164.0</v>
      </c>
      <c r="M35" s="1" t="inlineStr">
        <is>
          <t>ledger</t>
        </is>
      </c>
      <c r="N35" s="1" t="inlineStr">
        <is>
          <t>30-01-2026</t>
        </is>
      </c>
      <c r="O35" s="1" t="inlineStr">
        <is>
          <t xml:space="preserve">AXISCN1235469725      </t>
        </is>
      </c>
      <c r="P35" s="1" t="inlineStr">
        <is>
          <t>payment</t>
        </is>
      </c>
      <c r="Q35" s="1" t="inlineStr">
        <is>
          <t>Receipt</t>
        </is>
      </c>
      <c r="R35" s="1"/>
      <c r="S35" s="15" t="n">
        <v>-834959.0</v>
      </c>
      <c r="T35" s="1" t="n">
        <v>-795.0</v>
      </c>
      <c r="U35" s="1" t="inlineStr">
        <is>
          <t>SEC-PAY3.1-company</t>
        </is>
      </c>
      <c r="V35" s="1" t="inlineStr">
        <is>
          <t>19-Jun-26 10:16 AM</t>
        </is>
      </c>
      <c r="W35" s="1" t="inlineStr">
        <is>
          <t/>
        </is>
      </c>
      <c r="X35" s="1" t="inlineStr">
        <is>
          <t>AAACL0820G</t>
        </is>
      </c>
      <c r="Y35" s="1"/>
      <c r="Z35" s="1" t="inlineStr">
        <is>
          <t>7053055928</t>
        </is>
      </c>
      <c r="AA35" s="1" t="inlineStr">
        <is>
          <t/>
        </is>
      </c>
      <c r="AB35" s="1" t="n">
        <v>0.0</v>
      </c>
      <c r="AC35" s="1" t="inlineStr">
        <is>
          <t/>
        </is>
      </c>
      <c r="AD35" t="inlineStr">
        <is>
          <t>EPL</t>
        </is>
      </c>
      <c r="AE35" t="inlineStr">
        <is>
          <t>5276</t>
        </is>
      </c>
      <c r="AF35" t="inlineStr">
        <is>
          <t>7053055928</t>
        </is>
      </c>
      <c r="AG35" t="inlineStr">
        <is>
          <t>EP00</t>
        </is>
      </c>
      <c r="AH35" t="inlineStr">
        <is>
          <t>20260130-SJW10</t>
        </is>
      </c>
      <c r="AI35" t="inlineStr">
        <is>
          <t>20260130-SJW10</t>
        </is>
      </c>
      <c r="AJ35" t="inlineStr">
        <is>
          <t/>
        </is>
      </c>
      <c r="AK35" t="inlineStr">
        <is>
          <t>2025/10</t>
        </is>
      </c>
      <c r="AL35" t="inlineStr">
        <is>
          <t/>
        </is>
      </c>
      <c r="AM35" t="inlineStr">
        <is>
          <t>ENNOVA</t>
        </is>
      </c>
      <c r="AN35" t="inlineStr">
        <is>
          <t>30-01-2026</t>
        </is>
      </c>
      <c r="AO35" t="inlineStr">
        <is>
          <t>834164</t>
        </is>
      </c>
      <c r="AP35" t="inlineStr">
        <is>
          <t>INR</t>
        </is>
      </c>
      <c r="AQ35" t="inlineStr">
        <is>
          <t>INR</t>
        </is>
      </c>
      <c r="AR35" t="inlineStr">
        <is>
          <t>30-01-2026</t>
        </is>
      </c>
      <c r="AS35" t="inlineStr">
        <is>
          <t>795199.06</t>
        </is>
      </c>
      <c r="AT35" t="inlineStr">
        <is>
          <t>30-01-2026</t>
        </is>
      </c>
    </row>
    <row r="36">
      <c r="A36" s="1" t="inlineStr">
        <is>
          <t>274e1989-5f2e-4316-bc94-97976325e7fc</t>
        </is>
      </c>
      <c r="B36" s="1" t="inlineStr">
        <is>
          <t>00367562-24a4-4f8f-80ff-9f982a2591e7</t>
        </is>
      </c>
      <c r="C36" s="1" t="inlineStr">
        <is>
          <t>aa3c61b5-9854-3fe2-9fd7-381cdb7a3021</t>
        </is>
      </c>
      <c r="D36" s="1" t="inlineStr">
        <is>
          <t>TDS Booked by Company</t>
        </is>
      </c>
      <c r="E36" s="1" t="inlineStr">
        <is>
          <t>Invoice Number Matched</t>
        </is>
      </c>
      <c r="F36" s="1" t="inlineStr">
        <is>
          <t>ledger</t>
        </is>
      </c>
      <c r="G36" s="1" t="inlineStr">
        <is>
          <t>27-11-2025</t>
        </is>
      </c>
      <c r="H36" s="1" t="inlineStr">
        <is>
          <t>ANK2526/GIS00787</t>
        </is>
      </c>
      <c r="I36" s="1" t="inlineStr">
        <is>
          <t>invoice</t>
        </is>
      </c>
      <c r="J36" s="1" t="inlineStr">
        <is>
          <t>MF</t>
        </is>
      </c>
      <c r="K36" s="1" t="inlineStr">
        <is>
          <t>EMTIG INJECTION [P TO P]</t>
        </is>
      </c>
      <c r="L36" s="15" t="n">
        <v>-1691223.0</v>
      </c>
      <c r="M36" s="1" t="inlineStr">
        <is>
          <t>ledger</t>
        </is>
      </c>
      <c r="N36" s="1" t="inlineStr">
        <is>
          <t>27-11-2025</t>
        </is>
      </c>
      <c r="O36" s="1" t="inlineStr">
        <is>
          <t xml:space="preserve">ANK2526/GIS00787      </t>
        </is>
      </c>
      <c r="P36" s="1" t="inlineStr">
        <is>
          <t>invoice</t>
        </is>
      </c>
      <c r="Q36" s="1" t="inlineStr">
        <is>
          <t>Sale</t>
        </is>
      </c>
      <c r="R36" s="1"/>
      <c r="S36" s="15" t="n">
        <v>1692835.0</v>
      </c>
      <c r="T36" s="1" t="n">
        <v>1612.0</v>
      </c>
      <c r="U36" s="1" t="inlineStr">
        <is>
          <t>PRI-INV1.6-company</t>
        </is>
      </c>
      <c r="V36" s="1" t="inlineStr">
        <is>
          <t>19-Jun-26 10:16 AM</t>
        </is>
      </c>
      <c r="W36" s="1" t="inlineStr">
        <is>
          <t/>
        </is>
      </c>
      <c r="X36" s="1" t="inlineStr">
        <is>
          <t>AAACL0820G</t>
        </is>
      </c>
      <c r="Y36" s="1"/>
      <c r="Z36" s="1" t="inlineStr">
        <is>
          <t>7053053708</t>
        </is>
      </c>
      <c r="AA36" s="1" t="inlineStr">
        <is>
          <t/>
        </is>
      </c>
      <c r="AB36" s="1" t="n">
        <v>-1612.0</v>
      </c>
      <c r="AC36" s="1" t="inlineStr">
        <is>
          <t/>
        </is>
      </c>
      <c r="AD36" t="inlineStr">
        <is>
          <t>EPL</t>
        </is>
      </c>
      <c r="AE36" t="inlineStr">
        <is>
          <t>5906</t>
        </is>
      </c>
      <c r="AF36" t="inlineStr">
        <is>
          <t>6006001721</t>
        </is>
      </c>
      <c r="AG36" t="inlineStr">
        <is>
          <t>EP00</t>
        </is>
      </c>
      <c r="AH36" t="inlineStr">
        <is>
          <t>ANK2526/GIS00787</t>
        </is>
      </c>
      <c r="AI36" t="inlineStr">
        <is>
          <t>ANK2526/GIS00787</t>
        </is>
      </c>
      <c r="AJ36" t="inlineStr">
        <is>
          <t>I3</t>
        </is>
      </c>
      <c r="AK36" t="inlineStr">
        <is>
          <t>2025/09</t>
        </is>
      </c>
      <c r="AL36" t="inlineStr">
        <is>
          <t>EMHC</t>
        </is>
      </c>
      <c r="AM36" t="inlineStr">
        <is>
          <t>CRITI_CARE</t>
        </is>
      </c>
      <c r="AN36" t="inlineStr">
        <is>
          <t>19-12-2025</t>
        </is>
      </c>
      <c r="AO36" t="inlineStr">
        <is>
          <t>-1691223</t>
        </is>
      </c>
      <c r="AP36" t="inlineStr">
        <is>
          <t>INR</t>
        </is>
      </c>
      <c r="AQ36" t="inlineStr">
        <is>
          <t>INR</t>
        </is>
      </c>
      <c r="AR36" t="inlineStr">
        <is>
          <t>19-12-2025</t>
        </is>
      </c>
      <c r="AS36" t="inlineStr">
        <is>
          <t>-1612223.8</t>
        </is>
      </c>
      <c r="AT36" t="inlineStr">
        <is>
          <t>06-12-2025</t>
        </is>
      </c>
    </row>
    <row r="37">
      <c r="A37" s="1" t="inlineStr">
        <is>
          <t>5f10247c-e587-427f-949f-e2e1ffaa410d</t>
        </is>
      </c>
      <c r="B37" s="1" t="inlineStr">
        <is>
          <t>50e3b35b-9047-4be7-af36-0db993f961e8</t>
        </is>
      </c>
      <c r="C37" s="1" t="inlineStr">
        <is>
          <t>c11d5c55-e4a0-3b4f-8aaa-7a1cd55e7744</t>
        </is>
      </c>
      <c r="D37" s="1" t="inlineStr">
        <is>
          <t>TDS Booked by Company</t>
        </is>
      </c>
      <c r="E37" s="1" t="inlineStr">
        <is>
          <t>Invoice Number Matched</t>
        </is>
      </c>
      <c r="F37" s="1" t="inlineStr">
        <is>
          <t>ledger</t>
        </is>
      </c>
      <c r="G37" s="1" t="inlineStr">
        <is>
          <t>31-07-2025</t>
        </is>
      </c>
      <c r="H37" s="1" t="inlineStr">
        <is>
          <t>ANK2526/SER00044</t>
        </is>
      </c>
      <c r="I37" s="1" t="inlineStr">
        <is>
          <t>invoice</t>
        </is>
      </c>
      <c r="J37" s="1" t="inlineStr">
        <is>
          <t>MI</t>
        </is>
      </c>
      <c r="K37" s="1" t="inlineStr">
        <is>
          <t>420005883  SOPRAPEN I.V. 20 MG G</t>
        </is>
      </c>
      <c r="L37" s="15" t="n">
        <v>-86526.2</v>
      </c>
      <c r="M37" s="1" t="inlineStr">
        <is>
          <t>ledger</t>
        </is>
      </c>
      <c r="N37" s="1" t="inlineStr">
        <is>
          <t>31-07-2025</t>
        </is>
      </c>
      <c r="O37" s="1" t="inlineStr">
        <is>
          <t xml:space="preserve">ANK2526/SER00044      </t>
        </is>
      </c>
      <c r="P37" s="1" t="inlineStr">
        <is>
          <t>invoice</t>
        </is>
      </c>
      <c r="Q37" s="1" t="inlineStr">
        <is>
          <t>Other</t>
        </is>
      </c>
      <c r="R37" s="1"/>
      <c r="S37" s="15" t="n">
        <v>88099.2</v>
      </c>
      <c r="T37" s="1" t="n">
        <v>1573.0</v>
      </c>
      <c r="U37" s="1" t="inlineStr">
        <is>
          <t>PRI-INV1.6-company</t>
        </is>
      </c>
      <c r="V37" s="1" t="inlineStr">
        <is>
          <t>19-Jun-26 10:16 AM</t>
        </is>
      </c>
      <c r="W37" s="1" t="inlineStr">
        <is>
          <t/>
        </is>
      </c>
      <c r="X37" s="1" t="inlineStr">
        <is>
          <t>AAACL0820G</t>
        </is>
      </c>
      <c r="Y37" s="1"/>
      <c r="Z37" s="1" t="inlineStr">
        <is>
          <t>7053030340</t>
        </is>
      </c>
      <c r="AA37" s="1" t="inlineStr">
        <is>
          <t/>
        </is>
      </c>
      <c r="AB37" s="1" t="n">
        <v>-1573.0</v>
      </c>
      <c r="AC37" s="1" t="inlineStr">
        <is>
          <t/>
        </is>
      </c>
      <c r="AD37" t="inlineStr">
        <is>
          <t>EPL</t>
        </is>
      </c>
      <c r="AE37" t="inlineStr">
        <is>
          <t>5159</t>
        </is>
      </c>
      <c r="AF37" t="inlineStr">
        <is>
          <t>6008016111</t>
        </is>
      </c>
      <c r="AG37" t="inlineStr">
        <is>
          <t>EP00</t>
        </is>
      </c>
      <c r="AH37" t="inlineStr">
        <is>
          <t>ANK2526/SER00044</t>
        </is>
      </c>
      <c r="AI37" t="inlineStr">
        <is>
          <t>ANK2526/SER00044</t>
        </is>
      </c>
      <c r="AJ37" t="inlineStr">
        <is>
          <t>IA</t>
        </is>
      </c>
      <c r="AK37" t="inlineStr">
        <is>
          <t>2025/05</t>
        </is>
      </c>
      <c r="AL37" t="inlineStr">
        <is>
          <t>ELL2</t>
        </is>
      </c>
      <c r="AM37" t="inlineStr">
        <is>
          <t>2500</t>
        </is>
      </c>
      <c r="AN37" t="inlineStr">
        <is>
          <t>18-08-2025</t>
        </is>
      </c>
      <c r="AO37" t="inlineStr">
        <is>
          <t>-86526.2</t>
        </is>
      </c>
      <c r="AP37" t="inlineStr">
        <is>
          <t>INR</t>
        </is>
      </c>
      <c r="AQ37" t="inlineStr">
        <is>
          <t>INR</t>
        </is>
      </c>
      <c r="AR37" t="inlineStr">
        <is>
          <t>18-08-2025</t>
        </is>
      </c>
      <c r="AS37" t="inlineStr">
        <is>
          <t>-78660</t>
        </is>
      </c>
      <c r="AT37" t="inlineStr">
        <is>
          <t>26-08-2025</t>
        </is>
      </c>
    </row>
    <row r="38">
      <c r="A38" s="1" t="inlineStr">
        <is>
          <t>215b6c63-0821-4a1d-9607-b462e3341c7b</t>
        </is>
      </c>
      <c r="B38" s="1" t="inlineStr">
        <is>
          <t>d1d4383f-e165-4af5-886e-e48c124cc044</t>
        </is>
      </c>
      <c r="C38" s="1" t="inlineStr">
        <is>
          <t>c873a8dd-4fbf-3f48-98a8-4474546891b4</t>
        </is>
      </c>
      <c r="D38" s="1" t="inlineStr">
        <is>
          <t>TDS Booked by Company</t>
        </is>
      </c>
      <c r="E38" s="1" t="inlineStr">
        <is>
          <t>Invoice Number Matched</t>
        </is>
      </c>
      <c r="F38" s="1" t="inlineStr">
        <is>
          <t>ledger</t>
        </is>
      </c>
      <c r="G38" s="1" t="inlineStr">
        <is>
          <t>31-08-2025</t>
        </is>
      </c>
      <c r="H38" s="1" t="inlineStr">
        <is>
          <t>ANK2526/GIS00545</t>
        </is>
      </c>
      <c r="I38" s="1" t="inlineStr">
        <is>
          <t>invoice</t>
        </is>
      </c>
      <c r="J38" s="1" t="inlineStr">
        <is>
          <t>MF</t>
        </is>
      </c>
      <c r="K38" s="1" t="inlineStr">
        <is>
          <t>MATERNA DEPOT 3.75 MG INJ.[P2P]NSCH-ONCO</t>
        </is>
      </c>
      <c r="L38" s="15" t="n">
        <v>-3917289.0</v>
      </c>
      <c r="M38" s="1" t="inlineStr">
        <is>
          <t>ledger</t>
        </is>
      </c>
      <c r="N38" s="1" t="inlineStr">
        <is>
          <t>31-08-2025</t>
        </is>
      </c>
      <c r="O38" s="1" t="inlineStr">
        <is>
          <t xml:space="preserve">ANK2526/GIS00545      </t>
        </is>
      </c>
      <c r="P38" s="1" t="inlineStr">
        <is>
          <t>invoice</t>
        </is>
      </c>
      <c r="Q38" s="1" t="inlineStr">
        <is>
          <t>Sale</t>
        </is>
      </c>
      <c r="R38" s="1"/>
      <c r="S38" s="15" t="n">
        <v>3920000.0</v>
      </c>
      <c r="T38" s="1" t="n">
        <v>2711.0</v>
      </c>
      <c r="U38" s="1" t="inlineStr">
        <is>
          <t>PRI-INV1.6-company</t>
        </is>
      </c>
      <c r="V38" s="1" t="inlineStr">
        <is>
          <t>19-Jun-26 10:16 AM</t>
        </is>
      </c>
      <c r="W38" s="1" t="inlineStr">
        <is>
          <t/>
        </is>
      </c>
      <c r="X38" s="1" t="inlineStr">
        <is>
          <t>AAACL0820G</t>
        </is>
      </c>
      <c r="Y38" s="1"/>
      <c r="Z38" s="1" t="inlineStr">
        <is>
          <t>7053036126</t>
        </is>
      </c>
      <c r="AA38" s="1" t="inlineStr">
        <is>
          <t/>
        </is>
      </c>
      <c r="AB38" s="1" t="n">
        <v>-2711.0</v>
      </c>
      <c r="AC38" s="1" t="inlineStr">
        <is>
          <t/>
        </is>
      </c>
      <c r="AD38" t="inlineStr">
        <is>
          <t>EPL</t>
        </is>
      </c>
      <c r="AE38" t="inlineStr">
        <is>
          <t>5906</t>
        </is>
      </c>
      <c r="AF38" t="inlineStr">
        <is>
          <t>6006001091</t>
        </is>
      </c>
      <c r="AG38" t="inlineStr">
        <is>
          <t>EP00</t>
        </is>
      </c>
      <c r="AH38" t="inlineStr">
        <is>
          <t>ANK2526/GIS00545</t>
        </is>
      </c>
      <c r="AI38" t="inlineStr">
        <is>
          <t>ANK2526/GIS00545</t>
        </is>
      </c>
      <c r="AJ38" t="inlineStr">
        <is>
          <t>I1</t>
        </is>
      </c>
      <c r="AK38" t="inlineStr">
        <is>
          <t>2025/06</t>
        </is>
      </c>
      <c r="AL38" t="inlineStr">
        <is>
          <t>EMHC</t>
        </is>
      </c>
      <c r="AM38" t="inlineStr">
        <is>
          <t>XENNEA</t>
        </is>
      </c>
      <c r="AN38" t="inlineStr">
        <is>
          <t>08-09-2025</t>
        </is>
      </c>
      <c r="AO38" t="inlineStr">
        <is>
          <t>-3917289</t>
        </is>
      </c>
      <c r="AP38" t="inlineStr">
        <is>
          <t>INR</t>
        </is>
      </c>
      <c r="AQ38" t="inlineStr">
        <is>
          <t>INR</t>
        </is>
      </c>
      <c r="AR38" t="inlineStr">
        <is>
          <t>08-09-2025</t>
        </is>
      </c>
      <c r="AS38" t="inlineStr">
        <is>
          <t>-3500000</t>
        </is>
      </c>
      <c r="AT38" t="inlineStr">
        <is>
          <t>05-09-2025</t>
        </is>
      </c>
    </row>
    <row r="39">
      <c r="A39" s="1" t="inlineStr">
        <is>
          <t>16064676-ddc3-4045-a068-cd796accf406</t>
        </is>
      </c>
      <c r="B39" s="1" t="inlineStr">
        <is>
          <t>6483bfe6-60a2-48ca-a5d3-f39bda2b6cfb</t>
        </is>
      </c>
      <c r="C39" s="1" t="inlineStr">
        <is>
          <t>c8f17e1c-3a7a-39ec-8269-5746cfc5a4f8</t>
        </is>
      </c>
      <c r="D39" s="1" t="inlineStr">
        <is>
          <t>TDS Booked by Party</t>
        </is>
      </c>
      <c r="E39" s="1" t="inlineStr">
        <is>
          <t>Date and Amount Matched - Recommended</t>
        </is>
      </c>
      <c r="F39" s="1" t="inlineStr">
        <is>
          <t>ledger</t>
        </is>
      </c>
      <c r="G39" s="1" t="inlineStr">
        <is>
          <t>17-06-2025</t>
        </is>
      </c>
      <c r="H39" s="1" t="inlineStr">
        <is>
          <t>7053012813</t>
        </is>
      </c>
      <c r="I39" s="1" t="inlineStr">
        <is>
          <t>payment</t>
        </is>
      </c>
      <c r="J39" s="1" t="inlineStr">
        <is>
          <t>KZ</t>
        </is>
      </c>
      <c r="K39" s="1"/>
      <c r="L39" s="15" t="n">
        <v>1860607.0</v>
      </c>
      <c r="M39" s="1" t="inlineStr">
        <is>
          <t>ledger</t>
        </is>
      </c>
      <c r="N39" s="1" t="inlineStr">
        <is>
          <t>17-06-2025</t>
        </is>
      </c>
      <c r="O39" s="1" t="inlineStr">
        <is>
          <t xml:space="preserve">AXISCN0994733294      </t>
        </is>
      </c>
      <c r="P39" s="1" t="inlineStr">
        <is>
          <t>payment</t>
        </is>
      </c>
      <c r="Q39" s="1" t="inlineStr">
        <is>
          <t>Receipt</t>
        </is>
      </c>
      <c r="R39" s="1"/>
      <c r="S39" s="15" t="n">
        <v>-1894233.6</v>
      </c>
      <c r="T39" s="1" t="n">
        <v>-33626.60000000009</v>
      </c>
      <c r="U39" s="1" t="inlineStr">
        <is>
          <t>SEC-PAY3.1-company</t>
        </is>
      </c>
      <c r="V39" s="1" t="inlineStr">
        <is>
          <t>19-Jun-26 10:16 AM</t>
        </is>
      </c>
      <c r="W39" s="1" t="inlineStr">
        <is>
          <t/>
        </is>
      </c>
      <c r="X39" s="1" t="inlineStr">
        <is>
          <t>AAACL0820G</t>
        </is>
      </c>
      <c r="Y39" s="1"/>
      <c r="Z39" s="1" t="inlineStr">
        <is>
          <t>7053012813</t>
        </is>
      </c>
      <c r="AA39" s="1" t="inlineStr">
        <is>
          <t/>
        </is>
      </c>
      <c r="AB39" s="1" t="n">
        <v>0.0</v>
      </c>
      <c r="AC39" s="1" t="inlineStr">
        <is>
          <t/>
        </is>
      </c>
      <c r="AD39" t="inlineStr">
        <is>
          <t>EPL</t>
        </is>
      </c>
      <c r="AE39" t="inlineStr">
        <is>
          <t>5159</t>
        </is>
      </c>
      <c r="AF39" t="inlineStr">
        <is>
          <t>7053012813</t>
        </is>
      </c>
      <c r="AG39" t="inlineStr">
        <is>
          <t>EP00</t>
        </is>
      </c>
      <c r="AH39" t="inlineStr">
        <is>
          <t>20250617-SJH10</t>
        </is>
      </c>
      <c r="AI39" t="inlineStr">
        <is>
          <t>20250617-SJH10</t>
        </is>
      </c>
      <c r="AJ39" t="inlineStr">
        <is>
          <t/>
        </is>
      </c>
      <c r="AK39" t="inlineStr">
        <is>
          <t>2025/03</t>
        </is>
      </c>
      <c r="AL39" t="inlineStr">
        <is>
          <t/>
        </is>
      </c>
      <c r="AM39" t="inlineStr">
        <is>
          <t>2500</t>
        </is>
      </c>
      <c r="AN39" t="inlineStr">
        <is>
          <t>17-06-2025</t>
        </is>
      </c>
      <c r="AO39" t="inlineStr">
        <is>
          <t>1860607</t>
        </is>
      </c>
      <c r="AP39" t="inlineStr">
        <is>
          <t>INR</t>
        </is>
      </c>
      <c r="AQ39" t="inlineStr">
        <is>
          <t>INR</t>
        </is>
      </c>
      <c r="AR39" t="inlineStr">
        <is>
          <t>17-06-2025</t>
        </is>
      </c>
      <c r="AS39" t="inlineStr">
        <is>
          <t>1681280</t>
        </is>
      </c>
      <c r="AT39" t="inlineStr">
        <is>
          <t>17-06-2025</t>
        </is>
      </c>
    </row>
    <row r="40">
      <c r="A40" s="1" t="inlineStr">
        <is>
          <t>ee2df619-aa96-4c09-9f21-aa502ad154b7</t>
        </is>
      </c>
      <c r="B40" s="1" t="inlineStr">
        <is>
          <t>ee94a38b-95f5-497b-9848-3949e3dc4007</t>
        </is>
      </c>
      <c r="C40" s="1" t="inlineStr">
        <is>
          <t>cc26e4c9-ecf9-33ca-a270-2d0bb50578bc</t>
        </is>
      </c>
      <c r="D40" s="1" t="inlineStr">
        <is>
          <t>TDS Booked by Company</t>
        </is>
      </c>
      <c r="E40" s="1" t="inlineStr">
        <is>
          <t>Invoice Number Matched</t>
        </is>
      </c>
      <c r="F40" s="1" t="inlineStr">
        <is>
          <t>ledger</t>
        </is>
      </c>
      <c r="G40" s="1" t="inlineStr">
        <is>
          <t>21-08-2025</t>
        </is>
      </c>
      <c r="H40" s="1" t="inlineStr">
        <is>
          <t>ANK2526/SER00050</t>
        </is>
      </c>
      <c r="I40" s="1" t="inlineStr">
        <is>
          <t>invoice</t>
        </is>
      </c>
      <c r="J40" s="1" t="inlineStr">
        <is>
          <t>MI</t>
        </is>
      </c>
      <c r="K40" s="1" t="inlineStr">
        <is>
          <t>421111714  MATERNA - HCG 5000 IU</t>
        </is>
      </c>
      <c r="L40" s="15" t="n">
        <v>-2460902.0</v>
      </c>
      <c r="M40" s="1" t="inlineStr">
        <is>
          <t>ledger</t>
        </is>
      </c>
      <c r="N40" s="1" t="inlineStr">
        <is>
          <t>21-08-2025</t>
        </is>
      </c>
      <c r="O40" s="1" t="inlineStr">
        <is>
          <t xml:space="preserve">ANK2526/SER00050      </t>
        </is>
      </c>
      <c r="P40" s="1" t="inlineStr">
        <is>
          <t>invoice</t>
        </is>
      </c>
      <c r="Q40" s="1" t="inlineStr">
        <is>
          <t>Other</t>
        </is>
      </c>
      <c r="R40" s="1"/>
      <c r="S40" s="15" t="n">
        <v>2505646.08</v>
      </c>
      <c r="T40" s="1" t="n">
        <v>44744.080000000075</v>
      </c>
      <c r="U40" s="1" t="inlineStr">
        <is>
          <t>PRI-INV1.6-company</t>
        </is>
      </c>
      <c r="V40" s="1" t="inlineStr">
        <is>
          <t>19-Jun-26 10:16 AM</t>
        </is>
      </c>
      <c r="W40" s="1" t="inlineStr">
        <is>
          <t/>
        </is>
      </c>
      <c r="X40" s="1" t="inlineStr">
        <is>
          <t>AAACL0820G</t>
        </is>
      </c>
      <c r="Y40" s="1"/>
      <c r="Z40" s="1" t="inlineStr">
        <is>
          <t>7053033678</t>
        </is>
      </c>
      <c r="AA40" s="1" t="inlineStr">
        <is>
          <t/>
        </is>
      </c>
      <c r="AB40" s="1" t="n">
        <v>-44744.0</v>
      </c>
      <c r="AC40" s="1" t="inlineStr">
        <is>
          <t/>
        </is>
      </c>
      <c r="AD40" t="inlineStr">
        <is>
          <t>EPL</t>
        </is>
      </c>
      <c r="AE40" t="inlineStr">
        <is>
          <t>5159</t>
        </is>
      </c>
      <c r="AF40" t="inlineStr">
        <is>
          <t>6008017857</t>
        </is>
      </c>
      <c r="AG40" t="inlineStr">
        <is>
          <t>EP00</t>
        </is>
      </c>
      <c r="AH40" t="inlineStr">
        <is>
          <t>ANK2526/SER00050</t>
        </is>
      </c>
      <c r="AI40" t="inlineStr">
        <is>
          <t>ANK2526/SER00050</t>
        </is>
      </c>
      <c r="AJ40" t="inlineStr">
        <is>
          <t>IA</t>
        </is>
      </c>
      <c r="AK40" t="inlineStr">
        <is>
          <t>2025/06</t>
        </is>
      </c>
      <c r="AL40" t="inlineStr">
        <is>
          <t>ELL2</t>
        </is>
      </c>
      <c r="AM40" t="inlineStr">
        <is>
          <t>2500</t>
        </is>
      </c>
      <c r="AN40" t="inlineStr">
        <is>
          <t>01-09-2025</t>
        </is>
      </c>
      <c r="AO40" t="inlineStr">
        <is>
          <t>-2460902</t>
        </is>
      </c>
      <c r="AP40" t="inlineStr">
        <is>
          <t>INR</t>
        </is>
      </c>
      <c r="AQ40" t="inlineStr">
        <is>
          <t>INR</t>
        </is>
      </c>
      <c r="AR40" t="inlineStr">
        <is>
          <t>01-09-2025</t>
        </is>
      </c>
      <c r="AS40" t="inlineStr">
        <is>
          <t>-2237184</t>
        </is>
      </c>
      <c r="AT40" t="inlineStr">
        <is>
          <t>13-09-2025</t>
        </is>
      </c>
    </row>
    <row r="41">
      <c r="A41" s="1" t="inlineStr">
        <is>
          <t>eb499910-3892-42be-97e6-0ca5eb6ab8ee</t>
        </is>
      </c>
      <c r="B41" s="1" t="inlineStr">
        <is>
          <t>51022052-eebc-4fbc-a428-096361b8a8c3</t>
        </is>
      </c>
      <c r="C41" s="1" t="inlineStr">
        <is>
          <t>d770e8f0-576e-355f-b490-2555388f5d28</t>
        </is>
      </c>
      <c r="D41" s="1" t="inlineStr">
        <is>
          <t>TDS Booked by Party</t>
        </is>
      </c>
      <c r="E41" s="1" t="inlineStr">
        <is>
          <t>Date and Amount Matched - Recommended</t>
        </is>
      </c>
      <c r="F41" s="1" t="inlineStr">
        <is>
          <t>ledger</t>
        </is>
      </c>
      <c r="G41" s="1" t="inlineStr">
        <is>
          <t>06-11-2025</t>
        </is>
      </c>
      <c r="H41" s="1" t="inlineStr">
        <is>
          <t>7053038636</t>
        </is>
      </c>
      <c r="I41" s="1" t="inlineStr">
        <is>
          <t>payment</t>
        </is>
      </c>
      <c r="J41" s="1" t="inlineStr">
        <is>
          <t>KZ</t>
        </is>
      </c>
      <c r="K41" s="1"/>
      <c r="L41" s="15" t="n">
        <v>1555560.0</v>
      </c>
      <c r="M41" s="1" t="inlineStr">
        <is>
          <t>ledger</t>
        </is>
      </c>
      <c r="N41" s="1" t="inlineStr">
        <is>
          <t>06-11-2025</t>
        </is>
      </c>
      <c r="O41" s="1" t="inlineStr">
        <is>
          <t>UTIBR72025110600053262</t>
        </is>
      </c>
      <c r="P41" s="1" t="inlineStr">
        <is>
          <t>payment</t>
        </is>
      </c>
      <c r="Q41" s="1" t="inlineStr">
        <is>
          <t>Receipt</t>
        </is>
      </c>
      <c r="R41" s="1"/>
      <c r="S41" s="15" t="n">
        <v>-1582380.0</v>
      </c>
      <c r="T41" s="1" t="n">
        <v>-26820.0</v>
      </c>
      <c r="U41" s="1" t="inlineStr">
        <is>
          <t>SEC-PAY3.1-company</t>
        </is>
      </c>
      <c r="V41" s="1" t="inlineStr">
        <is>
          <t>19-Jun-26 10:16 AM</t>
        </is>
      </c>
      <c r="W41" s="1" t="inlineStr">
        <is>
          <t/>
        </is>
      </c>
      <c r="X41" s="1" t="inlineStr">
        <is>
          <t>AAACL0820G</t>
        </is>
      </c>
      <c r="Y41" s="1"/>
      <c r="Z41" s="1" t="inlineStr">
        <is>
          <t>7053038636</t>
        </is>
      </c>
      <c r="AA41" s="1" t="inlineStr">
        <is>
          <t/>
        </is>
      </c>
      <c r="AB41" s="1" t="n">
        <v>0.0</v>
      </c>
      <c r="AC41" s="1" t="inlineStr">
        <is>
          <t/>
        </is>
      </c>
      <c r="AD41" t="inlineStr">
        <is>
          <t>EPL</t>
        </is>
      </c>
      <c r="AE41" t="inlineStr">
        <is>
          <t>5276</t>
        </is>
      </c>
      <c r="AF41" t="inlineStr">
        <is>
          <t>7053038636</t>
        </is>
      </c>
      <c r="AG41" t="inlineStr">
        <is>
          <t>EP00</t>
        </is>
      </c>
      <c r="AH41" t="inlineStr">
        <is>
          <t>20251106-SJH11</t>
        </is>
      </c>
      <c r="AI41" t="inlineStr">
        <is>
          <t>20251106-SJH11</t>
        </is>
      </c>
      <c r="AJ41" t="inlineStr">
        <is>
          <t/>
        </is>
      </c>
      <c r="AK41" t="inlineStr">
        <is>
          <t>2025/08</t>
        </is>
      </c>
      <c r="AL41" t="inlineStr">
        <is>
          <t/>
        </is>
      </c>
      <c r="AM41" t="inlineStr">
        <is>
          <t>2500</t>
        </is>
      </c>
      <c r="AN41" t="inlineStr">
        <is>
          <t>06-11-2025</t>
        </is>
      </c>
      <c r="AO41" t="inlineStr">
        <is>
          <t>1555560</t>
        </is>
      </c>
      <c r="AP41" t="inlineStr">
        <is>
          <t>INR</t>
        </is>
      </c>
      <c r="AQ41" t="inlineStr">
        <is>
          <t>INR</t>
        </is>
      </c>
      <c r="AR41" t="inlineStr">
        <is>
          <t>06-11-2025</t>
        </is>
      </c>
      <c r="AS41" t="inlineStr">
        <is>
          <t>1341000</t>
        </is>
      </c>
      <c r="AT41" t="inlineStr">
        <is>
          <t>06-11-2025</t>
        </is>
      </c>
    </row>
    <row r="42">
      <c r="A42" s="1" t="inlineStr">
        <is>
          <t>626097b2-3743-4a8b-96db-a3f8c3a8fabf</t>
        </is>
      </c>
      <c r="B42" s="1" t="inlineStr">
        <is>
          <t>90df11c7-89a9-4ada-bf91-5bcbc9c0d2c8</t>
        </is>
      </c>
      <c r="C42" s="1" t="inlineStr">
        <is>
          <t>d844a4c4-df8d-3fb4-a542-9b3262225213</t>
        </is>
      </c>
      <c r="D42" s="1" t="inlineStr">
        <is>
          <t>TDS Booked by Company</t>
        </is>
      </c>
      <c r="E42" s="1" t="inlineStr">
        <is>
          <t>Invoice Number Matched</t>
        </is>
      </c>
      <c r="F42" s="1" t="inlineStr">
        <is>
          <t>ledger</t>
        </is>
      </c>
      <c r="G42" s="1" t="inlineStr">
        <is>
          <t>22-01-2026</t>
        </is>
      </c>
      <c r="H42" s="1" t="inlineStr">
        <is>
          <t>ANK2526/GIS00923</t>
        </is>
      </c>
      <c r="I42" s="1" t="inlineStr">
        <is>
          <t>invoice</t>
        </is>
      </c>
      <c r="J42" s="1" t="inlineStr">
        <is>
          <t>MF</t>
        </is>
      </c>
      <c r="K42" s="1" t="inlineStr">
        <is>
          <t>EMTIG INJECTION [P TO P]</t>
        </is>
      </c>
      <c r="L42" s="15" t="n">
        <v>-3422325.0</v>
      </c>
      <c r="M42" s="1" t="inlineStr">
        <is>
          <t>ledger</t>
        </is>
      </c>
      <c r="N42" s="1" t="inlineStr">
        <is>
          <t>22-01-2026</t>
        </is>
      </c>
      <c r="O42" s="1" t="inlineStr">
        <is>
          <t xml:space="preserve">ANK2526/GIS00923      </t>
        </is>
      </c>
      <c r="P42" s="1" t="inlineStr">
        <is>
          <t>invoice</t>
        </is>
      </c>
      <c r="Q42" s="1" t="inlineStr">
        <is>
          <t>Sale</t>
        </is>
      </c>
      <c r="R42" s="1"/>
      <c r="S42" s="15" t="n">
        <v>3425587.0</v>
      </c>
      <c r="T42" s="1" t="n">
        <v>3262.0</v>
      </c>
      <c r="U42" s="1" t="inlineStr">
        <is>
          <t>PRI-INV1.6-company</t>
        </is>
      </c>
      <c r="V42" s="1" t="inlineStr">
        <is>
          <t>19-Jun-26 10:16 AM</t>
        </is>
      </c>
      <c r="W42" s="1" t="inlineStr">
        <is>
          <t/>
        </is>
      </c>
      <c r="X42" s="1" t="inlineStr">
        <is>
          <t>AAACL0820G</t>
        </is>
      </c>
      <c r="Y42" s="1"/>
      <c r="Z42" s="1" t="inlineStr">
        <is>
          <t>7053001173</t>
        </is>
      </c>
      <c r="AA42" s="1" t="inlineStr">
        <is>
          <t/>
        </is>
      </c>
      <c r="AB42" s="1" t="n">
        <v>-3262.0</v>
      </c>
      <c r="AC42" s="1" t="inlineStr">
        <is>
          <t/>
        </is>
      </c>
      <c r="AD42" t="inlineStr">
        <is>
          <t>EPL</t>
        </is>
      </c>
      <c r="AE42" t="inlineStr">
        <is>
          <t>5906</t>
        </is>
      </c>
      <c r="AF42" t="inlineStr">
        <is>
          <t>6006002054</t>
        </is>
      </c>
      <c r="AG42" t="inlineStr">
        <is>
          <t>EP00</t>
        </is>
      </c>
      <c r="AH42" t="inlineStr">
        <is>
          <t>ANK2526/GIS00923</t>
        </is>
      </c>
      <c r="AI42" t="inlineStr">
        <is>
          <t>ANK2526/GIS00923</t>
        </is>
      </c>
      <c r="AJ42" t="inlineStr">
        <is>
          <t>I3</t>
        </is>
      </c>
      <c r="AK42" t="inlineStr">
        <is>
          <t>2025/10</t>
        </is>
      </c>
      <c r="AL42" t="inlineStr">
        <is>
          <t>EMHC</t>
        </is>
      </c>
      <c r="AM42" t="inlineStr">
        <is>
          <t>CRITI_CARE</t>
        </is>
      </c>
      <c r="AN42" t="inlineStr">
        <is>
          <t>29-01-2026</t>
        </is>
      </c>
      <c r="AO42" t="inlineStr">
        <is>
          <t>-3422325</t>
        </is>
      </c>
      <c r="AP42" t="inlineStr">
        <is>
          <t>INR</t>
        </is>
      </c>
      <c r="AQ42" t="inlineStr">
        <is>
          <t>INR</t>
        </is>
      </c>
      <c r="AR42" t="inlineStr">
        <is>
          <t>29-01-2026</t>
        </is>
      </c>
      <c r="AS42" t="inlineStr">
        <is>
          <t>-3262463.8</t>
        </is>
      </c>
      <c r="AT42" t="inlineStr">
        <is>
          <t>28-01-2026</t>
        </is>
      </c>
    </row>
    <row r="43">
      <c r="A43" s="1" t="inlineStr">
        <is>
          <t>b2e347ad-12a7-49e8-b77b-8588201eb191</t>
        </is>
      </c>
      <c r="B43" s="1" t="inlineStr">
        <is>
          <t>f8ecbfc7-0224-4122-8ad2-06231f412d43</t>
        </is>
      </c>
      <c r="C43" s="1" t="inlineStr">
        <is>
          <t>e2732d49-1980-36ce-9173-91c7827c949c</t>
        </is>
      </c>
      <c r="D43" s="1" t="inlineStr">
        <is>
          <t>TDS Booked by Party</t>
        </is>
      </c>
      <c r="E43" s="1" t="inlineStr">
        <is>
          <t>Date and Amount Matched - Recommended</t>
        </is>
      </c>
      <c r="F43" s="1" t="inlineStr">
        <is>
          <t>ledger</t>
        </is>
      </c>
      <c r="G43" s="1" t="inlineStr">
        <is>
          <t>21-05-2025</t>
        </is>
      </c>
      <c r="H43" s="1" t="inlineStr">
        <is>
          <t>7053008353</t>
        </is>
      </c>
      <c r="I43" s="1" t="inlineStr">
        <is>
          <t>payment</t>
        </is>
      </c>
      <c r="J43" s="1" t="inlineStr">
        <is>
          <t>KZ</t>
        </is>
      </c>
      <c r="K43" s="1"/>
      <c r="L43" s="15" t="n">
        <v>1066852.0</v>
      </c>
      <c r="M43" s="1" t="inlineStr">
        <is>
          <t>ledger</t>
        </is>
      </c>
      <c r="N43" s="1" t="inlineStr">
        <is>
          <t>21-05-2025</t>
        </is>
      </c>
      <c r="O43" s="1" t="inlineStr">
        <is>
          <t xml:space="preserve">AXISCN0979676342      </t>
        </is>
      </c>
      <c r="P43" s="1" t="inlineStr">
        <is>
          <t>payment</t>
        </is>
      </c>
      <c r="Q43" s="1" t="inlineStr">
        <is>
          <t>Receipt</t>
        </is>
      </c>
      <c r="R43" s="1"/>
      <c r="S43" s="15" t="n">
        <v>-1085246.0</v>
      </c>
      <c r="T43" s="1" t="n">
        <v>-18394.0</v>
      </c>
      <c r="U43" s="1" t="inlineStr">
        <is>
          <t>SEC-PAY3.1-company</t>
        </is>
      </c>
      <c r="V43" s="1" t="inlineStr">
        <is>
          <t>19-Jun-26 10:16 AM</t>
        </is>
      </c>
      <c r="W43" s="1" t="inlineStr">
        <is>
          <t/>
        </is>
      </c>
      <c r="X43" s="1" t="inlineStr">
        <is>
          <t>AAACL0820G</t>
        </is>
      </c>
      <c r="Y43" s="1"/>
      <c r="Z43" s="1" t="inlineStr">
        <is>
          <t>7053008353</t>
        </is>
      </c>
      <c r="AA43" s="1" t="inlineStr">
        <is>
          <t/>
        </is>
      </c>
      <c r="AB43" s="1" t="n">
        <v>0.0</v>
      </c>
      <c r="AC43" s="1" t="inlineStr">
        <is>
          <t/>
        </is>
      </c>
      <c r="AD43" t="inlineStr">
        <is>
          <t>EPL</t>
        </is>
      </c>
      <c r="AE43" t="inlineStr">
        <is>
          <t>5276</t>
        </is>
      </c>
      <c r="AF43" t="inlineStr">
        <is>
          <t>7053008353</t>
        </is>
      </c>
      <c r="AG43" t="inlineStr">
        <is>
          <t>EP00</t>
        </is>
      </c>
      <c r="AH43" t="inlineStr">
        <is>
          <t>20250521-SJH01</t>
        </is>
      </c>
      <c r="AI43" t="inlineStr">
        <is>
          <t>20250521-SJH01</t>
        </is>
      </c>
      <c r="AJ43" t="inlineStr">
        <is>
          <t/>
        </is>
      </c>
      <c r="AK43" t="inlineStr">
        <is>
          <t>2025/02</t>
        </is>
      </c>
      <c r="AL43" t="inlineStr">
        <is>
          <t/>
        </is>
      </c>
      <c r="AM43" t="inlineStr">
        <is>
          <t>2500</t>
        </is>
      </c>
      <c r="AN43" t="inlineStr">
        <is>
          <t>21-05-2025</t>
        </is>
      </c>
      <c r="AO43" t="inlineStr">
        <is>
          <t>1066852</t>
        </is>
      </c>
      <c r="AP43" t="inlineStr">
        <is>
          <t>INR</t>
        </is>
      </c>
      <c r="AQ43" t="inlineStr">
        <is>
          <t>INR</t>
        </is>
      </c>
      <c r="AR43" t="inlineStr">
        <is>
          <t>21-05-2025</t>
        </is>
      </c>
      <c r="AS43" t="inlineStr">
        <is>
          <t>919700</t>
        </is>
      </c>
      <c r="AT43" t="inlineStr">
        <is>
          <t>21-05-2025</t>
        </is>
      </c>
    </row>
    <row r="44">
      <c r="A44" s="1" t="inlineStr">
        <is>
          <t>a0968703-cc23-44af-b031-f718ce9e84ce</t>
        </is>
      </c>
      <c r="B44" s="1" t="inlineStr">
        <is>
          <t>4b5709cd-1408-4b7e-8e81-53c786fe9b81</t>
        </is>
      </c>
      <c r="C44" s="1" t="inlineStr">
        <is>
          <t>e817c417-e8ce-344a-9cf1-b855d2c82a41</t>
        </is>
      </c>
      <c r="D44" s="1" t="inlineStr">
        <is>
          <t>TDS Booked by Party</t>
        </is>
      </c>
      <c r="E44" s="1" t="inlineStr">
        <is>
          <t>Date and Amount Matched - Recommended</t>
        </is>
      </c>
      <c r="F44" s="1" t="inlineStr">
        <is>
          <t>ledger</t>
        </is>
      </c>
      <c r="G44" s="1" t="inlineStr">
        <is>
          <t>01-07-2025</t>
        </is>
      </c>
      <c r="H44" s="1" t="inlineStr">
        <is>
          <t>7053015183</t>
        </is>
      </c>
      <c r="I44" s="1" t="inlineStr">
        <is>
          <t>payment</t>
        </is>
      </c>
      <c r="J44" s="1" t="inlineStr">
        <is>
          <t>KZ</t>
        </is>
      </c>
      <c r="K44" s="1"/>
      <c r="L44" s="15" t="n">
        <v>14267.66</v>
      </c>
      <c r="M44" s="1" t="inlineStr">
        <is>
          <t>ledger</t>
        </is>
      </c>
      <c r="N44" s="1" t="inlineStr">
        <is>
          <t>01-07-2025</t>
        </is>
      </c>
      <c r="O44" s="1" t="inlineStr">
        <is>
          <t xml:space="preserve">AXISCN1007743339      </t>
        </is>
      </c>
      <c r="P44" s="1" t="inlineStr">
        <is>
          <t>payment</t>
        </is>
      </c>
      <c r="Q44" s="1" t="inlineStr">
        <is>
          <t>Receipt</t>
        </is>
      </c>
      <c r="R44" s="1"/>
      <c r="S44" s="15" t="n">
        <v>-14514.0</v>
      </c>
      <c r="T44" s="1" t="n">
        <v>-246.34000000000015</v>
      </c>
      <c r="U44" s="1" t="inlineStr">
        <is>
          <t>SEC-PAY3.1-company</t>
        </is>
      </c>
      <c r="V44" s="1" t="inlineStr">
        <is>
          <t>19-Jun-26 10:16 AM</t>
        </is>
      </c>
      <c r="W44" s="1" t="inlineStr">
        <is>
          <t/>
        </is>
      </c>
      <c r="X44" s="1" t="inlineStr">
        <is>
          <t>AAACL0820G</t>
        </is>
      </c>
      <c r="Y44" s="1"/>
      <c r="Z44" s="1" t="inlineStr">
        <is>
          <t>7053015183</t>
        </is>
      </c>
      <c r="AA44" s="1" t="inlineStr">
        <is>
          <t/>
        </is>
      </c>
      <c r="AB44" s="1" t="n">
        <v>0.0</v>
      </c>
      <c r="AC44" s="1" t="inlineStr">
        <is>
          <t/>
        </is>
      </c>
      <c r="AD44" t="inlineStr">
        <is>
          <t>EPL</t>
        </is>
      </c>
      <c r="AE44" t="inlineStr">
        <is>
          <t>5276</t>
        </is>
      </c>
      <c r="AF44" t="inlineStr">
        <is>
          <t>7053015183</t>
        </is>
      </c>
      <c r="AG44" t="inlineStr">
        <is>
          <t>EP00</t>
        </is>
      </c>
      <c r="AH44" t="inlineStr">
        <is>
          <t>20250701-SJH12</t>
        </is>
      </c>
      <c r="AI44" t="inlineStr">
        <is>
          <t>20250701-SJH12</t>
        </is>
      </c>
      <c r="AJ44" t="inlineStr">
        <is>
          <t/>
        </is>
      </c>
      <c r="AK44" t="inlineStr">
        <is>
          <t>2025/04</t>
        </is>
      </c>
      <c r="AL44" t="inlineStr">
        <is>
          <t/>
        </is>
      </c>
      <c r="AM44" t="inlineStr">
        <is>
          <t>2500</t>
        </is>
      </c>
      <c r="AN44" t="inlineStr">
        <is>
          <t>01-07-2025</t>
        </is>
      </c>
      <c r="AO44" t="inlineStr">
        <is>
          <t>14267.66</t>
        </is>
      </c>
      <c r="AP44" t="inlineStr">
        <is>
          <t>INR</t>
        </is>
      </c>
      <c r="AQ44" t="inlineStr">
        <is>
          <t>INR</t>
        </is>
      </c>
      <c r="AR44" t="inlineStr">
        <is>
          <t>01-07-2025</t>
        </is>
      </c>
      <c r="AS44" t="inlineStr">
        <is>
          <t>12299.72</t>
        </is>
      </c>
      <c r="AT44" t="inlineStr">
        <is>
          <t>01-07-2025</t>
        </is>
      </c>
    </row>
    <row r="45">
      <c r="A45" s="1" t="inlineStr">
        <is>
          <t>2543a07b-06f5-4707-8f6b-ea16f5988c18</t>
        </is>
      </c>
      <c r="B45" s="1" t="inlineStr">
        <is>
          <t>8578df19-94dc-4a2a-bedc-d18320afb9d5</t>
        </is>
      </c>
      <c r="C45" s="1" t="inlineStr">
        <is>
          <t>ebc65537-cc7d-3651-8d18-ac57f49ee624</t>
        </is>
      </c>
      <c r="D45" s="1" t="inlineStr">
        <is>
          <t>TDS Booked by Company</t>
        </is>
      </c>
      <c r="E45" s="1" t="inlineStr">
        <is>
          <t>Invoice Number Matched</t>
        </is>
      </c>
      <c r="F45" s="1" t="inlineStr">
        <is>
          <t>ledger</t>
        </is>
      </c>
      <c r="G45" s="1" t="inlineStr">
        <is>
          <t>31-07-2025</t>
        </is>
      </c>
      <c r="H45" s="1" t="inlineStr">
        <is>
          <t>ANK2526/SER00043</t>
        </is>
      </c>
      <c r="I45" s="1" t="inlineStr">
        <is>
          <t>invoice</t>
        </is>
      </c>
      <c r="J45" s="1" t="inlineStr">
        <is>
          <t>MI</t>
        </is>
      </c>
      <c r="K45" s="1" t="inlineStr">
        <is>
          <t>421111717  MATERNA - HMG 150 IU</t>
        </is>
      </c>
      <c r="L45" s="15" t="n">
        <v>-937569.32</v>
      </c>
      <c r="M45" s="1" t="inlineStr">
        <is>
          <t>ledger</t>
        </is>
      </c>
      <c r="N45" s="1" t="inlineStr">
        <is>
          <t>31-07-2025</t>
        </is>
      </c>
      <c r="O45" s="1" t="inlineStr">
        <is>
          <t xml:space="preserve">ANK2526/SER00043      </t>
        </is>
      </c>
      <c r="P45" s="1" t="inlineStr">
        <is>
          <t>invoice</t>
        </is>
      </c>
      <c r="Q45" s="1" t="inlineStr">
        <is>
          <t>Other</t>
        </is>
      </c>
      <c r="R45" s="1"/>
      <c r="S45" s="15" t="n">
        <v>954616.32</v>
      </c>
      <c r="T45" s="1" t="n">
        <v>17047.0</v>
      </c>
      <c r="U45" s="1" t="inlineStr">
        <is>
          <t>PRI-INV1.6-company</t>
        </is>
      </c>
      <c r="V45" s="1" t="inlineStr">
        <is>
          <t>19-Jun-26 10:16 AM</t>
        </is>
      </c>
      <c r="W45" s="1" t="inlineStr">
        <is>
          <t/>
        </is>
      </c>
      <c r="X45" s="1" t="inlineStr">
        <is>
          <t>AAACL0820G</t>
        </is>
      </c>
      <c r="Y45" s="1"/>
      <c r="Z45" s="1" t="inlineStr">
        <is>
          <t>7053030340</t>
        </is>
      </c>
      <c r="AA45" s="1" t="inlineStr">
        <is>
          <t/>
        </is>
      </c>
      <c r="AB45" s="1" t="n">
        <v>-17047.0</v>
      </c>
      <c r="AC45" s="1" t="inlineStr">
        <is>
          <t/>
        </is>
      </c>
      <c r="AD45" t="inlineStr">
        <is>
          <t>EPL</t>
        </is>
      </c>
      <c r="AE45" t="inlineStr">
        <is>
          <t>5159</t>
        </is>
      </c>
      <c r="AF45" t="inlineStr">
        <is>
          <t>6008016110</t>
        </is>
      </c>
      <c r="AG45" t="inlineStr">
        <is>
          <t>EP00</t>
        </is>
      </c>
      <c r="AH45" t="inlineStr">
        <is>
          <t>ANK2526/SER00043</t>
        </is>
      </c>
      <c r="AI45" t="inlineStr">
        <is>
          <t>ANK2526/SER00043</t>
        </is>
      </c>
      <c r="AJ45" t="inlineStr">
        <is>
          <t>IA</t>
        </is>
      </c>
      <c r="AK45" t="inlineStr">
        <is>
          <t>2025/05</t>
        </is>
      </c>
      <c r="AL45" t="inlineStr">
        <is>
          <t>ELL2</t>
        </is>
      </c>
      <c r="AM45" t="inlineStr">
        <is>
          <t>2500</t>
        </is>
      </c>
      <c r="AN45" t="inlineStr">
        <is>
          <t>18-08-2025</t>
        </is>
      </c>
      <c r="AO45" t="inlineStr">
        <is>
          <t>-937569.32</t>
        </is>
      </c>
      <c r="AP45" t="inlineStr">
        <is>
          <t>INR</t>
        </is>
      </c>
      <c r="AQ45" t="inlineStr">
        <is>
          <t>INR</t>
        </is>
      </c>
      <c r="AR45" t="inlineStr">
        <is>
          <t>18-08-2025</t>
        </is>
      </c>
      <c r="AS45" t="inlineStr">
        <is>
          <t>-852336</t>
        </is>
      </c>
      <c r="AT45" t="inlineStr">
        <is>
          <t>26-08-2025</t>
        </is>
      </c>
    </row>
    <row r="46">
      <c r="A46" s="1" t="inlineStr">
        <is>
          <t>3bc802fe-64c7-4942-bdfb-ab0ec16fcfda</t>
        </is>
      </c>
      <c r="B46" s="1" t="inlineStr">
        <is>
          <t>9782919a-be50-4cfb-864f-ab41855d5646</t>
        </is>
      </c>
      <c r="C46" s="1" t="inlineStr">
        <is>
          <t>ee43bf8d-99e2-31e1-ad3a-20c1cb03a504</t>
        </is>
      </c>
      <c r="D46" s="1" t="inlineStr">
        <is>
          <t>TDS Booked by Company</t>
        </is>
      </c>
      <c r="E46" s="1" t="inlineStr">
        <is>
          <t>Invoice Number Matched</t>
        </is>
      </c>
      <c r="F46" s="1" t="inlineStr">
        <is>
          <t>ledger</t>
        </is>
      </c>
      <c r="G46" s="1" t="inlineStr">
        <is>
          <t>23-01-2026</t>
        </is>
      </c>
      <c r="H46" s="1" t="inlineStr">
        <is>
          <t>ANK2526/GIS00926</t>
        </is>
      </c>
      <c r="I46" s="1" t="inlineStr">
        <is>
          <t>invoice</t>
        </is>
      </c>
      <c r="J46" s="1" t="inlineStr">
        <is>
          <t>MF</t>
        </is>
      </c>
      <c r="K46" s="1" t="inlineStr">
        <is>
          <t>REBEZ  IV INJECTION [P TO P]</t>
        </is>
      </c>
      <c r="L46" s="15" t="n">
        <v>-1612661.0</v>
      </c>
      <c r="M46" s="1" t="inlineStr">
        <is>
          <t>ledger</t>
        </is>
      </c>
      <c r="N46" s="1" t="inlineStr">
        <is>
          <t>23-01-2026</t>
        </is>
      </c>
      <c r="O46" s="1" t="inlineStr">
        <is>
          <t xml:space="preserve">ANK2526/GIS00926      </t>
        </is>
      </c>
      <c r="P46" s="1" t="inlineStr">
        <is>
          <t>invoice</t>
        </is>
      </c>
      <c r="Q46" s="1" t="inlineStr">
        <is>
          <t>Sale</t>
        </is>
      </c>
      <c r="R46" s="1"/>
      <c r="S46" s="15" t="n">
        <v>1614198.0</v>
      </c>
      <c r="T46" s="1" t="n">
        <v>1537.0</v>
      </c>
      <c r="U46" s="1" t="inlineStr">
        <is>
          <t>PRI-INV1.6-company</t>
        </is>
      </c>
      <c r="V46" s="1" t="inlineStr">
        <is>
          <t>19-Jun-26 10:16 AM</t>
        </is>
      </c>
      <c r="W46" s="1" t="inlineStr">
        <is>
          <t/>
        </is>
      </c>
      <c r="X46" s="1" t="inlineStr">
        <is>
          <t>AAACL0820G</t>
        </is>
      </c>
      <c r="Y46" s="1"/>
      <c r="Z46" s="1" t="inlineStr">
        <is>
          <t>7053002431</t>
        </is>
      </c>
      <c r="AA46" s="1" t="inlineStr">
        <is>
          <t/>
        </is>
      </c>
      <c r="AB46" s="1" t="n">
        <v>-1537.0</v>
      </c>
      <c r="AC46" s="1" t="inlineStr">
        <is>
          <t/>
        </is>
      </c>
      <c r="AD46" t="inlineStr">
        <is>
          <t>EPL</t>
        </is>
      </c>
      <c r="AE46" t="inlineStr">
        <is>
          <t>5276</t>
        </is>
      </c>
      <c r="AF46" t="inlineStr">
        <is>
          <t>6006002034</t>
        </is>
      </c>
      <c r="AG46" t="inlineStr">
        <is>
          <t>EP00</t>
        </is>
      </c>
      <c r="AH46" t="inlineStr">
        <is>
          <t>ANK2526/GIS00926</t>
        </is>
      </c>
      <c r="AI46" t="inlineStr">
        <is>
          <t>ANK2526/GIS00926</t>
        </is>
      </c>
      <c r="AJ46" t="inlineStr">
        <is>
          <t>I3</t>
        </is>
      </c>
      <c r="AK46" t="inlineStr">
        <is>
          <t>2025/10</t>
        </is>
      </c>
      <c r="AL46" t="inlineStr">
        <is>
          <t>EMHC</t>
        </is>
      </c>
      <c r="AM46" t="inlineStr">
        <is>
          <t>ENNOVA</t>
        </is>
      </c>
      <c r="AN46" t="inlineStr">
        <is>
          <t>28-01-2026</t>
        </is>
      </c>
      <c r="AO46" t="inlineStr">
        <is>
          <t>-1612661</t>
        </is>
      </c>
      <c r="AP46" t="inlineStr">
        <is>
          <t>INR</t>
        </is>
      </c>
      <c r="AQ46" t="inlineStr">
        <is>
          <t>INR</t>
        </is>
      </c>
      <c r="AR46" t="inlineStr">
        <is>
          <t>28-01-2026</t>
        </is>
      </c>
      <c r="AS46" t="inlineStr">
        <is>
          <t>-1537331.43</t>
        </is>
      </c>
      <c r="AT46" t="inlineStr">
        <is>
          <t>27-01-2026</t>
        </is>
      </c>
    </row>
    <row r="47">
      <c r="A47" s="1" t="inlineStr">
        <is>
          <t>0f9f61f7-2b34-4dfe-aee8-d2dc688d3fa6</t>
        </is>
      </c>
      <c r="B47" s="1" t="inlineStr">
        <is>
          <t>83d8b82f-3094-49cf-9377-fc9d3deeb24d</t>
        </is>
      </c>
      <c r="C47" s="1" t="inlineStr">
        <is>
          <t>f7bbdf7e-4187-3925-a070-e1e08ff0b17d</t>
        </is>
      </c>
      <c r="D47" s="1" t="inlineStr">
        <is>
          <t>TDS Booked by Company</t>
        </is>
      </c>
      <c r="E47" s="1" t="inlineStr">
        <is>
          <t>Invoice Number Matched</t>
        </is>
      </c>
      <c r="F47" s="1" t="inlineStr">
        <is>
          <t>ledger</t>
        </is>
      </c>
      <c r="G47" s="1" t="inlineStr">
        <is>
          <t>03-07-2025</t>
        </is>
      </c>
      <c r="H47" s="1" t="inlineStr">
        <is>
          <t>ANK2526/SER00028</t>
        </is>
      </c>
      <c r="I47" s="1" t="inlineStr">
        <is>
          <t>invoice</t>
        </is>
      </c>
      <c r="J47" s="1" t="inlineStr">
        <is>
          <t>MI</t>
        </is>
      </c>
      <c r="K47" s="1" t="inlineStr">
        <is>
          <t>Job Work Charge - JULY 2025</t>
        </is>
      </c>
      <c r="L47" s="15" t="n">
        <v>-1841.88</v>
      </c>
      <c r="M47" s="1" t="inlineStr">
        <is>
          <t>ledger</t>
        </is>
      </c>
      <c r="N47" s="1" t="inlineStr">
        <is>
          <t>03-07-2025</t>
        </is>
      </c>
      <c r="O47" s="1" t="inlineStr">
        <is>
          <t xml:space="preserve">ANK2526/SER00028      </t>
        </is>
      </c>
      <c r="P47" s="1" t="inlineStr">
        <is>
          <t>invoice</t>
        </is>
      </c>
      <c r="Q47" s="1" t="inlineStr">
        <is>
          <t>Other</t>
        </is>
      </c>
      <c r="R47" s="1"/>
      <c r="S47" s="15" t="n">
        <v>1874.88</v>
      </c>
      <c r="T47" s="1" t="n">
        <v>33.0</v>
      </c>
      <c r="U47" s="1" t="inlineStr">
        <is>
          <t>PRI-INV1.6-company</t>
        </is>
      </c>
      <c r="V47" s="1" t="inlineStr">
        <is>
          <t>19-Jun-26 10:16 AM</t>
        </is>
      </c>
      <c r="W47" s="1" t="inlineStr">
        <is>
          <t/>
        </is>
      </c>
      <c r="X47" s="1" t="inlineStr">
        <is>
          <t>AAACL0820G</t>
        </is>
      </c>
      <c r="Y47" s="1"/>
      <c r="Z47" s="1" t="inlineStr">
        <is>
          <t>7053032930</t>
        </is>
      </c>
      <c r="AA47" s="1" t="inlineStr">
        <is>
          <t/>
        </is>
      </c>
      <c r="AB47" s="1" t="n">
        <v>-33.0</v>
      </c>
      <c r="AC47" s="1" t="inlineStr">
        <is>
          <t/>
        </is>
      </c>
      <c r="AD47" t="inlineStr">
        <is>
          <t>EPL</t>
        </is>
      </c>
      <c r="AE47" t="inlineStr">
        <is>
          <t>5276</t>
        </is>
      </c>
      <c r="AF47" t="inlineStr">
        <is>
          <t>6008018350</t>
        </is>
      </c>
      <c r="AG47" t="inlineStr">
        <is>
          <t>EP00</t>
        </is>
      </c>
      <c r="AH47" t="inlineStr">
        <is>
          <t>ANK2526/SER00028</t>
        </is>
      </c>
      <c r="AI47" t="inlineStr">
        <is>
          <t>ANK2526/SER00028</t>
        </is>
      </c>
      <c r="AJ47" t="inlineStr">
        <is>
          <t>IA</t>
        </is>
      </c>
      <c r="AK47" t="inlineStr">
        <is>
          <t>2025/06</t>
        </is>
      </c>
      <c r="AL47" t="inlineStr">
        <is>
          <t>EGUA</t>
        </is>
      </c>
      <c r="AM47" t="inlineStr">
        <is>
          <t>2500</t>
        </is>
      </c>
      <c r="AN47" t="inlineStr">
        <is>
          <t>18-09-2025</t>
        </is>
      </c>
      <c r="AO47" t="inlineStr">
        <is>
          <t>-1841.88</t>
        </is>
      </c>
      <c r="AP47" t="inlineStr">
        <is>
          <t>INR</t>
        </is>
      </c>
      <c r="AQ47" t="inlineStr">
        <is>
          <t>INR</t>
        </is>
      </c>
      <c r="AR47" t="inlineStr">
        <is>
          <t>18-09-2025</t>
        </is>
      </c>
      <c r="AS47" t="inlineStr">
        <is>
          <t>-1674</t>
        </is>
      </c>
      <c r="AT47" t="inlineStr">
        <is>
          <t>02-09-2025</t>
        </is>
      </c>
    </row>
    <row r="48">
      <c r="A48" s="1" t="inlineStr">
        <is>
          <t>073c24a8-8d2a-4cc7-b7f7-698dd4cb4b5a</t>
        </is>
      </c>
      <c r="B48" s="1"/>
      <c r="C48" s="1" t="inlineStr">
        <is>
          <t/>
        </is>
      </c>
      <c r="D48" s="1" t="inlineStr">
        <is>
          <t>Invoice not booked by Party</t>
        </is>
      </c>
      <c r="E48" s="1" t="inlineStr">
        <is>
          <t>Unmatched</t>
        </is>
      </c>
      <c r="F48" s="1" t="inlineStr">
        <is>
          <t>ledger</t>
        </is>
      </c>
      <c r="G48" s="1" t="inlineStr">
        <is>
          <t>27-11-2025</t>
        </is>
      </c>
      <c r="H48" s="1" t="inlineStr">
        <is>
          <t>ANK2526/DBN00008</t>
        </is>
      </c>
      <c r="I48" s="1" t="inlineStr">
        <is>
          <t>invoice</t>
        </is>
      </c>
      <c r="J48" s="1" t="inlineStr">
        <is>
          <t>MI</t>
        </is>
      </c>
      <c r="K48" s="1" t="inlineStr">
        <is>
          <t>Testing &amp; analytical charges</t>
        </is>
      </c>
      <c r="L48" s="15" t="n">
        <v>-594152.0</v>
      </c>
      <c r="M48" s="1"/>
      <c r="N48" s="1"/>
      <c r="O48" s="1"/>
      <c r="P48" s="1"/>
      <c r="Q48" s="1"/>
      <c r="R48" s="1"/>
      <c r="S48" s="15" t="n">
        <v>0.0</v>
      </c>
      <c r="T48" s="1" t="n">
        <v>-594152.0</v>
      </c>
      <c r="U48" s="1" t="inlineStr">
        <is>
          <t>Post-C-3.1-company</t>
        </is>
      </c>
      <c r="V48" s="1" t="inlineStr">
        <is>
          <t>19-Jun-26 10:16 AM</t>
        </is>
      </c>
      <c r="W48" s="1" t="inlineStr">
        <is>
          <t/>
        </is>
      </c>
      <c r="X48" s="1" t="inlineStr">
        <is>
          <t>AAACL0820G</t>
        </is>
      </c>
      <c r="Y48" s="1"/>
      <c r="Z48" s="1" t="inlineStr">
        <is>
          <t>7053053702</t>
        </is>
      </c>
      <c r="AA48" s="1" t="inlineStr">
        <is>
          <t/>
        </is>
      </c>
      <c r="AB48" s="1" t="n">
        <v>-10244.0</v>
      </c>
      <c r="AC48" s="1" t="inlineStr">
        <is>
          <t/>
        </is>
      </c>
      <c r="AD48" t="inlineStr">
        <is>
          <t>EPL</t>
        </is>
      </c>
      <c r="AE48" t="inlineStr">
        <is>
          <t>5276</t>
        </is>
      </c>
      <c r="AF48" t="inlineStr">
        <is>
          <t>6008034648</t>
        </is>
      </c>
      <c r="AG48" t="inlineStr">
        <is>
          <t>EP00</t>
        </is>
      </c>
      <c r="AH48" t="inlineStr">
        <is>
          <t>ANK2526/DBN00008</t>
        </is>
      </c>
      <c r="AI48" t="inlineStr">
        <is>
          <t>ANK2526/DBN00008</t>
        </is>
      </c>
      <c r="AJ48" t="inlineStr">
        <is>
          <t>II</t>
        </is>
      </c>
      <c r="AK48" t="inlineStr">
        <is>
          <t>2025/10</t>
        </is>
      </c>
      <c r="AL48" t="inlineStr">
        <is>
          <t>EGUA</t>
        </is>
      </c>
      <c r="AM48" t="inlineStr">
        <is>
          <t>2500</t>
        </is>
      </c>
      <c r="AN48" t="inlineStr">
        <is>
          <t>19-01-2026</t>
        </is>
      </c>
      <c r="AO48" t="inlineStr">
        <is>
          <t>-594152</t>
        </is>
      </c>
      <c r="AP48" t="inlineStr">
        <is>
          <t>INR</t>
        </is>
      </c>
      <c r="AQ48" t="inlineStr">
        <is>
          <t>INR</t>
        </is>
      </c>
      <c r="AR48" t="inlineStr">
        <is>
          <t>19-01-2026</t>
        </is>
      </c>
      <c r="AS48" t="inlineStr">
        <is>
          <t>-512200</t>
        </is>
      </c>
      <c r="AT48" t="inlineStr">
        <is>
          <t>14-01-2026</t>
        </is>
      </c>
    </row>
    <row r="49">
      <c r="A49" s="1" t="inlineStr">
        <is>
          <t>262de2aa-e944-480c-b1fc-b95c5ac2a185</t>
        </is>
      </c>
      <c r="B49" s="1"/>
      <c r="C49" s="1" t="inlineStr">
        <is>
          <t/>
        </is>
      </c>
      <c r="D49" s="1" t="inlineStr">
        <is>
          <t>Opening Balance as per Company</t>
        </is>
      </c>
      <c r="E49" s="1" t="inlineStr">
        <is>
          <t>Opening Balance</t>
        </is>
      </c>
      <c r="F49" s="1" t="inlineStr">
        <is>
          <t>ledger</t>
        </is>
      </c>
      <c r="G49" s="1" t="inlineStr">
        <is>
          <t>01-04-2025</t>
        </is>
      </c>
      <c r="H49" s="1"/>
      <c r="I49" s="1" t="inlineStr">
        <is>
          <t>openingBalance</t>
        </is>
      </c>
      <c r="J49" s="1" t="inlineStr">
        <is>
          <t>Op</t>
        </is>
      </c>
      <c r="K49" s="1"/>
      <c r="L49" s="15" t="n">
        <v>-1.460889892E7</v>
      </c>
      <c r="M49" s="1"/>
      <c r="N49" s="1"/>
      <c r="O49" s="1"/>
      <c r="P49" s="1"/>
      <c r="Q49" s="1"/>
      <c r="R49" s="1"/>
      <c r="S49" s="15" t="n">
        <v>0.0</v>
      </c>
      <c r="T49" s="1" t="n">
        <v>-1.460889892E7</v>
      </c>
      <c r="U49" s="1" t="inlineStr">
        <is>
          <t/>
        </is>
      </c>
      <c r="V49" s="1" t="inlineStr">
        <is>
          <t>19-Jun-26 10:16 AM</t>
        </is>
      </c>
      <c r="W49" s="1" t="inlineStr">
        <is>
          <t/>
        </is>
      </c>
      <c r="X49" s="1" t="inlineStr">
        <is>
          <t>AAACL0820G</t>
        </is>
      </c>
      <c r="Y49" s="1"/>
      <c r="Z49" s="1"/>
      <c r="AA49" s="1" t="inlineStr">
        <is>
          <t/>
        </is>
      </c>
      <c r="AB49" s="1" t="n">
        <v>0.0</v>
      </c>
      <c r="AC49" s="1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>01-04-2025</t>
        </is>
      </c>
      <c r="AO49" t="inlineStr">
        <is>
          <t>-14608898.92</t>
        </is>
      </c>
      <c r="AP49" t="inlineStr">
        <is>
          <t/>
        </is>
      </c>
    </row>
    <row r="50">
      <c r="A50" s="1" t="inlineStr">
        <is>
          <t>39dbb1dc-74fc-4a82-81c0-d022eb6cf108</t>
        </is>
      </c>
      <c r="B50" s="1"/>
      <c r="C50" s="1" t="inlineStr">
        <is>
          <t/>
        </is>
      </c>
      <c r="D50" s="1" t="inlineStr">
        <is>
          <t>Payment not booked by Party</t>
        </is>
      </c>
      <c r="E50" s="1" t="inlineStr">
        <is>
          <t>Unmatched</t>
        </is>
      </c>
      <c r="F50" s="1" t="inlineStr">
        <is>
          <t>ledger</t>
        </is>
      </c>
      <c r="G50" s="1" t="inlineStr">
        <is>
          <t>08-04-2025</t>
        </is>
      </c>
      <c r="H50" s="1" t="inlineStr">
        <is>
          <t>7053001046</t>
        </is>
      </c>
      <c r="I50" s="1" t="inlineStr">
        <is>
          <t>payment</t>
        </is>
      </c>
      <c r="J50" s="1" t="inlineStr">
        <is>
          <t>KZ</t>
        </is>
      </c>
      <c r="K50" s="1"/>
      <c r="L50" s="15" t="n">
        <v>730800.0</v>
      </c>
      <c r="M50" s="1"/>
      <c r="N50" s="1"/>
      <c r="O50" s="1"/>
      <c r="P50" s="1"/>
      <c r="Q50" s="1"/>
      <c r="R50" s="1"/>
      <c r="S50" s="15" t="n">
        <v>0.0</v>
      </c>
      <c r="T50" s="1" t="n">
        <v>730800.0</v>
      </c>
      <c r="U50" s="1" t="inlineStr">
        <is>
          <t>Post-C-3.2-company</t>
        </is>
      </c>
      <c r="V50" s="1" t="inlineStr">
        <is>
          <t>19-Jun-26 10:16 AM</t>
        </is>
      </c>
      <c r="W50" s="1" t="inlineStr">
        <is>
          <t/>
        </is>
      </c>
      <c r="X50" s="1" t="inlineStr">
        <is>
          <t>AAACL0820G</t>
        </is>
      </c>
      <c r="Y50" s="1"/>
      <c r="Z50" s="1" t="inlineStr">
        <is>
          <t>7053001046</t>
        </is>
      </c>
      <c r="AA50" s="1" t="inlineStr">
        <is>
          <t/>
        </is>
      </c>
      <c r="AB50" s="1" t="n">
        <v>0.0</v>
      </c>
      <c r="AC50" s="1" t="inlineStr">
        <is>
          <t/>
        </is>
      </c>
      <c r="AD50" t="inlineStr">
        <is>
          <t>EPL</t>
        </is>
      </c>
      <c r="AE50" t="inlineStr">
        <is>
          <t>5276</t>
        </is>
      </c>
      <c r="AF50" t="inlineStr">
        <is>
          <t>7053001046</t>
        </is>
      </c>
      <c r="AG50" t="inlineStr">
        <is>
          <t>EP00</t>
        </is>
      </c>
      <c r="AH50" t="inlineStr">
        <is>
          <t>20250408-SJH12</t>
        </is>
      </c>
      <c r="AI50" t="inlineStr">
        <is>
          <t>20250408-SJH12</t>
        </is>
      </c>
      <c r="AJ50" t="inlineStr">
        <is>
          <t/>
        </is>
      </c>
      <c r="AK50" t="inlineStr">
        <is>
          <t>2025/01</t>
        </is>
      </c>
      <c r="AL50" t="inlineStr">
        <is>
          <t/>
        </is>
      </c>
      <c r="AM50" t="inlineStr">
        <is>
          <t>2500</t>
        </is>
      </c>
      <c r="AN50" t="inlineStr">
        <is>
          <t>08-04-2025</t>
        </is>
      </c>
      <c r="AO50" t="inlineStr">
        <is>
          <t>730800</t>
        </is>
      </c>
      <c r="AP50" t="inlineStr">
        <is>
          <t>INR</t>
        </is>
      </c>
      <c r="AQ50" t="inlineStr">
        <is>
          <t>INR</t>
        </is>
      </c>
      <c r="AR50" t="inlineStr">
        <is>
          <t>08-04-2025</t>
        </is>
      </c>
      <c r="AS50" t="inlineStr">
        <is>
          <t>630000</t>
        </is>
      </c>
      <c r="AT50" t="inlineStr">
        <is>
          <t>08-04-2025</t>
        </is>
      </c>
    </row>
    <row r="51">
      <c r="A51" s="1" t="inlineStr">
        <is>
          <t>3a213d6f-712e-42f0-b8e3-4afe16d6c1df</t>
        </is>
      </c>
      <c r="B51" s="1"/>
      <c r="C51" s="1" t="inlineStr">
        <is>
          <t/>
        </is>
      </c>
      <c r="D51" s="1" t="inlineStr">
        <is>
          <t>Closing Balance as per Company</t>
        </is>
      </c>
      <c r="E51" s="1" t="inlineStr">
        <is>
          <t>Closing Balance</t>
        </is>
      </c>
      <c r="F51" s="1" t="inlineStr">
        <is>
          <t>ledger</t>
        </is>
      </c>
      <c r="G51" s="1" t="inlineStr">
        <is>
          <t>31-03-2026</t>
        </is>
      </c>
      <c r="H51" s="1"/>
      <c r="I51" s="1" t="inlineStr">
        <is>
          <t>closingBalance</t>
        </is>
      </c>
      <c r="J51" s="1" t="inlineStr">
        <is>
          <t>CL</t>
        </is>
      </c>
      <c r="K51" s="1"/>
      <c r="L51" s="15" t="n">
        <v>8712725.999999998</v>
      </c>
      <c r="M51" s="1"/>
      <c r="N51" s="1"/>
      <c r="O51" s="1"/>
      <c r="P51" s="1"/>
      <c r="Q51" s="1"/>
      <c r="R51" s="1"/>
      <c r="S51" s="15" t="n">
        <v>0.0</v>
      </c>
      <c r="T51" s="1" t="n">
        <v>8712725.999999998</v>
      </c>
      <c r="U51" s="1" t="inlineStr">
        <is>
          <t/>
        </is>
      </c>
      <c r="V51" s="1" t="inlineStr">
        <is>
          <t>19-Jun-26 10:16 AM</t>
        </is>
      </c>
      <c r="W51" s="1" t="inlineStr">
        <is>
          <t/>
        </is>
      </c>
      <c r="X51" s="1" t="inlineStr">
        <is>
          <t>AAACL0820G</t>
        </is>
      </c>
      <c r="Y51" s="1"/>
      <c r="Z51" s="1"/>
      <c r="AA51" s="1" t="inlineStr">
        <is>
          <t/>
        </is>
      </c>
      <c r="AB51" s="1" t="n">
        <v>0.0</v>
      </c>
      <c r="AC51" s="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>31-03-2026</t>
        </is>
      </c>
      <c r="AO51" t="inlineStr">
        <is>
          <t>8712725.9999999981</t>
        </is>
      </c>
      <c r="AP51" t="inlineStr">
        <is>
          <t/>
        </is>
      </c>
    </row>
    <row r="52">
      <c r="A52" s="1" t="inlineStr">
        <is>
          <t>3da2bcee-2cbd-4a91-8f1f-7fd7fbf27f05</t>
        </is>
      </c>
      <c r="B52" s="1"/>
      <c r="C52" s="1" t="inlineStr">
        <is>
          <t/>
        </is>
      </c>
      <c r="D52" s="1" t="inlineStr">
        <is>
          <t>Payment not booked by Party</t>
        </is>
      </c>
      <c r="E52" s="1" t="inlineStr">
        <is>
          <t>Unmatched</t>
        </is>
      </c>
      <c r="F52" s="1" t="inlineStr">
        <is>
          <t>ledger</t>
        </is>
      </c>
      <c r="G52" s="1" t="inlineStr">
        <is>
          <t>31-03-2026</t>
        </is>
      </c>
      <c r="H52" s="1" t="inlineStr">
        <is>
          <t>7053068167</t>
        </is>
      </c>
      <c r="I52" s="1" t="inlineStr">
        <is>
          <t>payment</t>
        </is>
      </c>
      <c r="J52" s="1" t="inlineStr">
        <is>
          <t>KZ</t>
        </is>
      </c>
      <c r="K52" s="1"/>
      <c r="L52" s="15" t="n">
        <v>473280.0</v>
      </c>
      <c r="M52" s="1"/>
      <c r="N52" s="1"/>
      <c r="O52" s="1"/>
      <c r="P52" s="1"/>
      <c r="Q52" s="1"/>
      <c r="R52" s="1"/>
      <c r="S52" s="15" t="n">
        <v>0.0</v>
      </c>
      <c r="T52" s="1" t="n">
        <v>473280.0</v>
      </c>
      <c r="U52" s="1" t="inlineStr">
        <is>
          <t>Post-C-3.2-company</t>
        </is>
      </c>
      <c r="V52" s="1" t="inlineStr">
        <is>
          <t>19-Jun-26 10:16 AM</t>
        </is>
      </c>
      <c r="W52" s="1" t="inlineStr">
        <is>
          <t/>
        </is>
      </c>
      <c r="X52" s="1" t="inlineStr">
        <is>
          <t>AAACL0820G</t>
        </is>
      </c>
      <c r="Y52" s="1"/>
      <c r="Z52" s="1" t="inlineStr">
        <is>
          <t>7053068167</t>
        </is>
      </c>
      <c r="AA52" s="1" t="inlineStr">
        <is>
          <t/>
        </is>
      </c>
      <c r="AB52" s="1" t="n">
        <v>0.0</v>
      </c>
      <c r="AC52" s="1" t="inlineStr">
        <is>
          <t/>
        </is>
      </c>
      <c r="AD52" t="inlineStr">
        <is>
          <t>EPL</t>
        </is>
      </c>
      <c r="AE52" t="inlineStr">
        <is>
          <t>5276</t>
        </is>
      </c>
      <c r="AF52" t="inlineStr">
        <is>
          <t>7053068167</t>
        </is>
      </c>
      <c r="AG52" t="inlineStr">
        <is>
          <t>EP00</t>
        </is>
      </c>
      <c r="AH52" t="inlineStr">
        <is>
          <t>20260331-SJH10</t>
        </is>
      </c>
      <c r="AI52" t="inlineStr">
        <is>
          <t>20260331-SJH10</t>
        </is>
      </c>
      <c r="AJ52" t="inlineStr">
        <is>
          <t/>
        </is>
      </c>
      <c r="AK52" t="inlineStr">
        <is>
          <t>2025/12</t>
        </is>
      </c>
      <c r="AL52" t="inlineStr">
        <is>
          <t/>
        </is>
      </c>
      <c r="AM52" t="inlineStr">
        <is>
          <t>2500</t>
        </is>
      </c>
      <c r="AN52" t="inlineStr">
        <is>
          <t>31-03-2026</t>
        </is>
      </c>
      <c r="AO52" t="inlineStr">
        <is>
          <t>473280</t>
        </is>
      </c>
      <c r="AP52" t="inlineStr">
        <is>
          <t>INR</t>
        </is>
      </c>
      <c r="AQ52" t="inlineStr">
        <is>
          <t>INR</t>
        </is>
      </c>
      <c r="AR52" t="inlineStr">
        <is>
          <t>31-03-2026</t>
        </is>
      </c>
      <c r="AS52" t="inlineStr">
        <is>
          <t>408000</t>
        </is>
      </c>
      <c r="AT52" t="inlineStr">
        <is>
          <t>31-03-2026</t>
        </is>
      </c>
    </row>
    <row r="53">
      <c r="A53" s="1" t="inlineStr">
        <is>
          <t>484c0899-5552-42fe-a29f-e62c7cb48391</t>
        </is>
      </c>
      <c r="B53" s="1"/>
      <c r="C53" s="1" t="inlineStr">
        <is>
          <t/>
        </is>
      </c>
      <c r="D53" s="1" t="inlineStr">
        <is>
          <t>Payment not booked by Party</t>
        </is>
      </c>
      <c r="E53" s="1" t="inlineStr">
        <is>
          <t>Unmatched</t>
        </is>
      </c>
      <c r="F53" s="1" t="inlineStr">
        <is>
          <t>ledger</t>
        </is>
      </c>
      <c r="G53" s="1" t="inlineStr">
        <is>
          <t>29-05-2025</t>
        </is>
      </c>
      <c r="H53" s="1" t="inlineStr">
        <is>
          <t>7053009823</t>
        </is>
      </c>
      <c r="I53" s="1" t="inlineStr">
        <is>
          <t>payment</t>
        </is>
      </c>
      <c r="J53" s="1" t="inlineStr">
        <is>
          <t>KZ</t>
        </is>
      </c>
      <c r="K53" s="1"/>
      <c r="L53" s="15" t="n">
        <v>613.96</v>
      </c>
      <c r="M53" s="1"/>
      <c r="N53" s="1"/>
      <c r="O53" s="1"/>
      <c r="P53" s="1"/>
      <c r="Q53" s="1"/>
      <c r="R53" s="1"/>
      <c r="S53" s="15" t="n">
        <v>0.0</v>
      </c>
      <c r="T53" s="1" t="n">
        <v>613.96</v>
      </c>
      <c r="U53" s="1" t="inlineStr">
        <is>
          <t>Post-C-3.2-company</t>
        </is>
      </c>
      <c r="V53" s="1" t="inlineStr">
        <is>
          <t>19-Jun-26 10:16 AM</t>
        </is>
      </c>
      <c r="W53" s="1" t="inlineStr">
        <is>
          <t/>
        </is>
      </c>
      <c r="X53" s="1" t="inlineStr">
        <is>
          <t>AAACL0820G</t>
        </is>
      </c>
      <c r="Y53" s="1"/>
      <c r="Z53" s="1" t="inlineStr">
        <is>
          <t>7053009823</t>
        </is>
      </c>
      <c r="AA53" s="1" t="inlineStr">
        <is>
          <t/>
        </is>
      </c>
      <c r="AB53" s="1" t="n">
        <v>0.0</v>
      </c>
      <c r="AC53" s="1" t="inlineStr">
        <is>
          <t/>
        </is>
      </c>
      <c r="AD53" t="inlineStr">
        <is>
          <t>EPL</t>
        </is>
      </c>
      <c r="AE53" t="inlineStr">
        <is>
          <t>5276</t>
        </is>
      </c>
      <c r="AF53" t="inlineStr">
        <is>
          <t>7053009823</t>
        </is>
      </c>
      <c r="AG53" t="inlineStr">
        <is>
          <t>EP00</t>
        </is>
      </c>
      <c r="AH53" t="inlineStr">
        <is>
          <t>20250529-SJH02</t>
        </is>
      </c>
      <c r="AI53" t="inlineStr">
        <is>
          <t>20250529-SJH02</t>
        </is>
      </c>
      <c r="AJ53" t="inlineStr">
        <is>
          <t/>
        </is>
      </c>
      <c r="AK53" t="inlineStr">
        <is>
          <t>2025/02</t>
        </is>
      </c>
      <c r="AL53" t="inlineStr">
        <is>
          <t/>
        </is>
      </c>
      <c r="AM53" t="inlineStr">
        <is>
          <t>2500</t>
        </is>
      </c>
      <c r="AN53" t="inlineStr">
        <is>
          <t>29-05-2025</t>
        </is>
      </c>
      <c r="AO53" t="inlineStr">
        <is>
          <t>613.96</t>
        </is>
      </c>
      <c r="AP53" t="inlineStr">
        <is>
          <t>INR</t>
        </is>
      </c>
      <c r="AQ53" t="inlineStr">
        <is>
          <t>INR</t>
        </is>
      </c>
      <c r="AR53" t="inlineStr">
        <is>
          <t>29-05-2025</t>
        </is>
      </c>
      <c r="AS53" t="inlineStr">
        <is>
          <t>558</t>
        </is>
      </c>
      <c r="AT53" t="inlineStr">
        <is>
          <t>29-05-2025</t>
        </is>
      </c>
    </row>
    <row r="54">
      <c r="A54" s="1" t="inlineStr">
        <is>
          <t>5fb50060-14bd-48e8-9301-272140c55ab4</t>
        </is>
      </c>
      <c r="B54" s="1"/>
      <c r="C54" s="1" t="inlineStr">
        <is>
          <t/>
        </is>
      </c>
      <c r="D54" s="1" t="inlineStr">
        <is>
          <t>Invoice not booked by Party</t>
        </is>
      </c>
      <c r="E54" s="1" t="inlineStr">
        <is>
          <t>Unmatched</t>
        </is>
      </c>
      <c r="F54" s="1" t="inlineStr">
        <is>
          <t>ledger</t>
        </is>
      </c>
      <c r="G54" s="1" t="inlineStr">
        <is>
          <t>31-07-2025</t>
        </is>
      </c>
      <c r="H54" s="1" t="inlineStr">
        <is>
          <t>ANK2526/DBN00005</t>
        </is>
      </c>
      <c r="I54" s="1" t="inlineStr">
        <is>
          <t>invoice</t>
        </is>
      </c>
      <c r="J54" s="1" t="inlineStr">
        <is>
          <t>MI</t>
        </is>
      </c>
      <c r="K54" s="1" t="inlineStr">
        <is>
          <t>Testing Charges for EGUA</t>
        </is>
      </c>
      <c r="L54" s="15" t="n">
        <v>-254504.0</v>
      </c>
      <c r="M54" s="1"/>
      <c r="N54" s="1"/>
      <c r="O54" s="1"/>
      <c r="P54" s="1"/>
      <c r="Q54" s="1"/>
      <c r="R54" s="1"/>
      <c r="S54" s="15" t="n">
        <v>0.0</v>
      </c>
      <c r="T54" s="1" t="n">
        <v>-254504.0</v>
      </c>
      <c r="U54" s="1" t="inlineStr">
        <is>
          <t>Post-C-3.1-company</t>
        </is>
      </c>
      <c r="V54" s="1" t="inlineStr">
        <is>
          <t>19-Jun-26 10:16 AM</t>
        </is>
      </c>
      <c r="W54" s="1" t="inlineStr">
        <is>
          <t/>
        </is>
      </c>
      <c r="X54" s="1" t="inlineStr">
        <is>
          <t>AAACL0820G</t>
        </is>
      </c>
      <c r="Y54" s="1"/>
      <c r="Z54" s="1" t="inlineStr">
        <is>
          <t>7053032930</t>
        </is>
      </c>
      <c r="AA54" s="1" t="inlineStr">
        <is>
          <t/>
        </is>
      </c>
      <c r="AB54" s="1" t="n">
        <v>-4388.0</v>
      </c>
      <c r="AC54" s="1" t="inlineStr">
        <is>
          <t/>
        </is>
      </c>
      <c r="AD54" t="inlineStr">
        <is>
          <t>EPL</t>
        </is>
      </c>
      <c r="AE54" t="inlineStr">
        <is>
          <t>5276</t>
        </is>
      </c>
      <c r="AF54" t="inlineStr">
        <is>
          <t>6008018394</t>
        </is>
      </c>
      <c r="AG54" t="inlineStr">
        <is>
          <t>EP00</t>
        </is>
      </c>
      <c r="AH54" t="inlineStr">
        <is>
          <t>ANK2526/DBN00005</t>
        </is>
      </c>
      <c r="AI54" t="inlineStr">
        <is>
          <t>ANK2526/DBN00005</t>
        </is>
      </c>
      <c r="AJ54" t="inlineStr">
        <is>
          <t>IA</t>
        </is>
      </c>
      <c r="AK54" t="inlineStr">
        <is>
          <t>2025/06</t>
        </is>
      </c>
      <c r="AL54" t="inlineStr">
        <is>
          <t>EGUA</t>
        </is>
      </c>
      <c r="AM54" t="inlineStr">
        <is>
          <t>2500</t>
        </is>
      </c>
      <c r="AN54" t="inlineStr">
        <is>
          <t>11-09-2025</t>
        </is>
      </c>
      <c r="AO54" t="inlineStr">
        <is>
          <t>-254504</t>
        </is>
      </c>
      <c r="AP54" t="inlineStr">
        <is>
          <t>INR</t>
        </is>
      </c>
      <c r="AQ54" t="inlineStr">
        <is>
          <t>INR</t>
        </is>
      </c>
      <c r="AR54" t="inlineStr">
        <is>
          <t>11-09-2025</t>
        </is>
      </c>
      <c r="AS54" t="inlineStr">
        <is>
          <t>-219400</t>
        </is>
      </c>
      <c r="AT54" t="inlineStr">
        <is>
          <t>29-08-2025</t>
        </is>
      </c>
    </row>
    <row r="55">
      <c r="A55" s="1" t="inlineStr">
        <is>
          <t>66848aa3-8721-45f9-8f07-7fcdafb4f510</t>
        </is>
      </c>
      <c r="B55" s="1"/>
      <c r="C55" s="1" t="inlineStr">
        <is>
          <t/>
        </is>
      </c>
      <c r="D55" s="1" t="inlineStr">
        <is>
          <t>Other entry not booked by Party</t>
        </is>
      </c>
      <c r="E55" s="1" t="inlineStr">
        <is>
          <t>Unmatched</t>
        </is>
      </c>
      <c r="F55" s="1" t="inlineStr">
        <is>
          <t>ledger</t>
        </is>
      </c>
      <c r="G55" s="1" t="inlineStr">
        <is>
          <t>31-03-2026</t>
        </is>
      </c>
      <c r="H55" s="1"/>
      <c r="I55" s="1" t="inlineStr">
        <is>
          <t>journal</t>
        </is>
      </c>
      <c r="J55" s="1" t="inlineStr">
        <is>
          <t>SA</t>
        </is>
      </c>
      <c r="K55" s="1" t="inlineStr">
        <is>
          <t>Testing &amp; Analytical</t>
        </is>
      </c>
      <c r="L55" s="15" t="n">
        <v>-179242.0</v>
      </c>
      <c r="M55" s="1"/>
      <c r="N55" s="1"/>
      <c r="O55" s="1"/>
      <c r="P55" s="1"/>
      <c r="Q55" s="1"/>
      <c r="R55" s="1"/>
      <c r="S55" s="15" t="n">
        <v>0.0</v>
      </c>
      <c r="T55" s="1" t="n">
        <v>-179242.0</v>
      </c>
      <c r="U55" s="1" t="inlineStr">
        <is>
          <t>Post-C-3.5-company</t>
        </is>
      </c>
      <c r="V55" s="1" t="inlineStr">
        <is>
          <t>19-Jun-26 10:16 AM</t>
        </is>
      </c>
      <c r="W55" s="1" t="inlineStr">
        <is>
          <t/>
        </is>
      </c>
      <c r="X55" s="1" t="inlineStr">
        <is>
          <t>AAACL0820G</t>
        </is>
      </c>
      <c r="Y55" s="1"/>
      <c r="Z55" s="1" t="inlineStr">
        <is>
          <t>7001002085</t>
        </is>
      </c>
      <c r="AA55" s="1" t="inlineStr">
        <is>
          <t/>
        </is>
      </c>
      <c r="AB55" s="1" t="n">
        <v>-3658.0</v>
      </c>
      <c r="AC55" s="1" t="inlineStr">
        <is>
          <t/>
        </is>
      </c>
      <c r="AD55" t="inlineStr">
        <is>
          <t>EPL</t>
        </is>
      </c>
      <c r="AE55" t="inlineStr">
        <is>
          <t>5276</t>
        </is>
      </c>
      <c r="AF55" t="inlineStr">
        <is>
          <t>7078317821</t>
        </is>
      </c>
      <c r="AG55" t="inlineStr">
        <is>
          <t>EP00</t>
        </is>
      </c>
      <c r="AH55" t="inlineStr">
        <is>
          <t>2526/DBN00009-PROV</t>
        </is>
      </c>
      <c r="AI55" t="inlineStr">
        <is>
          <t>ANK2526/DBN00009</t>
        </is>
      </c>
      <c r="AJ55" t="inlineStr">
        <is>
          <t>V0</t>
        </is>
      </c>
      <c r="AK55" t="inlineStr">
        <is>
          <t>2025/12</t>
        </is>
      </c>
      <c r="AL55" t="inlineStr">
        <is>
          <t>MARCH PROV-26</t>
        </is>
      </c>
      <c r="AM55" t="inlineStr">
        <is>
          <t/>
        </is>
      </c>
      <c r="AN55" t="inlineStr">
        <is>
          <t>31-03-2026</t>
        </is>
      </c>
      <c r="AO55" t="inlineStr">
        <is>
          <t>-179242</t>
        </is>
      </c>
      <c r="AP55" t="inlineStr">
        <is>
          <t>INR</t>
        </is>
      </c>
      <c r="AQ55" t="inlineStr">
        <is>
          <t>INR</t>
        </is>
      </c>
      <c r="AR55" t="inlineStr">
        <is>
          <t>11-04-2026</t>
        </is>
      </c>
      <c r="AS55" t="inlineStr">
        <is>
          <t>-182900</t>
        </is>
      </c>
      <c r="AT55" t="inlineStr">
        <is>
          <t>15-05-2026</t>
        </is>
      </c>
    </row>
    <row r="56">
      <c r="A56" s="1" t="inlineStr">
        <is>
          <t>74d9080b-e369-46b4-9ccb-72f40b32f1a5</t>
        </is>
      </c>
      <c r="B56" s="1"/>
      <c r="C56" s="1" t="inlineStr">
        <is>
          <t/>
        </is>
      </c>
      <c r="D56" s="1" t="inlineStr">
        <is>
          <t>Payment not booked by Party</t>
        </is>
      </c>
      <c r="E56" s="1" t="inlineStr">
        <is>
          <t>Unmatched</t>
        </is>
      </c>
      <c r="F56" s="1" t="inlineStr">
        <is>
          <t>ledger</t>
        </is>
      </c>
      <c r="G56" s="1" t="inlineStr">
        <is>
          <t>12-05-2025</t>
        </is>
      </c>
      <c r="H56" s="1" t="inlineStr">
        <is>
          <t>7053006480</t>
        </is>
      </c>
      <c r="I56" s="1" t="inlineStr">
        <is>
          <t>payment</t>
        </is>
      </c>
      <c r="J56" s="1" t="inlineStr">
        <is>
          <t>KZ</t>
        </is>
      </c>
      <c r="K56" s="1"/>
      <c r="L56" s="15" t="n">
        <v>898127.0</v>
      </c>
      <c r="M56" s="1"/>
      <c r="N56" s="1"/>
      <c r="O56" s="1"/>
      <c r="P56" s="1"/>
      <c r="Q56" s="1"/>
      <c r="R56" s="1"/>
      <c r="S56" s="15" t="n">
        <v>0.0</v>
      </c>
      <c r="T56" s="1" t="n">
        <v>898127.0</v>
      </c>
      <c r="U56" s="1" t="inlineStr">
        <is>
          <t>Post-C-3.2-company</t>
        </is>
      </c>
      <c r="V56" s="1" t="inlineStr">
        <is>
          <t>19-Jun-26 10:16 AM</t>
        </is>
      </c>
      <c r="W56" s="1" t="inlineStr">
        <is>
          <t/>
        </is>
      </c>
      <c r="X56" s="1" t="inlineStr">
        <is>
          <t>AAACL0820G</t>
        </is>
      </c>
      <c r="Y56" s="1"/>
      <c r="Z56" s="1" t="inlineStr">
        <is>
          <t>7053006480</t>
        </is>
      </c>
      <c r="AA56" s="1" t="inlineStr">
        <is>
          <t/>
        </is>
      </c>
      <c r="AB56" s="1" t="n">
        <v>0.0</v>
      </c>
      <c r="AC56" s="1" t="inlineStr">
        <is>
          <t/>
        </is>
      </c>
      <c r="AD56" t="inlineStr">
        <is>
          <t>EPL</t>
        </is>
      </c>
      <c r="AE56" t="inlineStr">
        <is>
          <t>5159</t>
        </is>
      </c>
      <c r="AF56" t="inlineStr">
        <is>
          <t>7053006480</t>
        </is>
      </c>
      <c r="AG56" t="inlineStr">
        <is>
          <t>EP00</t>
        </is>
      </c>
      <c r="AH56" t="inlineStr">
        <is>
          <t>20250512-SJH10</t>
        </is>
      </c>
      <c r="AI56" t="inlineStr">
        <is>
          <t>20250512-SJH10</t>
        </is>
      </c>
      <c r="AJ56" t="inlineStr">
        <is>
          <t/>
        </is>
      </c>
      <c r="AK56" t="inlineStr">
        <is>
          <t>2025/02</t>
        </is>
      </c>
      <c r="AL56" t="inlineStr">
        <is>
          <t/>
        </is>
      </c>
      <c r="AM56" t="inlineStr">
        <is>
          <t>2500</t>
        </is>
      </c>
      <c r="AN56" t="inlineStr">
        <is>
          <t>12-05-2025</t>
        </is>
      </c>
      <c r="AO56" t="inlineStr">
        <is>
          <t>898127</t>
        </is>
      </c>
      <c r="AP56" t="inlineStr">
        <is>
          <t>INR</t>
        </is>
      </c>
      <c r="AQ56" t="inlineStr">
        <is>
          <t>INR</t>
        </is>
      </c>
      <c r="AR56" t="inlineStr">
        <is>
          <t>12-05-2025</t>
        </is>
      </c>
      <c r="AS56" t="inlineStr">
        <is>
          <t>816480</t>
        </is>
      </c>
      <c r="AT56" t="inlineStr">
        <is>
          <t>12-05-2025</t>
        </is>
      </c>
    </row>
    <row r="57">
      <c r="A57" s="1" t="inlineStr">
        <is>
          <t>804cc679-de19-4f73-a584-49b62b5dd4db</t>
        </is>
      </c>
      <c r="B57" s="1"/>
      <c r="C57" s="1" t="inlineStr">
        <is>
          <t/>
        </is>
      </c>
      <c r="D57" s="1" t="inlineStr">
        <is>
          <t>Opening Balance as per Company</t>
        </is>
      </c>
      <c r="E57" s="1" t="inlineStr">
        <is>
          <t>Opening Balance</t>
        </is>
      </c>
      <c r="F57" s="1" t="inlineStr">
        <is>
          <t>ledger</t>
        </is>
      </c>
      <c r="G57" s="1" t="inlineStr">
        <is>
          <t>14-10-2024</t>
        </is>
      </c>
      <c r="H57" s="1" t="inlineStr">
        <is>
          <t>ANK2425/SER00052</t>
        </is>
      </c>
      <c r="I57" s="1" t="inlineStr">
        <is>
          <t>invoice</t>
        </is>
      </c>
      <c r="J57" s="1" t="inlineStr">
        <is>
          <t>MI</t>
        </is>
      </c>
      <c r="K57" s="1" t="inlineStr">
        <is>
          <t>421111714  MATERNA - HCG 5000 IU</t>
        </is>
      </c>
      <c r="L57" s="15" t="n">
        <v>-898127.0</v>
      </c>
      <c r="M57" s="1"/>
      <c r="N57" s="1"/>
      <c r="O57" s="1"/>
      <c r="P57" s="1"/>
      <c r="Q57" s="1"/>
      <c r="R57" s="1"/>
      <c r="S57" s="15" t="n">
        <v>0.0</v>
      </c>
      <c r="T57" s="1" t="n">
        <v>-898127.0</v>
      </c>
      <c r="U57" s="1" t="inlineStr">
        <is>
          <t>Pre-C-1.1</t>
        </is>
      </c>
      <c r="V57" s="1" t="inlineStr">
        <is>
          <t>19-Jun-26 10:16 AM</t>
        </is>
      </c>
      <c r="W57" s="1" t="inlineStr">
        <is>
          <t/>
        </is>
      </c>
      <c r="X57" s="1" t="inlineStr">
        <is>
          <t>AAACL0820G</t>
        </is>
      </c>
      <c r="Y57" s="1"/>
      <c r="Z57" s="1" t="inlineStr">
        <is>
          <t>7053006480</t>
        </is>
      </c>
      <c r="AA57" s="1" t="inlineStr">
        <is>
          <t/>
        </is>
      </c>
      <c r="AB57" s="1" t="n">
        <v>-16330.0</v>
      </c>
      <c r="AC57" s="1" t="inlineStr">
        <is>
          <t/>
        </is>
      </c>
      <c r="AD57" t="inlineStr">
        <is>
          <t>EPL</t>
        </is>
      </c>
      <c r="AE57" t="inlineStr">
        <is>
          <t>5159</t>
        </is>
      </c>
      <c r="AF57" t="inlineStr">
        <is>
          <t>6008002633</t>
        </is>
      </c>
      <c r="AG57" t="inlineStr">
        <is>
          <t>EP00</t>
        </is>
      </c>
      <c r="AH57" t="inlineStr">
        <is>
          <t>ANK2425/SER00052</t>
        </is>
      </c>
      <c r="AI57" t="inlineStr">
        <is>
          <t>ANK2425/SER00052</t>
        </is>
      </c>
      <c r="AJ57" t="inlineStr">
        <is>
          <t>IA</t>
        </is>
      </c>
      <c r="AK57" t="inlineStr">
        <is>
          <t>2025/02</t>
        </is>
      </c>
      <c r="AL57" t="inlineStr">
        <is>
          <t>ELL2</t>
        </is>
      </c>
      <c r="AM57" t="inlineStr">
        <is>
          <t>2500</t>
        </is>
      </c>
      <c r="AN57" t="inlineStr">
        <is>
          <t>02-05-2025</t>
        </is>
      </c>
      <c r="AO57" t="inlineStr">
        <is>
          <t>-898127</t>
        </is>
      </c>
      <c r="AP57" t="inlineStr">
        <is>
          <t>INR</t>
        </is>
      </c>
      <c r="AQ57" t="inlineStr">
        <is>
          <t>INR</t>
        </is>
      </c>
      <c r="AR57" t="inlineStr">
        <is>
          <t>02-05-2025</t>
        </is>
      </c>
      <c r="AS57" t="inlineStr">
        <is>
          <t>-816480</t>
        </is>
      </c>
      <c r="AT57" t="inlineStr">
        <is>
          <t>27-03-2025</t>
        </is>
      </c>
    </row>
    <row r="58">
      <c r="A58" s="1" t="inlineStr">
        <is>
          <t>8a49aa96-c2ab-4471-89a5-2a3188aa2216</t>
        </is>
      </c>
      <c r="B58" s="1"/>
      <c r="C58" s="1" t="inlineStr">
        <is>
          <t/>
        </is>
      </c>
      <c r="D58" s="1" t="inlineStr">
        <is>
          <t>Payment not booked by Party</t>
        </is>
      </c>
      <c r="E58" s="1" t="inlineStr">
        <is>
          <t>Unmatched</t>
        </is>
      </c>
      <c r="F58" s="1" t="inlineStr">
        <is>
          <t>ledger</t>
        </is>
      </c>
      <c r="G58" s="1" t="inlineStr">
        <is>
          <t>29-05-2025</t>
        </is>
      </c>
      <c r="H58" s="1" t="inlineStr">
        <is>
          <t>7053009822</t>
        </is>
      </c>
      <c r="I58" s="1" t="inlineStr">
        <is>
          <t>payment</t>
        </is>
      </c>
      <c r="J58" s="1" t="inlineStr">
        <is>
          <t>KZ</t>
        </is>
      </c>
      <c r="K58" s="1"/>
      <c r="L58" s="15" t="n">
        <v>1784335.96</v>
      </c>
      <c r="M58" s="1"/>
      <c r="N58" s="1"/>
      <c r="O58" s="1"/>
      <c r="P58" s="1"/>
      <c r="Q58" s="1"/>
      <c r="R58" s="1"/>
      <c r="S58" s="15" t="n">
        <v>0.0</v>
      </c>
      <c r="T58" s="1" t="n">
        <v>1784335.96</v>
      </c>
      <c r="U58" s="1" t="inlineStr">
        <is>
          <t>Post-C-3.2-company</t>
        </is>
      </c>
      <c r="V58" s="1" t="inlineStr">
        <is>
          <t>19-Jun-26 10:16 AM</t>
        </is>
      </c>
      <c r="W58" s="1" t="inlineStr">
        <is>
          <t/>
        </is>
      </c>
      <c r="X58" s="1" t="inlineStr">
        <is>
          <t>AAACL0820G</t>
        </is>
      </c>
      <c r="Y58" s="1"/>
      <c r="Z58" s="1" t="inlineStr">
        <is>
          <t>7053009822</t>
        </is>
      </c>
      <c r="AA58" s="1" t="inlineStr">
        <is>
          <t/>
        </is>
      </c>
      <c r="AB58" s="1" t="n">
        <v>0.0</v>
      </c>
      <c r="AC58" s="1" t="inlineStr">
        <is>
          <t/>
        </is>
      </c>
      <c r="AD58" t="inlineStr">
        <is>
          <t>EPL</t>
        </is>
      </c>
      <c r="AE58" t="inlineStr">
        <is>
          <t>5159</t>
        </is>
      </c>
      <c r="AF58" t="inlineStr">
        <is>
          <t>7053009822</t>
        </is>
      </c>
      <c r="AG58" t="inlineStr">
        <is>
          <t>EP00</t>
        </is>
      </c>
      <c r="AH58" t="inlineStr">
        <is>
          <t>20250529-SJH02</t>
        </is>
      </c>
      <c r="AI58" t="inlineStr">
        <is>
          <t>20250529-SJH02</t>
        </is>
      </c>
      <c r="AJ58" t="inlineStr">
        <is>
          <t/>
        </is>
      </c>
      <c r="AK58" t="inlineStr">
        <is>
          <t>2025/02</t>
        </is>
      </c>
      <c r="AL58" t="inlineStr">
        <is>
          <t/>
        </is>
      </c>
      <c r="AM58" t="inlineStr">
        <is>
          <t>2500</t>
        </is>
      </c>
      <c r="AN58" t="inlineStr">
        <is>
          <t>29-05-2025</t>
        </is>
      </c>
      <c r="AO58" t="inlineStr">
        <is>
          <t>1784335.96</t>
        </is>
      </c>
      <c r="AP58" t="inlineStr">
        <is>
          <t>INR</t>
        </is>
      </c>
      <c r="AQ58" t="inlineStr">
        <is>
          <t>INR</t>
        </is>
      </c>
      <c r="AR58" t="inlineStr">
        <is>
          <t>29-05-2025</t>
        </is>
      </c>
      <c r="AS58" t="inlineStr">
        <is>
          <t>1622124</t>
        </is>
      </c>
      <c r="AT58" t="inlineStr">
        <is>
          <t>29-05-2025</t>
        </is>
      </c>
    </row>
    <row r="59">
      <c r="A59" s="1" t="inlineStr">
        <is>
          <t>a394fbd0-1313-4234-b850-d30ff082d74b</t>
        </is>
      </c>
      <c r="B59" s="1"/>
      <c r="C59" s="1" t="inlineStr">
        <is>
          <t/>
        </is>
      </c>
      <c r="D59" s="1" t="inlineStr">
        <is>
          <t>Other entry not booked by Party</t>
        </is>
      </c>
      <c r="E59" s="1" t="inlineStr">
        <is>
          <t>Unmatched</t>
        </is>
      </c>
      <c r="F59" s="1" t="inlineStr">
        <is>
          <t>ledger</t>
        </is>
      </c>
      <c r="G59" s="1" t="inlineStr">
        <is>
          <t>31-03-2026</t>
        </is>
      </c>
      <c r="H59" s="1"/>
      <c r="I59" s="1" t="inlineStr">
        <is>
          <t>journal</t>
        </is>
      </c>
      <c r="J59" s="1" t="inlineStr">
        <is>
          <t>SA</t>
        </is>
      </c>
      <c r="K59" s="1" t="inlineStr">
        <is>
          <t>Job work</t>
        </is>
      </c>
      <c r="L59" s="15" t="n">
        <v>-520360.0</v>
      </c>
      <c r="M59" s="1"/>
      <c r="N59" s="1"/>
      <c r="O59" s="1"/>
      <c r="P59" s="1"/>
      <c r="Q59" s="1"/>
      <c r="R59" s="1"/>
      <c r="S59" s="15" t="n">
        <v>0.0</v>
      </c>
      <c r="T59" s="1" t="n">
        <v>-520360.0</v>
      </c>
      <c r="U59" s="1" t="inlineStr">
        <is>
          <t>Post-C-3.5-company</t>
        </is>
      </c>
      <c r="V59" s="1" t="inlineStr">
        <is>
          <t>19-Jun-26 10:16 AM</t>
        </is>
      </c>
      <c r="W59" s="1" t="inlineStr">
        <is>
          <t/>
        </is>
      </c>
      <c r="X59" s="1" t="inlineStr">
        <is>
          <t>AAACL0820G</t>
        </is>
      </c>
      <c r="Y59" s="1"/>
      <c r="Z59" s="1" t="inlineStr">
        <is>
          <t>7001008009</t>
        </is>
      </c>
      <c r="AA59" s="1" t="inlineStr">
        <is>
          <t/>
        </is>
      </c>
      <c r="AB59" s="1" t="n">
        <v>-10620.0</v>
      </c>
      <c r="AC59" s="1" t="inlineStr">
        <is>
          <t/>
        </is>
      </c>
      <c r="AD59" t="inlineStr">
        <is>
          <t>EPL</t>
        </is>
      </c>
      <c r="AE59" t="inlineStr">
        <is>
          <t>5159</t>
        </is>
      </c>
      <c r="AF59" t="inlineStr">
        <is>
          <t>7078317936</t>
        </is>
      </c>
      <c r="AG59" t="inlineStr">
        <is>
          <t>EP00</t>
        </is>
      </c>
      <c r="AH59" t="inlineStr">
        <is>
          <t>ANK2526/SER00081-P</t>
        </is>
      </c>
      <c r="AI59" t="inlineStr">
        <is>
          <t>ANK2526/SER00081</t>
        </is>
      </c>
      <c r="AJ59" t="inlineStr">
        <is>
          <t>V0</t>
        </is>
      </c>
      <c r="AK59" t="inlineStr">
        <is>
          <t>2025/12</t>
        </is>
      </c>
      <c r="AL59" t="inlineStr">
        <is>
          <t>MARCH PROV-26</t>
        </is>
      </c>
      <c r="AM59" t="inlineStr">
        <is>
          <t/>
        </is>
      </c>
      <c r="AN59" t="inlineStr">
        <is>
          <t>31-03-2026</t>
        </is>
      </c>
      <c r="AO59" t="inlineStr">
        <is>
          <t>-520360</t>
        </is>
      </c>
      <c r="AP59" t="inlineStr">
        <is>
          <t>INR</t>
        </is>
      </c>
      <c r="AQ59" t="inlineStr">
        <is>
          <t>INR</t>
        </is>
      </c>
      <c r="AR59" t="inlineStr">
        <is>
          <t>11-04-2026</t>
        </is>
      </c>
      <c r="AS59" t="inlineStr">
        <is>
          <t>-530980</t>
        </is>
      </c>
      <c r="AT59" t="inlineStr">
        <is>
          <t>15-05-2026</t>
        </is>
      </c>
    </row>
    <row r="60">
      <c r="A60" s="1" t="inlineStr">
        <is>
          <t>b3110aad-4e00-47eb-98b4-53d6f61b7088</t>
        </is>
      </c>
      <c r="B60" s="1"/>
      <c r="C60" s="1" t="inlineStr">
        <is>
          <t/>
        </is>
      </c>
      <c r="D60" s="1" t="inlineStr">
        <is>
          <t>Invoice not booked by Party</t>
        </is>
      </c>
      <c r="E60" s="1" t="inlineStr">
        <is>
          <t>Unmatched</t>
        </is>
      </c>
      <c r="F60" s="1" t="inlineStr">
        <is>
          <t>ledger</t>
        </is>
      </c>
      <c r="G60" s="1" t="inlineStr">
        <is>
          <t>06-10-2025</t>
        </is>
      </c>
      <c r="H60" s="1" t="inlineStr">
        <is>
          <t>ANK2526/DBN00006</t>
        </is>
      </c>
      <c r="I60" s="1" t="inlineStr">
        <is>
          <t>invoice</t>
        </is>
      </c>
      <c r="J60" s="1" t="inlineStr">
        <is>
          <t>MI</t>
        </is>
      </c>
      <c r="K60" s="1" t="inlineStr">
        <is>
          <t>Testing Charges</t>
        </is>
      </c>
      <c r="L60" s="15" t="n">
        <v>-228520.0</v>
      </c>
      <c r="M60" s="1"/>
      <c r="N60" s="1"/>
      <c r="O60" s="1"/>
      <c r="P60" s="1"/>
      <c r="Q60" s="1"/>
      <c r="R60" s="1"/>
      <c r="S60" s="15" t="n">
        <v>0.0</v>
      </c>
      <c r="T60" s="1" t="n">
        <v>-228520.0</v>
      </c>
      <c r="U60" s="1" t="inlineStr">
        <is>
          <t>Post-C-3.1-company</t>
        </is>
      </c>
      <c r="V60" s="1" t="inlineStr">
        <is>
          <t>19-Jun-26 10:16 AM</t>
        </is>
      </c>
      <c r="W60" s="1" t="inlineStr">
        <is>
          <t/>
        </is>
      </c>
      <c r="X60" s="1" t="inlineStr">
        <is>
          <t>AAACL0820G</t>
        </is>
      </c>
      <c r="Y60" s="1"/>
      <c r="Z60" s="1" t="inlineStr">
        <is>
          <t>7053052258</t>
        </is>
      </c>
      <c r="AA60" s="1" t="inlineStr">
        <is>
          <t/>
        </is>
      </c>
      <c r="AB60" s="1" t="n">
        <v>-3940.0</v>
      </c>
      <c r="AC60" s="1" t="inlineStr">
        <is>
          <t/>
        </is>
      </c>
      <c r="AD60" t="inlineStr">
        <is>
          <t>EPL</t>
        </is>
      </c>
      <c r="AE60" t="inlineStr">
        <is>
          <t>5276</t>
        </is>
      </c>
      <c r="AF60" t="inlineStr">
        <is>
          <t>6008025967</t>
        </is>
      </c>
      <c r="AG60" t="inlineStr">
        <is>
          <t>EP00</t>
        </is>
      </c>
      <c r="AH60" t="inlineStr">
        <is>
          <t>ANK2526/DBN00006</t>
        </is>
      </c>
      <c r="AI60" t="inlineStr">
        <is>
          <t>ANK2526/DBN00006</t>
        </is>
      </c>
      <c r="AJ60" t="inlineStr">
        <is>
          <t>II</t>
        </is>
      </c>
      <c r="AK60" t="inlineStr">
        <is>
          <t>2025/08</t>
        </is>
      </c>
      <c r="AL60" t="inlineStr">
        <is>
          <t>EGUA</t>
        </is>
      </c>
      <c r="AM60" t="inlineStr">
        <is>
          <t>2500</t>
        </is>
      </c>
      <c r="AN60" t="inlineStr">
        <is>
          <t>18-11-2025</t>
        </is>
      </c>
      <c r="AO60" t="inlineStr">
        <is>
          <t>-228520</t>
        </is>
      </c>
      <c r="AP60" t="inlineStr">
        <is>
          <t>INR</t>
        </is>
      </c>
      <c r="AQ60" t="inlineStr">
        <is>
          <t>INR</t>
        </is>
      </c>
      <c r="AR60" t="inlineStr">
        <is>
          <t>18-11-2025</t>
        </is>
      </c>
      <c r="AS60" t="inlineStr">
        <is>
          <t>-197000</t>
        </is>
      </c>
      <c r="AT60" t="inlineStr">
        <is>
          <t>10-01-2026</t>
        </is>
      </c>
    </row>
    <row r="61">
      <c r="A61" s="1" t="inlineStr">
        <is>
          <t>b7e4d0db-be08-40c0-acda-5ce824a8256a</t>
        </is>
      </c>
      <c r="B61" s="1"/>
      <c r="C61" s="1" t="inlineStr">
        <is>
          <t/>
        </is>
      </c>
      <c r="D61" s="1" t="inlineStr">
        <is>
          <t>Opening Balance as per Company</t>
        </is>
      </c>
      <c r="E61" s="1" t="inlineStr">
        <is>
          <t>Opening Balance</t>
        </is>
      </c>
      <c r="F61" s="1" t="inlineStr">
        <is>
          <t>ledger</t>
        </is>
      </c>
      <c r="G61" s="1" t="inlineStr">
        <is>
          <t>25-03-2025</t>
        </is>
      </c>
      <c r="H61" s="1" t="inlineStr">
        <is>
          <t>ANK2425/DNB00008</t>
        </is>
      </c>
      <c r="I61" s="1" t="inlineStr">
        <is>
          <t>invoice</t>
        </is>
      </c>
      <c r="J61" s="1" t="inlineStr">
        <is>
          <t>MI</t>
        </is>
      </c>
      <c r="K61" s="1" t="inlineStr">
        <is>
          <t>Testing Charges of ribsome reeaserch</t>
        </is>
      </c>
      <c r="L61" s="15" t="n">
        <v>-366212.0</v>
      </c>
      <c r="M61" s="1"/>
      <c r="N61" s="1"/>
      <c r="O61" s="1"/>
      <c r="P61" s="1"/>
      <c r="Q61" s="1"/>
      <c r="R61" s="1"/>
      <c r="S61" s="15" t="n">
        <v>0.0</v>
      </c>
      <c r="T61" s="1" t="n">
        <v>-366212.0</v>
      </c>
      <c r="U61" s="1" t="inlineStr">
        <is>
          <t>Pre-C-1.1</t>
        </is>
      </c>
      <c r="V61" s="1" t="inlineStr">
        <is>
          <t>19-Jun-26 10:16 AM</t>
        </is>
      </c>
      <c r="W61" s="1" t="inlineStr">
        <is>
          <t/>
        </is>
      </c>
      <c r="X61" s="1" t="inlineStr">
        <is>
          <t>AAACL0820G</t>
        </is>
      </c>
      <c r="Y61" s="1"/>
      <c r="Z61" s="1" t="inlineStr">
        <is>
          <t>7053008353</t>
        </is>
      </c>
      <c r="AA61" s="1" t="inlineStr">
        <is>
          <t/>
        </is>
      </c>
      <c r="AB61" s="1" t="n">
        <v>-6314.0</v>
      </c>
      <c r="AC61" s="1" t="inlineStr">
        <is>
          <t/>
        </is>
      </c>
      <c r="AD61" t="inlineStr">
        <is>
          <t>EPL</t>
        </is>
      </c>
      <c r="AE61" t="inlineStr">
        <is>
          <t>5276</t>
        </is>
      </c>
      <c r="AF61" t="inlineStr">
        <is>
          <t>6008003129</t>
        </is>
      </c>
      <c r="AG61" t="inlineStr">
        <is>
          <t>EP00</t>
        </is>
      </c>
      <c r="AH61" t="inlineStr">
        <is>
          <t>ANK2425/DNB00008</t>
        </is>
      </c>
      <c r="AI61" t="inlineStr">
        <is>
          <t>ANK2425/DNB00008</t>
        </is>
      </c>
      <c r="AJ61" t="inlineStr">
        <is>
          <t>IA</t>
        </is>
      </c>
      <c r="AK61" t="inlineStr">
        <is>
          <t>2025/02</t>
        </is>
      </c>
      <c r="AL61" t="inlineStr">
        <is>
          <t>EGUA</t>
        </is>
      </c>
      <c r="AM61" t="inlineStr">
        <is>
          <t>2500</t>
        </is>
      </c>
      <c r="AN61" t="inlineStr">
        <is>
          <t>13-05-2025</t>
        </is>
      </c>
      <c r="AO61" t="inlineStr">
        <is>
          <t>-366212</t>
        </is>
      </c>
      <c r="AP61" t="inlineStr">
        <is>
          <t>INR</t>
        </is>
      </c>
      <c r="AQ61" t="inlineStr">
        <is>
          <t>INR</t>
        </is>
      </c>
      <c r="AR61" t="inlineStr">
        <is>
          <t>13-05-2025</t>
        </is>
      </c>
      <c r="AS61" t="inlineStr">
        <is>
          <t>-315700</t>
        </is>
      </c>
      <c r="AT61" t="inlineStr">
        <is>
          <t>06-05-2025</t>
        </is>
      </c>
    </row>
    <row r="62">
      <c r="A62" s="1" t="inlineStr">
        <is>
          <t>c259686b-8169-4e00-a872-b4fa7f08123f</t>
        </is>
      </c>
      <c r="B62" s="1"/>
      <c r="C62" s="1" t="inlineStr">
        <is>
          <t/>
        </is>
      </c>
      <c r="D62" s="1" t="inlineStr">
        <is>
          <t>Invoice not booked by Party</t>
        </is>
      </c>
      <c r="E62" s="1" t="inlineStr">
        <is>
          <t>Unmatched</t>
        </is>
      </c>
      <c r="F62" s="1" t="inlineStr">
        <is>
          <t>ledger</t>
        </is>
      </c>
      <c r="G62" s="1" t="inlineStr">
        <is>
          <t>30-04-2025</t>
        </is>
      </c>
      <c r="H62" s="1" t="inlineStr">
        <is>
          <t>ANK2526/DNB00001</t>
        </is>
      </c>
      <c r="I62" s="1" t="inlineStr">
        <is>
          <t>invoice</t>
        </is>
      </c>
      <c r="J62" s="1" t="inlineStr">
        <is>
          <t>MI</t>
        </is>
      </c>
      <c r="K62" s="1" t="inlineStr">
        <is>
          <t>Debit Note(Job work Charge) - 30.04.2025</t>
        </is>
      </c>
      <c r="L62" s="15" t="n">
        <v>-14267.66</v>
      </c>
      <c r="M62" s="1"/>
      <c r="N62" s="1"/>
      <c r="O62" s="1"/>
      <c r="P62" s="1"/>
      <c r="Q62" s="1"/>
      <c r="R62" s="1"/>
      <c r="S62" s="15" t="n">
        <v>0.0</v>
      </c>
      <c r="T62" s="1" t="n">
        <v>-14267.66</v>
      </c>
      <c r="U62" s="1" t="inlineStr">
        <is>
          <t>Post-C-3.1-company</t>
        </is>
      </c>
      <c r="V62" s="1" t="inlineStr">
        <is>
          <t>19-Jun-26 10:16 AM</t>
        </is>
      </c>
      <c r="W62" s="1" t="inlineStr">
        <is>
          <t/>
        </is>
      </c>
      <c r="X62" s="1" t="inlineStr">
        <is>
          <t>AAACL0820G</t>
        </is>
      </c>
      <c r="Y62" s="1"/>
      <c r="Z62" s="1" t="inlineStr">
        <is>
          <t>7053015183</t>
        </is>
      </c>
      <c r="AA62" s="1" t="inlineStr">
        <is>
          <t/>
        </is>
      </c>
      <c r="AB62" s="1" t="n">
        <v>-246.0</v>
      </c>
      <c r="AC62" s="1" t="inlineStr">
        <is>
          <t/>
        </is>
      </c>
      <c r="AD62" t="inlineStr">
        <is>
          <t>EPL</t>
        </is>
      </c>
      <c r="AE62" t="inlineStr">
        <is>
          <t>5276</t>
        </is>
      </c>
      <c r="AF62" t="inlineStr">
        <is>
          <t>6008007146</t>
        </is>
      </c>
      <c r="AG62" t="inlineStr">
        <is>
          <t>EP00</t>
        </is>
      </c>
      <c r="AH62" t="inlineStr">
        <is>
          <t>ANK2526/DNB00001</t>
        </is>
      </c>
      <c r="AI62" t="inlineStr">
        <is>
          <t>ANK2526/DNB00001</t>
        </is>
      </c>
      <c r="AJ62" t="inlineStr">
        <is>
          <t>IA</t>
        </is>
      </c>
      <c r="AK62" t="inlineStr">
        <is>
          <t>2025/03</t>
        </is>
      </c>
      <c r="AL62" t="inlineStr">
        <is>
          <t>EGUA</t>
        </is>
      </c>
      <c r="AM62" t="inlineStr">
        <is>
          <t>2500</t>
        </is>
      </c>
      <c r="AN62" t="inlineStr">
        <is>
          <t>11-06-2025</t>
        </is>
      </c>
      <c r="AO62" t="inlineStr">
        <is>
          <t>-14267.66</t>
        </is>
      </c>
      <c r="AP62" t="inlineStr">
        <is>
          <t>INR</t>
        </is>
      </c>
      <c r="AQ62" t="inlineStr">
        <is>
          <t>INR</t>
        </is>
      </c>
      <c r="AR62" t="inlineStr">
        <is>
          <t>11-06-2025</t>
        </is>
      </c>
      <c r="AS62" t="inlineStr">
        <is>
          <t>-12299.72</t>
        </is>
      </c>
      <c r="AT62" t="inlineStr">
        <is>
          <t>05-06-2025</t>
        </is>
      </c>
    </row>
    <row r="63">
      <c r="A63" s="1" t="inlineStr">
        <is>
          <t>d33cdc7d-5f77-4869-8028-863e1c13fa15</t>
        </is>
      </c>
      <c r="B63" s="1"/>
      <c r="C63" s="1" t="inlineStr">
        <is>
          <t/>
        </is>
      </c>
      <c r="D63" s="1" t="inlineStr">
        <is>
          <t>Payment not booked by Party</t>
        </is>
      </c>
      <c r="E63" s="1" t="inlineStr">
        <is>
          <t>Unmatched</t>
        </is>
      </c>
      <c r="F63" s="1" t="inlineStr">
        <is>
          <t>ledger</t>
        </is>
      </c>
      <c r="G63" s="1" t="inlineStr">
        <is>
          <t>14-01-2026</t>
        </is>
      </c>
      <c r="H63" s="1" t="inlineStr">
        <is>
          <t>7053052258</t>
        </is>
      </c>
      <c r="I63" s="1" t="inlineStr">
        <is>
          <t>payment</t>
        </is>
      </c>
      <c r="J63" s="1" t="inlineStr">
        <is>
          <t>KZ</t>
        </is>
      </c>
      <c r="K63" s="1"/>
      <c r="L63" s="15" t="n">
        <v>228520.0</v>
      </c>
      <c r="M63" s="1"/>
      <c r="N63" s="1"/>
      <c r="O63" s="1"/>
      <c r="P63" s="1"/>
      <c r="Q63" s="1"/>
      <c r="R63" s="1"/>
      <c r="S63" s="15" t="n">
        <v>0.0</v>
      </c>
      <c r="T63" s="1" t="n">
        <v>228520.0</v>
      </c>
      <c r="U63" s="1" t="inlineStr">
        <is>
          <t>Post-C-3.2-company</t>
        </is>
      </c>
      <c r="V63" s="1" t="inlineStr">
        <is>
          <t>19-Jun-26 10:16 AM</t>
        </is>
      </c>
      <c r="W63" s="1" t="inlineStr">
        <is>
          <t/>
        </is>
      </c>
      <c r="X63" s="1" t="inlineStr">
        <is>
          <t>AAACL0820G</t>
        </is>
      </c>
      <c r="Y63" s="1"/>
      <c r="Z63" s="1" t="inlineStr">
        <is>
          <t>7053052258</t>
        </is>
      </c>
      <c r="AA63" s="1" t="inlineStr">
        <is>
          <t/>
        </is>
      </c>
      <c r="AB63" s="1" t="n">
        <v>0.0</v>
      </c>
      <c r="AC63" s="1" t="inlineStr">
        <is>
          <t/>
        </is>
      </c>
      <c r="AD63" t="inlineStr">
        <is>
          <t>EPL</t>
        </is>
      </c>
      <c r="AE63" t="inlineStr">
        <is>
          <t>5276</t>
        </is>
      </c>
      <c r="AF63" t="inlineStr">
        <is>
          <t>7053052258</t>
        </is>
      </c>
      <c r="AG63" t="inlineStr">
        <is>
          <t>EP00</t>
        </is>
      </c>
      <c r="AH63" t="inlineStr">
        <is>
          <t>20260114-SJH01</t>
        </is>
      </c>
      <c r="AI63" t="inlineStr">
        <is>
          <t>20260114-SJH01</t>
        </is>
      </c>
      <c r="AJ63" t="inlineStr">
        <is>
          <t/>
        </is>
      </c>
      <c r="AK63" t="inlineStr">
        <is>
          <t>2025/10</t>
        </is>
      </c>
      <c r="AL63" t="inlineStr">
        <is>
          <t/>
        </is>
      </c>
      <c r="AM63" t="inlineStr">
        <is>
          <t>2500</t>
        </is>
      </c>
      <c r="AN63" t="inlineStr">
        <is>
          <t>14-01-2026</t>
        </is>
      </c>
      <c r="AO63" t="inlineStr">
        <is>
          <t>228520</t>
        </is>
      </c>
      <c r="AP63" t="inlineStr">
        <is>
          <t>INR</t>
        </is>
      </c>
      <c r="AQ63" t="inlineStr">
        <is>
          <t>INR</t>
        </is>
      </c>
      <c r="AR63" t="inlineStr">
        <is>
          <t>14-01-2026</t>
        </is>
      </c>
      <c r="AS63" t="inlineStr">
        <is>
          <t>197000</t>
        </is>
      </c>
      <c r="AT63" t="inlineStr">
        <is>
          <t>14-01-2026</t>
        </is>
      </c>
    </row>
    <row r="64">
      <c r="A64" s="1" t="inlineStr">
        <is>
          <t>da1f6ac3-73fd-4107-8171-cf14d6b7bbb0</t>
        </is>
      </c>
      <c r="B64" s="1"/>
      <c r="C64" s="1" t="inlineStr">
        <is>
          <t/>
        </is>
      </c>
      <c r="D64" s="1" t="inlineStr">
        <is>
          <t>Other entry not booked by Party</t>
        </is>
      </c>
      <c r="E64" s="1" t="inlineStr">
        <is>
          <t>Unmatched</t>
        </is>
      </c>
      <c r="F64" s="1" t="inlineStr">
        <is>
          <t>ledger</t>
        </is>
      </c>
      <c r="G64" s="1" t="inlineStr">
        <is>
          <t>31-03-2026</t>
        </is>
      </c>
      <c r="H64" s="1"/>
      <c r="I64" s="1" t="inlineStr">
        <is>
          <t>journal</t>
        </is>
      </c>
      <c r="J64" s="1" t="inlineStr">
        <is>
          <t>SA</t>
        </is>
      </c>
      <c r="K64" s="1" t="inlineStr">
        <is>
          <t>Testing &amp; Analytical</t>
        </is>
      </c>
      <c r="L64" s="15" t="n">
        <v>-235200.0</v>
      </c>
      <c r="M64" s="1"/>
      <c r="N64" s="1"/>
      <c r="O64" s="1"/>
      <c r="P64" s="1"/>
      <c r="Q64" s="1"/>
      <c r="R64" s="1"/>
      <c r="S64" s="15" t="n">
        <v>0.0</v>
      </c>
      <c r="T64" s="1" t="n">
        <v>-235200.0</v>
      </c>
      <c r="U64" s="1" t="inlineStr">
        <is>
          <t>Post-C-3.5-company</t>
        </is>
      </c>
      <c r="V64" s="1" t="inlineStr">
        <is>
          <t>19-Jun-26 10:16 AM</t>
        </is>
      </c>
      <c r="W64" s="1" t="inlineStr">
        <is>
          <t/>
        </is>
      </c>
      <c r="X64" s="1" t="inlineStr">
        <is>
          <t>AAACL0820G</t>
        </is>
      </c>
      <c r="Y64" s="1"/>
      <c r="Z64" s="1" t="inlineStr">
        <is>
          <t>7001002096</t>
        </is>
      </c>
      <c r="AA64" s="1" t="inlineStr">
        <is>
          <t/>
        </is>
      </c>
      <c r="AB64" s="1" t="n">
        <v>-4800.0</v>
      </c>
      <c r="AC64" s="1" t="inlineStr">
        <is>
          <t/>
        </is>
      </c>
      <c r="AD64" t="inlineStr">
        <is>
          <t>EPL</t>
        </is>
      </c>
      <c r="AE64" t="inlineStr">
        <is>
          <t>5276</t>
        </is>
      </c>
      <c r="AF64" t="inlineStr">
        <is>
          <t>7078317822</t>
        </is>
      </c>
      <c r="AG64" t="inlineStr">
        <is>
          <t>EP00</t>
        </is>
      </c>
      <c r="AH64" t="inlineStr">
        <is>
          <t>2526/DBN00016-PROV</t>
        </is>
      </c>
      <c r="AI64" t="inlineStr">
        <is>
          <t>ANK2526/DBN00016</t>
        </is>
      </c>
      <c r="AJ64" t="inlineStr">
        <is>
          <t>V0</t>
        </is>
      </c>
      <c r="AK64" t="inlineStr">
        <is>
          <t>2025/12</t>
        </is>
      </c>
      <c r="AL64" t="inlineStr">
        <is>
          <t>MARCH PROV-26</t>
        </is>
      </c>
      <c r="AM64" t="inlineStr">
        <is>
          <t/>
        </is>
      </c>
      <c r="AN64" t="inlineStr">
        <is>
          <t>31-03-2026</t>
        </is>
      </c>
      <c r="AO64" t="inlineStr">
        <is>
          <t>-235200</t>
        </is>
      </c>
      <c r="AP64" t="inlineStr">
        <is>
          <t>INR</t>
        </is>
      </c>
      <c r="AQ64" t="inlineStr">
        <is>
          <t>INR</t>
        </is>
      </c>
      <c r="AR64" t="inlineStr">
        <is>
          <t>11-04-2026</t>
        </is>
      </c>
      <c r="AS64" t="inlineStr">
        <is>
          <t>-240000</t>
        </is>
      </c>
      <c r="AT64" t="inlineStr">
        <is>
          <t>15-05-2026</t>
        </is>
      </c>
    </row>
    <row r="65">
      <c r="A65" s="1" t="inlineStr">
        <is>
          <t>e14afd12-c455-4ae4-be8b-db0b357dbac4</t>
        </is>
      </c>
      <c r="B65" s="1"/>
      <c r="C65" s="1" t="inlineStr">
        <is>
          <t/>
        </is>
      </c>
      <c r="D65" s="1" t="inlineStr">
        <is>
          <t>Invoice not booked by Party</t>
        </is>
      </c>
      <c r="E65" s="1" t="inlineStr">
        <is>
          <t>Unmatched</t>
        </is>
      </c>
      <c r="F65" s="1" t="inlineStr">
        <is>
          <t>ledger</t>
        </is>
      </c>
      <c r="G65" s="1" t="inlineStr">
        <is>
          <t>27-01-2026</t>
        </is>
      </c>
      <c r="H65" s="1" t="inlineStr">
        <is>
          <t>ANK2526/DBN00012</t>
        </is>
      </c>
      <c r="I65" s="1" t="inlineStr">
        <is>
          <t>invoice</t>
        </is>
      </c>
      <c r="J65" s="1" t="inlineStr">
        <is>
          <t>MI</t>
        </is>
      </c>
      <c r="K65" s="1" t="inlineStr">
        <is>
          <t>Testing and analytical Charges</t>
        </is>
      </c>
      <c r="L65" s="15" t="n">
        <v>-473280.0</v>
      </c>
      <c r="M65" s="1"/>
      <c r="N65" s="1"/>
      <c r="O65" s="1"/>
      <c r="P65" s="1"/>
      <c r="Q65" s="1"/>
      <c r="R65" s="1"/>
      <c r="S65" s="15" t="n">
        <v>0.0</v>
      </c>
      <c r="T65" s="1" t="n">
        <v>-473280.0</v>
      </c>
      <c r="U65" s="1" t="inlineStr">
        <is>
          <t>Post-C-3.1-company</t>
        </is>
      </c>
      <c r="V65" s="1" t="inlineStr">
        <is>
          <t>19-Jun-26 10:16 AM</t>
        </is>
      </c>
      <c r="W65" s="1" t="inlineStr">
        <is>
          <t/>
        </is>
      </c>
      <c r="X65" s="1" t="inlineStr">
        <is>
          <t>AAACL0820G</t>
        </is>
      </c>
      <c r="Y65" s="1"/>
      <c r="Z65" s="1" t="inlineStr">
        <is>
          <t>7053068167</t>
        </is>
      </c>
      <c r="AA65" s="1" t="inlineStr">
        <is>
          <t/>
        </is>
      </c>
      <c r="AB65" s="1" t="n">
        <v>-8160.0</v>
      </c>
      <c r="AC65" s="1" t="inlineStr">
        <is>
          <t/>
        </is>
      </c>
      <c r="AD65" t="inlineStr">
        <is>
          <t>EPL</t>
        </is>
      </c>
      <c r="AE65" t="inlineStr">
        <is>
          <t>5276</t>
        </is>
      </c>
      <c r="AF65" t="inlineStr">
        <is>
          <t>6008043123</t>
        </is>
      </c>
      <c r="AG65" t="inlineStr">
        <is>
          <t>EP00</t>
        </is>
      </c>
      <c r="AH65" t="inlineStr">
        <is>
          <t>ANK2526/DBN00012</t>
        </is>
      </c>
      <c r="AI65" t="inlineStr">
        <is>
          <t>ANK2526/DBN00012</t>
        </is>
      </c>
      <c r="AJ65" t="inlineStr">
        <is>
          <t>II</t>
        </is>
      </c>
      <c r="AK65" t="inlineStr">
        <is>
          <t>2025/12</t>
        </is>
      </c>
      <c r="AL65" t="inlineStr">
        <is>
          <t>EGUA</t>
        </is>
      </c>
      <c r="AM65" t="inlineStr">
        <is>
          <t>2500</t>
        </is>
      </c>
      <c r="AN65" t="inlineStr">
        <is>
          <t>23-03-2026</t>
        </is>
      </c>
      <c r="AO65" t="inlineStr">
        <is>
          <t>-473280</t>
        </is>
      </c>
      <c r="AP65" t="inlineStr">
        <is>
          <t>INR</t>
        </is>
      </c>
      <c r="AQ65" t="inlineStr">
        <is>
          <t>INR</t>
        </is>
      </c>
      <c r="AR65" t="inlineStr">
        <is>
          <t>23-03-2026</t>
        </is>
      </c>
      <c r="AS65" t="inlineStr">
        <is>
          <t>-408000</t>
        </is>
      </c>
      <c r="AT65" t="inlineStr">
        <is>
          <t>16-03-2026</t>
        </is>
      </c>
    </row>
    <row r="66">
      <c r="A66" s="1" t="inlineStr">
        <is>
          <t>e4d5a91a-46b4-4d2d-9502-565a9e772ded</t>
        </is>
      </c>
      <c r="B66" s="1"/>
      <c r="C66" s="1" t="inlineStr">
        <is>
          <t/>
        </is>
      </c>
      <c r="D66" s="1" t="inlineStr">
        <is>
          <t>Invoice not booked by Party</t>
        </is>
      </c>
      <c r="E66" s="1" t="inlineStr">
        <is>
          <t>Unmatched</t>
        </is>
      </c>
      <c r="F66" s="1" t="inlineStr">
        <is>
          <t>ledger</t>
        </is>
      </c>
      <c r="G66" s="1" t="inlineStr">
        <is>
          <t>10-07-2025</t>
        </is>
      </c>
      <c r="H66" s="1" t="inlineStr">
        <is>
          <t>ANK2526/DNB00003</t>
        </is>
      </c>
      <c r="I66" s="1" t="inlineStr">
        <is>
          <t>invoice</t>
        </is>
      </c>
      <c r="J66" s="1" t="inlineStr">
        <is>
          <t>MI</t>
        </is>
      </c>
      <c r="K66" s="1" t="inlineStr">
        <is>
          <t>Testing Charges July 25</t>
        </is>
      </c>
      <c r="L66" s="15" t="n">
        <v>-1555560.0</v>
      </c>
      <c r="M66" s="1"/>
      <c r="N66" s="1"/>
      <c r="O66" s="1"/>
      <c r="P66" s="1"/>
      <c r="Q66" s="1"/>
      <c r="R66" s="1"/>
      <c r="S66" s="15" t="n">
        <v>0.0</v>
      </c>
      <c r="T66" s="1" t="n">
        <v>-1555560.0</v>
      </c>
      <c r="U66" s="1" t="inlineStr">
        <is>
          <t>Post-C-3.1-company</t>
        </is>
      </c>
      <c r="V66" s="1" t="inlineStr">
        <is>
          <t>19-Jun-26 10:16 AM</t>
        </is>
      </c>
      <c r="W66" s="1" t="inlineStr">
        <is>
          <t/>
        </is>
      </c>
      <c r="X66" s="1" t="inlineStr">
        <is>
          <t>AAACL0820G</t>
        </is>
      </c>
      <c r="Y66" s="1"/>
      <c r="Z66" s="1" t="inlineStr">
        <is>
          <t>7053038636</t>
        </is>
      </c>
      <c r="AA66" s="1" t="inlineStr">
        <is>
          <t/>
        </is>
      </c>
      <c r="AB66" s="1" t="n">
        <v>-26820.0</v>
      </c>
      <c r="AC66" s="1" t="inlineStr">
        <is>
          <t/>
        </is>
      </c>
      <c r="AD66" t="inlineStr">
        <is>
          <t>EPL</t>
        </is>
      </c>
      <c r="AE66" t="inlineStr">
        <is>
          <t>5276</t>
        </is>
      </c>
      <c r="AF66" t="inlineStr">
        <is>
          <t>6008024230</t>
        </is>
      </c>
      <c r="AG66" t="inlineStr">
        <is>
          <t>EP00</t>
        </is>
      </c>
      <c r="AH66" t="inlineStr">
        <is>
          <t>ANK2526/DNB00003</t>
        </is>
      </c>
      <c r="AI66" t="inlineStr">
        <is>
          <t>ANK2526/DNB00003</t>
        </is>
      </c>
      <c r="AJ66" t="inlineStr">
        <is>
          <t>II</t>
        </is>
      </c>
      <c r="AK66" t="inlineStr">
        <is>
          <t>2025/07</t>
        </is>
      </c>
      <c r="AL66" t="inlineStr">
        <is>
          <t>ANK2526/DNB00003</t>
        </is>
      </c>
      <c r="AM66" t="inlineStr">
        <is>
          <t>2500</t>
        </is>
      </c>
      <c r="AN66" t="inlineStr">
        <is>
          <t>27-10-2025</t>
        </is>
      </c>
      <c r="AO66" t="inlineStr">
        <is>
          <t>-1555560</t>
        </is>
      </c>
      <c r="AP66" t="inlineStr">
        <is>
          <t>INR</t>
        </is>
      </c>
      <c r="AQ66" t="inlineStr">
        <is>
          <t>INR</t>
        </is>
      </c>
      <c r="AR66" t="inlineStr">
        <is>
          <t>28-10-2025</t>
        </is>
      </c>
      <c r="AS66" t="inlineStr">
        <is>
          <t>-1341000</t>
        </is>
      </c>
      <c r="AT66" t="inlineStr">
        <is>
          <t>17-10-2025</t>
        </is>
      </c>
    </row>
    <row r="67">
      <c r="A67" s="1" t="inlineStr">
        <is>
          <t>f34a070e-e679-4049-80b8-68848063d92e</t>
        </is>
      </c>
      <c r="B67" s="1"/>
      <c r="C67" s="1" t="inlineStr">
        <is>
          <t/>
        </is>
      </c>
      <c r="D67" s="1" t="inlineStr">
        <is>
          <t>Payment not booked by Party</t>
        </is>
      </c>
      <c r="E67" s="1" t="inlineStr">
        <is>
          <t>Unmatched</t>
        </is>
      </c>
      <c r="F67" s="1" t="inlineStr">
        <is>
          <t>ledger</t>
        </is>
      </c>
      <c r="G67" s="1" t="inlineStr">
        <is>
          <t>08-04-2025</t>
        </is>
      </c>
      <c r="H67" s="1" t="inlineStr">
        <is>
          <t>7053001045</t>
        </is>
      </c>
      <c r="I67" s="1" t="inlineStr">
        <is>
          <t>payment</t>
        </is>
      </c>
      <c r="J67" s="1" t="inlineStr">
        <is>
          <t>KZ</t>
        </is>
      </c>
      <c r="K67" s="1"/>
      <c r="L67" s="15" t="n">
        <v>921650.0</v>
      </c>
      <c r="M67" s="1"/>
      <c r="N67" s="1"/>
      <c r="O67" s="1"/>
      <c r="P67" s="1"/>
      <c r="Q67" s="1"/>
      <c r="R67" s="1"/>
      <c r="S67" s="15" t="n">
        <v>0.0</v>
      </c>
      <c r="T67" s="1" t="n">
        <v>921650.0</v>
      </c>
      <c r="U67" s="1" t="inlineStr">
        <is>
          <t>Post-C-3.2-company</t>
        </is>
      </c>
      <c r="V67" s="1" t="inlineStr">
        <is>
          <t>19-Jun-26 10:16 AM</t>
        </is>
      </c>
      <c r="W67" s="1" t="inlineStr">
        <is>
          <t/>
        </is>
      </c>
      <c r="X67" s="1" t="inlineStr">
        <is>
          <t>AAACL0820G</t>
        </is>
      </c>
      <c r="Y67" s="1"/>
      <c r="Z67" s="1" t="inlineStr">
        <is>
          <t>7053001045</t>
        </is>
      </c>
      <c r="AA67" s="1" t="inlineStr">
        <is>
          <t/>
        </is>
      </c>
      <c r="AB67" s="1" t="n">
        <v>0.0</v>
      </c>
      <c r="AC67" s="1" t="inlineStr">
        <is>
          <t/>
        </is>
      </c>
      <c r="AD67" t="inlineStr">
        <is>
          <t>EPL</t>
        </is>
      </c>
      <c r="AE67" t="inlineStr">
        <is>
          <t>5159</t>
        </is>
      </c>
      <c r="AF67" t="inlineStr">
        <is>
          <t>7053001045</t>
        </is>
      </c>
      <c r="AG67" t="inlineStr">
        <is>
          <t>EP00</t>
        </is>
      </c>
      <c r="AH67" t="inlineStr">
        <is>
          <t>20250408-SJH12</t>
        </is>
      </c>
      <c r="AI67" t="inlineStr">
        <is>
          <t>20250408-SJH12</t>
        </is>
      </c>
      <c r="AJ67" t="inlineStr">
        <is>
          <t/>
        </is>
      </c>
      <c r="AK67" t="inlineStr">
        <is>
          <t>2025/01</t>
        </is>
      </c>
      <c r="AL67" t="inlineStr">
        <is>
          <t/>
        </is>
      </c>
      <c r="AM67" t="inlineStr">
        <is>
          <t>2500</t>
        </is>
      </c>
      <c r="AN67" t="inlineStr">
        <is>
          <t>08-04-2025</t>
        </is>
      </c>
      <c r="AO67" t="inlineStr">
        <is>
          <t>921650</t>
        </is>
      </c>
      <c r="AP67" t="inlineStr">
        <is>
          <t>INR</t>
        </is>
      </c>
      <c r="AQ67" t="inlineStr">
        <is>
          <t>INR</t>
        </is>
      </c>
      <c r="AR67" t="inlineStr">
        <is>
          <t>08-04-2025</t>
        </is>
      </c>
      <c r="AS67" t="inlineStr">
        <is>
          <t>837864</t>
        </is>
      </c>
      <c r="AT67" t="inlineStr">
        <is>
          <t>08-04-2025</t>
        </is>
      </c>
    </row>
    <row r="68">
      <c r="A68" s="1" t="inlineStr">
        <is>
          <t/>
        </is>
      </c>
      <c r="B68" s="1" t="inlineStr">
        <is>
          <t>0ca58a7f-65da-4e3e-a0ec-1d98d9e3a5f4</t>
        </is>
      </c>
      <c r="C68" s="1" t="inlineStr">
        <is>
          <t/>
        </is>
      </c>
      <c r="D68" s="1" t="inlineStr">
        <is>
          <t>Credit Note not booked by Company</t>
        </is>
      </c>
      <c r="E68" s="1" t="inlineStr">
        <is>
          <t>Unmatched</t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5" t="n">
        <v>0.0</v>
      </c>
      <c r="M68" s="1" t="inlineStr">
        <is>
          <t>ledger</t>
        </is>
      </c>
      <c r="N68" s="1" t="inlineStr">
        <is>
          <t>14-03-2026</t>
        </is>
      </c>
      <c r="O68" s="1" t="inlineStr">
        <is>
          <t xml:space="preserve">ANK2526/DBN00016      </t>
        </is>
      </c>
      <c r="P68" s="1" t="inlineStr">
        <is>
          <t>creditNote</t>
        </is>
      </c>
      <c r="Q68" s="1" t="inlineStr">
        <is>
          <t>CN</t>
        </is>
      </c>
      <c r="R68" s="1"/>
      <c r="S68" s="15" t="n">
        <v>283200.0</v>
      </c>
      <c r="T68" s="1" t="n">
        <v>283200.0</v>
      </c>
      <c r="U68" s="1" t="inlineStr">
        <is>
          <t>Post-P-3.4-party</t>
        </is>
      </c>
      <c r="V68" s="1" t="inlineStr">
        <is>
          <t>19-Jun-26 10:16 AM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n">
        <v>0.0</v>
      </c>
      <c r="AC68" s="1" t="inlineStr">
        <is>
          <t/>
        </is>
      </c>
    </row>
    <row r="69">
      <c r="A69" s="1" t="inlineStr">
        <is>
          <t/>
        </is>
      </c>
      <c r="B69" s="1" t="inlineStr">
        <is>
          <t>289ad3fb-1769-409a-909a-3cec95cef9d5</t>
        </is>
      </c>
      <c r="C69" s="1" t="inlineStr">
        <is>
          <t/>
        </is>
      </c>
      <c r="D69" s="1" t="inlineStr">
        <is>
          <t>Credit Note not booked by Company</t>
        </is>
      </c>
      <c r="E69" s="1" t="inlineStr">
        <is>
          <t>Unmatched</t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5" t="n">
        <v>0.0</v>
      </c>
      <c r="M69" s="1" t="inlineStr">
        <is>
          <t>ledger</t>
        </is>
      </c>
      <c r="N69" s="1" t="inlineStr">
        <is>
          <t>10-07-2025</t>
        </is>
      </c>
      <c r="O69" s="1" t="inlineStr">
        <is>
          <t xml:space="preserve">DNB00011              </t>
        </is>
      </c>
      <c r="P69" s="1" t="inlineStr">
        <is>
          <t>creditNote</t>
        </is>
      </c>
      <c r="Q69" s="1" t="inlineStr">
        <is>
          <t>CN</t>
        </is>
      </c>
      <c r="R69" s="1"/>
      <c r="S69" s="15" t="n">
        <v>1582380.0</v>
      </c>
      <c r="T69" s="1" t="n">
        <v>1582380.0</v>
      </c>
      <c r="U69" s="1" t="inlineStr">
        <is>
          <t>Post-P-3.4-party</t>
        </is>
      </c>
      <c r="V69" s="1" t="inlineStr">
        <is>
          <t>19-Jun-26 10:16 AM</t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n">
        <v>0.0</v>
      </c>
      <c r="AC69" s="1" t="inlineStr">
        <is>
          <t/>
        </is>
      </c>
    </row>
    <row r="70">
      <c r="A70" s="1" t="inlineStr">
        <is>
          <t/>
        </is>
      </c>
      <c r="B70" s="1" t="inlineStr">
        <is>
          <t>2b2ced9b-b480-4be7-a59a-1a5ae8f5bc89</t>
        </is>
      </c>
      <c r="C70" s="1" t="inlineStr">
        <is>
          <t/>
        </is>
      </c>
      <c r="D70" s="1" t="inlineStr">
        <is>
          <t>Credit Note not booked by Company</t>
        </is>
      </c>
      <c r="E70" s="1" t="inlineStr">
        <is>
          <t>Unmatched</t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5" t="n">
        <v>0.0</v>
      </c>
      <c r="M70" s="1" t="inlineStr">
        <is>
          <t>ledger</t>
        </is>
      </c>
      <c r="N70" s="1" t="inlineStr">
        <is>
          <t>27-01-2026</t>
        </is>
      </c>
      <c r="O70" s="1" t="inlineStr">
        <is>
          <t xml:space="preserve">ANK2526/DBN00012      </t>
        </is>
      </c>
      <c r="P70" s="1" t="inlineStr">
        <is>
          <t>creditNote</t>
        </is>
      </c>
      <c r="Q70" s="1" t="inlineStr">
        <is>
          <t>CN</t>
        </is>
      </c>
      <c r="R70" s="1"/>
      <c r="S70" s="15" t="n">
        <v>481440.0</v>
      </c>
      <c r="T70" s="1" t="n">
        <v>481440.0</v>
      </c>
      <c r="U70" s="1" t="inlineStr">
        <is>
          <t>Post-P-3.4-party</t>
        </is>
      </c>
      <c r="V70" s="1" t="inlineStr">
        <is>
          <t>19-Jun-26 10:16 AM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n">
        <v>0.0</v>
      </c>
      <c r="AC70" s="1" t="inlineStr">
        <is>
          <t/>
        </is>
      </c>
    </row>
    <row r="71">
      <c r="A71" s="1" t="inlineStr">
        <is>
          <t/>
        </is>
      </c>
      <c r="B71" s="1" t="inlineStr">
        <is>
          <t>51e03a91-560b-460b-b310-15e4b684e22e</t>
        </is>
      </c>
      <c r="C71" s="1" t="inlineStr">
        <is>
          <t/>
        </is>
      </c>
      <c r="D71" s="1" t="inlineStr">
        <is>
          <t>Credit Note not booked by Company</t>
        </is>
      </c>
      <c r="E71" s="1" t="inlineStr">
        <is>
          <t>Unmatched</t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5" t="n">
        <v>0.0</v>
      </c>
      <c r="M71" s="1" t="inlineStr">
        <is>
          <t>ledger</t>
        </is>
      </c>
      <c r="N71" s="1" t="inlineStr">
        <is>
          <t>31-07-2025</t>
        </is>
      </c>
      <c r="O71" s="1" t="inlineStr">
        <is>
          <t xml:space="preserve">ANK2526/DBN00005      </t>
        </is>
      </c>
      <c r="P71" s="1" t="inlineStr">
        <is>
          <t>creditNote</t>
        </is>
      </c>
      <c r="Q71" s="1" t="inlineStr">
        <is>
          <t>CN</t>
        </is>
      </c>
      <c r="R71" s="1"/>
      <c r="S71" s="15" t="n">
        <v>258892.0</v>
      </c>
      <c r="T71" s="1" t="n">
        <v>258892.0</v>
      </c>
      <c r="U71" s="1" t="inlineStr">
        <is>
          <t>Post-P-3.4-party</t>
        </is>
      </c>
      <c r="V71" s="1" t="inlineStr">
        <is>
          <t>19-Jun-26 10:16 AM</t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n">
        <v>0.0</v>
      </c>
      <c r="AC71" s="1" t="inlineStr">
        <is>
          <t/>
        </is>
      </c>
    </row>
    <row r="72">
      <c r="A72" s="1" t="inlineStr">
        <is>
          <t/>
        </is>
      </c>
      <c r="B72" s="1" t="inlineStr">
        <is>
          <t>59fb819b-d76f-4aef-bd08-7e3dbf42f0c4</t>
        </is>
      </c>
      <c r="C72" s="1" t="inlineStr">
        <is>
          <t/>
        </is>
      </c>
      <c r="D72" s="1" t="inlineStr">
        <is>
          <t>Invoice not booked by Company</t>
        </is>
      </c>
      <c r="E72" s="1" t="inlineStr">
        <is>
          <t>Unmatched</t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5" t="n">
        <v>0.0</v>
      </c>
      <c r="M72" s="1" t="inlineStr">
        <is>
          <t>ledger</t>
        </is>
      </c>
      <c r="N72" s="1" t="inlineStr">
        <is>
          <t>27-03-2026</t>
        </is>
      </c>
      <c r="O72" s="1" t="inlineStr">
        <is>
          <t xml:space="preserve">ANK2526/SER00081      </t>
        </is>
      </c>
      <c r="P72" s="1" t="inlineStr">
        <is>
          <t>invoice</t>
        </is>
      </c>
      <c r="Q72" s="1" t="inlineStr">
        <is>
          <t>Other</t>
        </is>
      </c>
      <c r="R72" s="1"/>
      <c r="S72" s="15" t="n">
        <v>557529.0</v>
      </c>
      <c r="T72" s="1" t="n">
        <v>557529.0</v>
      </c>
      <c r="U72" s="1" t="inlineStr">
        <is>
          <t>Post-P-3.1-party</t>
        </is>
      </c>
      <c r="V72" s="1" t="inlineStr">
        <is>
          <t>19-Jun-26 10:16 AM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n">
        <v>0.0</v>
      </c>
      <c r="AC72" s="1" t="inlineStr">
        <is>
          <t/>
        </is>
      </c>
    </row>
    <row r="73">
      <c r="A73" s="1" t="inlineStr">
        <is>
          <t/>
        </is>
      </c>
      <c r="B73" s="1" t="inlineStr">
        <is>
          <t>5f77d353-a5e7-40cc-a460-0d1a90be31dc</t>
        </is>
      </c>
      <c r="C73" s="1" t="inlineStr">
        <is>
          <t/>
        </is>
      </c>
      <c r="D73" s="1" t="inlineStr">
        <is>
          <t>Credit Note not booked by Company</t>
        </is>
      </c>
      <c r="E73" s="1" t="inlineStr">
        <is>
          <t>Unmatched</t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5" t="n">
        <v>0.0</v>
      </c>
      <c r="M73" s="1" t="inlineStr">
        <is>
          <t>ledger</t>
        </is>
      </c>
      <c r="N73" s="1" t="inlineStr">
        <is>
          <t>27-11-2025</t>
        </is>
      </c>
      <c r="O73" s="1" t="inlineStr">
        <is>
          <t xml:space="preserve">ANK2526/DBN00008      </t>
        </is>
      </c>
      <c r="P73" s="1" t="inlineStr">
        <is>
          <t>creditNote</t>
        </is>
      </c>
      <c r="Q73" s="1" t="inlineStr">
        <is>
          <t>CN</t>
        </is>
      </c>
      <c r="R73" s="1"/>
      <c r="S73" s="15" t="n">
        <v>604396.0</v>
      </c>
      <c r="T73" s="1" t="n">
        <v>604396.0</v>
      </c>
      <c r="U73" s="1" t="inlineStr">
        <is>
          <t>Post-P-3.4-party</t>
        </is>
      </c>
      <c r="V73" s="1" t="inlineStr">
        <is>
          <t>19-Jun-26 10:16 AM</t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n">
        <v>0.0</v>
      </c>
      <c r="AC73" s="1" t="inlineStr">
        <is>
          <t/>
        </is>
      </c>
    </row>
    <row r="74">
      <c r="A74" s="1" t="inlineStr">
        <is>
          <t/>
        </is>
      </c>
      <c r="B74" s="1" t="inlineStr">
        <is>
          <t>647bee11-a5ff-4a23-870f-f583d6cf62b8</t>
        </is>
      </c>
      <c r="C74" s="1" t="inlineStr">
        <is>
          <t/>
        </is>
      </c>
      <c r="D74" s="1" t="inlineStr">
        <is>
          <t>Other entry not booked by Company</t>
        </is>
      </c>
      <c r="E74" s="1" t="inlineStr">
        <is>
          <t>Unmatched</t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5" t="n">
        <v>0.0</v>
      </c>
      <c r="M74" s="1" t="inlineStr">
        <is>
          <t>ledger</t>
        </is>
      </c>
      <c r="N74" s="1" t="inlineStr">
        <is>
          <t>30-09-2025</t>
        </is>
      </c>
      <c r="O74" s="1" t="inlineStr">
        <is>
          <t xml:space="preserve">DEBTORS WRITE OFF     </t>
        </is>
      </c>
      <c r="P74" s="1" t="inlineStr">
        <is>
          <t>journal</t>
        </is>
      </c>
      <c r="Q74" s="1" t="inlineStr">
        <is>
          <t>Journal</t>
        </is>
      </c>
      <c r="R74" s="1"/>
      <c r="S74" s="15" t="n">
        <v>25440.0</v>
      </c>
      <c r="T74" s="1" t="n">
        <v>25440.0</v>
      </c>
      <c r="U74" s="1" t="inlineStr">
        <is>
          <t>Post-P-3.5-party</t>
        </is>
      </c>
      <c r="V74" s="1" t="inlineStr">
        <is>
          <t>19-Jun-26 10:16 AM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n">
        <v>0.0</v>
      </c>
      <c r="AC74" s="1" t="inlineStr">
        <is>
          <t/>
        </is>
      </c>
    </row>
    <row r="75">
      <c r="A75" s="1" t="inlineStr">
        <is>
          <t/>
        </is>
      </c>
      <c r="B75" s="1" t="inlineStr">
        <is>
          <t>699bd5e5-b0b1-4afe-8de7-ca8f3322ccdd</t>
        </is>
      </c>
      <c r="C75" s="1" t="inlineStr">
        <is>
          <t/>
        </is>
      </c>
      <c r="D75" s="1" t="inlineStr">
        <is>
          <t>Payment not booked by Company</t>
        </is>
      </c>
      <c r="E75" s="1" t="inlineStr">
        <is>
          <t>Unmatched</t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5" t="n">
        <v>0.0</v>
      </c>
      <c r="M75" s="1" t="inlineStr">
        <is>
          <t>ledger</t>
        </is>
      </c>
      <c r="N75" s="1" t="inlineStr">
        <is>
          <t>27-05-2025</t>
        </is>
      </c>
      <c r="O75" s="1" t="inlineStr">
        <is>
          <t xml:space="preserve">AXISCN0981979347      </t>
        </is>
      </c>
      <c r="P75" s="1" t="inlineStr">
        <is>
          <t>payment</t>
        </is>
      </c>
      <c r="Q75" s="1" t="inlineStr">
        <is>
          <t>Receipt</t>
        </is>
      </c>
      <c r="R75" s="1"/>
      <c r="S75" s="15" t="n">
        <v>-1814400.0</v>
      </c>
      <c r="T75" s="1" t="n">
        <v>-1814400.0</v>
      </c>
      <c r="U75" s="1" t="inlineStr">
        <is>
          <t>Post-P-3.2-party</t>
        </is>
      </c>
      <c r="V75" s="1" t="inlineStr">
        <is>
          <t>19-Jun-26 10:16 AM</t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n">
        <v>0.0</v>
      </c>
      <c r="AC75" s="1" t="inlineStr">
        <is>
          <t/>
        </is>
      </c>
    </row>
    <row r="76">
      <c r="A76" s="1" t="inlineStr">
        <is>
          <t/>
        </is>
      </c>
      <c r="B76" s="1" t="inlineStr">
        <is>
          <t>71edf8a4-9888-4518-bcac-ae43e5ea8193</t>
        </is>
      </c>
      <c r="C76" s="1" t="inlineStr">
        <is>
          <t/>
        </is>
      </c>
      <c r="D76" s="1" t="inlineStr">
        <is>
          <t>Credit Note not booked by Company</t>
        </is>
      </c>
      <c r="E76" s="1" t="inlineStr">
        <is>
          <t>Unmatched</t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5" t="n">
        <v>0.0</v>
      </c>
      <c r="M76" s="1" t="inlineStr">
        <is>
          <t>ledger</t>
        </is>
      </c>
      <c r="N76" s="1" t="inlineStr">
        <is>
          <t>06-10-2025</t>
        </is>
      </c>
      <c r="O76" s="1" t="inlineStr">
        <is>
          <t xml:space="preserve">ANK2526/DBN00006      </t>
        </is>
      </c>
      <c r="P76" s="1" t="inlineStr">
        <is>
          <t>creditNote</t>
        </is>
      </c>
      <c r="Q76" s="1" t="inlineStr">
        <is>
          <t>CN</t>
        </is>
      </c>
      <c r="R76" s="1"/>
      <c r="S76" s="15" t="n">
        <v>232460.0</v>
      </c>
      <c r="T76" s="1" t="n">
        <v>232460.0</v>
      </c>
      <c r="U76" s="1" t="inlineStr">
        <is>
          <t>Post-P-3.4-party</t>
        </is>
      </c>
      <c r="V76" s="1" t="inlineStr">
        <is>
          <t>19-Jun-26 10:16 AM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n">
        <v>0.0</v>
      </c>
      <c r="AC76" s="1" t="inlineStr">
        <is>
          <t/>
        </is>
      </c>
    </row>
    <row r="77">
      <c r="A77" s="1" t="inlineStr">
        <is>
          <t/>
        </is>
      </c>
      <c r="B77" s="1" t="inlineStr">
        <is>
          <t>7c6c5123-ba1b-483a-b795-ac9d11e632ab</t>
        </is>
      </c>
      <c r="C77" s="1" t="inlineStr">
        <is>
          <t/>
        </is>
      </c>
      <c r="D77" s="1" t="inlineStr">
        <is>
          <t>Payment not booked by Company</t>
        </is>
      </c>
      <c r="E77" s="1" t="inlineStr">
        <is>
          <t>Unmatched</t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5" t="n">
        <v>0.0</v>
      </c>
      <c r="M77" s="1" t="inlineStr">
        <is>
          <t>ledger</t>
        </is>
      </c>
      <c r="N77" s="1" t="inlineStr">
        <is>
          <t>13-05-2025</t>
        </is>
      </c>
      <c r="O77" s="1" t="inlineStr">
        <is>
          <t>UTIBN62025051387607677</t>
        </is>
      </c>
      <c r="P77" s="1" t="inlineStr">
        <is>
          <t>payment</t>
        </is>
      </c>
      <c r="Q77" s="1" t="inlineStr">
        <is>
          <t>Receipt</t>
        </is>
      </c>
      <c r="R77" s="1"/>
      <c r="S77" s="15" t="n">
        <v>-914457.6</v>
      </c>
      <c r="T77" s="1" t="n">
        <v>-914457.6</v>
      </c>
      <c r="U77" s="1" t="inlineStr">
        <is>
          <t>Post-P-3.2-party</t>
        </is>
      </c>
      <c r="V77" s="1" t="inlineStr">
        <is>
          <t>19-Jun-26 10:16 AM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n">
        <v>0.0</v>
      </c>
      <c r="AC77" s="1" t="inlineStr">
        <is>
          <t/>
        </is>
      </c>
    </row>
    <row r="78">
      <c r="A78" s="1" t="inlineStr">
        <is>
          <t/>
        </is>
      </c>
      <c r="B78" s="1" t="inlineStr">
        <is>
          <t>7fd61a63-5c6f-4418-8e12-d7b417b9492a</t>
        </is>
      </c>
      <c r="C78" s="1" t="inlineStr">
        <is>
          <t/>
        </is>
      </c>
      <c r="D78" s="1" t="inlineStr">
        <is>
          <t>Credit Note not booked by Company</t>
        </is>
      </c>
      <c r="E78" s="1" t="inlineStr">
        <is>
          <t>Unmatched</t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5" t="n">
        <v>0.0</v>
      </c>
      <c r="M78" s="1" t="inlineStr">
        <is>
          <t>ledger</t>
        </is>
      </c>
      <c r="N78" s="1" t="inlineStr">
        <is>
          <t>20-02-2026</t>
        </is>
      </c>
      <c r="O78" s="1" t="inlineStr">
        <is>
          <t xml:space="preserve">ANK2526/DBN00015      </t>
        </is>
      </c>
      <c r="P78" s="1" t="inlineStr">
        <is>
          <t>creditNote</t>
        </is>
      </c>
      <c r="Q78" s="1" t="inlineStr">
        <is>
          <t>CN</t>
        </is>
      </c>
      <c r="R78" s="1"/>
      <c r="S78" s="15" t="n">
        <v>388928.0</v>
      </c>
      <c r="T78" s="1" t="n">
        <v>388928.0</v>
      </c>
      <c r="U78" s="1" t="inlineStr">
        <is>
          <t>Post-P-3.4-party</t>
        </is>
      </c>
      <c r="V78" s="1" t="inlineStr">
        <is>
          <t>19-Jun-26 10:16 AM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n">
        <v>0.0</v>
      </c>
      <c r="AC78" s="1" t="inlineStr">
        <is>
          <t/>
        </is>
      </c>
    </row>
    <row r="79">
      <c r="A79" s="1" t="inlineStr">
        <is>
          <t/>
        </is>
      </c>
      <c r="B79" s="1" t="inlineStr">
        <is>
          <t>a9c1ac6e-0179-4c48-aa04-92b6534f0220</t>
        </is>
      </c>
      <c r="C79" s="1" t="inlineStr">
        <is>
          <t/>
        </is>
      </c>
      <c r="D79" s="1" t="inlineStr">
        <is>
          <t>Payment not booked by Company</t>
        </is>
      </c>
      <c r="E79" s="1" t="inlineStr">
        <is>
          <t>Unmatched</t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5" t="n">
        <v>0.0</v>
      </c>
      <c r="M79" s="1" t="inlineStr">
        <is>
          <t>ledger</t>
        </is>
      </c>
      <c r="N79" s="1" t="inlineStr">
        <is>
          <t>11-04-2025</t>
        </is>
      </c>
      <c r="O79" s="1" t="inlineStr">
        <is>
          <t>UTIBN62025041155260266</t>
        </is>
      </c>
      <c r="P79" s="1" t="inlineStr">
        <is>
          <t>payment</t>
        </is>
      </c>
      <c r="Q79" s="1" t="inlineStr">
        <is>
          <t>Receipt</t>
        </is>
      </c>
      <c r="R79" s="1"/>
      <c r="S79" s="15" t="n">
        <v>-743400.0</v>
      </c>
      <c r="T79" s="1" t="n">
        <v>-743400.0</v>
      </c>
      <c r="U79" s="1" t="inlineStr">
        <is>
          <t>Post-P-3.2-party</t>
        </is>
      </c>
      <c r="V79" s="1" t="inlineStr">
        <is>
          <t>19-Jun-26 10:16 AM</t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n">
        <v>0.0</v>
      </c>
      <c r="AC79" s="1" t="inlineStr">
        <is>
          <t/>
        </is>
      </c>
    </row>
    <row r="80">
      <c r="A80" s="1" t="inlineStr">
        <is>
          <t/>
        </is>
      </c>
      <c r="B80" s="1" t="inlineStr">
        <is>
          <t>b7683659-9606-4d14-a006-f256e3cdadab</t>
        </is>
      </c>
      <c r="C80" s="1" t="inlineStr">
        <is>
          <t/>
        </is>
      </c>
      <c r="D80" s="1" t="inlineStr">
        <is>
          <t>Payment not booked by Company</t>
        </is>
      </c>
      <c r="E80" s="1" t="inlineStr">
        <is>
          <t>Unmatched</t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5" t="n">
        <v>0.0</v>
      </c>
      <c r="M80" s="1" t="inlineStr">
        <is>
          <t>ledger</t>
        </is>
      </c>
      <c r="N80" s="1" t="inlineStr">
        <is>
          <t>11-04-2025</t>
        </is>
      </c>
      <c r="O80" s="1" t="inlineStr">
        <is>
          <t>UTIBN62025041155258988</t>
        </is>
      </c>
      <c r="P80" s="1" t="inlineStr">
        <is>
          <t>payment</t>
        </is>
      </c>
      <c r="Q80" s="1" t="inlineStr">
        <is>
          <t>Receipt</t>
        </is>
      </c>
      <c r="R80" s="1"/>
      <c r="S80" s="15" t="n">
        <v>-938407.68</v>
      </c>
      <c r="T80" s="1" t="n">
        <v>-938407.68</v>
      </c>
      <c r="U80" s="1" t="inlineStr">
        <is>
          <t>Post-P-3.2-party</t>
        </is>
      </c>
      <c r="V80" s="1" t="inlineStr">
        <is>
          <t>19-Jun-26 10:16 AM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n">
        <v>0.0</v>
      </c>
      <c r="AC80" s="1" t="inlineStr">
        <is>
          <t/>
        </is>
      </c>
    </row>
    <row r="81">
      <c r="A81" s="1" t="inlineStr">
        <is>
          <t/>
        </is>
      </c>
      <c r="B81" s="1" t="inlineStr">
        <is>
          <t>e13ee45f-1714-42a1-8a12-427f9993b620</t>
        </is>
      </c>
      <c r="C81" s="1" t="inlineStr">
        <is>
          <t/>
        </is>
      </c>
      <c r="D81" s="1" t="inlineStr">
        <is>
          <t>Credit Note not booked by Company</t>
        </is>
      </c>
      <c r="E81" s="1" t="inlineStr">
        <is>
          <t>Unmatched</t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5" t="n">
        <v>0.0</v>
      </c>
      <c r="M81" s="1" t="inlineStr">
        <is>
          <t>ledger</t>
        </is>
      </c>
      <c r="N81" s="1" t="inlineStr">
        <is>
          <t>13-12-2025</t>
        </is>
      </c>
      <c r="O81" s="1" t="inlineStr">
        <is>
          <t xml:space="preserve">ANK2526/DBN00009      </t>
        </is>
      </c>
      <c r="P81" s="1" t="inlineStr">
        <is>
          <t>creditNote</t>
        </is>
      </c>
      <c r="Q81" s="1" t="inlineStr">
        <is>
          <t>CN</t>
        </is>
      </c>
      <c r="R81" s="1"/>
      <c r="S81" s="15" t="n">
        <v>215822.0</v>
      </c>
      <c r="T81" s="1" t="n">
        <v>215822.0</v>
      </c>
      <c r="U81" s="1" t="inlineStr">
        <is>
          <t>Post-P-3.4-party</t>
        </is>
      </c>
      <c r="V81" s="1" t="inlineStr">
        <is>
          <t>19-Jun-26 10:16 AM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n">
        <v>0.0</v>
      </c>
      <c r="AC81" s="1" t="inlineStr">
        <is>
          <t/>
        </is>
      </c>
    </row>
    <row r="82">
      <c r="A82" s="1" t="inlineStr">
        <is>
          <t/>
        </is>
      </c>
      <c r="B82" s="1" t="inlineStr">
        <is>
          <t>06a587ff-f941-4454-b4a2-1ed0e8d7e52a</t>
        </is>
      </c>
      <c r="C82" s="1" t="inlineStr">
        <is>
          <t/>
        </is>
      </c>
      <c r="D82" s="1" t="inlineStr">
        <is>
          <t>Opening Balance as per Party</t>
        </is>
      </c>
      <c r="E82" s="1" t="inlineStr">
        <is>
          <t>Opening Balance</t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5" t="n">
        <v>0.0</v>
      </c>
      <c r="M82" s="1" t="inlineStr">
        <is>
          <t>ledger</t>
        </is>
      </c>
      <c r="N82" s="1" t="inlineStr">
        <is>
          <t>01-04-2025</t>
        </is>
      </c>
      <c r="O82" s="1"/>
      <c r="P82" s="1" t="inlineStr">
        <is>
          <t>openingBalance</t>
        </is>
      </c>
      <c r="Q82" s="1" t="inlineStr">
        <is>
          <t>OP</t>
        </is>
      </c>
      <c r="R82" s="1"/>
      <c r="S82" s="15" t="n">
        <v>-0.0</v>
      </c>
      <c r="T82" s="1" t="n">
        <v>-0.0</v>
      </c>
      <c r="U82" s="1" t="inlineStr">
        <is>
          <t/>
        </is>
      </c>
      <c r="V82" s="1" t="inlineStr">
        <is>
          <t>19-Jun-26 10:16 AM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n">
        <v>0.0</v>
      </c>
      <c r="AC82" s="1" t="inlineStr">
        <is>
          <t/>
        </is>
      </c>
    </row>
    <row r="83">
      <c r="A83" s="1" t="inlineStr">
        <is>
          <t/>
        </is>
      </c>
      <c r="B83" s="1" t="inlineStr">
        <is>
          <t>23129740-91f2-4a2a-98ec-c5c6334ba4c1</t>
        </is>
      </c>
      <c r="C83" s="1" t="inlineStr">
        <is>
          <t/>
        </is>
      </c>
      <c r="D83" s="1" t="inlineStr">
        <is>
          <t>Opening Balance as per Party</t>
        </is>
      </c>
      <c r="E83" s="1" t="inlineStr">
        <is>
          <t>Opening Balance</t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5" t="n">
        <v>0.0</v>
      </c>
      <c r="M83" s="1" t="inlineStr">
        <is>
          <t>ledger</t>
        </is>
      </c>
      <c r="N83" s="1" t="inlineStr">
        <is>
          <t>01-04-2025</t>
        </is>
      </c>
      <c r="O83" s="1"/>
      <c r="P83" s="1" t="inlineStr">
        <is>
          <t>openingBalance</t>
        </is>
      </c>
      <c r="Q83" s="1" t="inlineStr">
        <is>
          <t>OP</t>
        </is>
      </c>
      <c r="R83" s="1"/>
      <c r="S83" s="15" t="n">
        <v>-0.0</v>
      </c>
      <c r="T83" s="1" t="n">
        <v>-0.0</v>
      </c>
      <c r="U83" s="1" t="inlineStr">
        <is>
          <t/>
        </is>
      </c>
      <c r="V83" s="1" t="inlineStr">
        <is>
          <t>19-Jun-26 10:16 AM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n">
        <v>0.0</v>
      </c>
      <c r="AC83" s="1" t="inlineStr">
        <is>
          <t/>
        </is>
      </c>
    </row>
    <row r="84">
      <c r="A84" s="1" t="inlineStr">
        <is>
          <t/>
        </is>
      </c>
      <c r="B84" s="1" t="inlineStr">
        <is>
          <t>e1e53cff-685a-4cba-9676-0a1d0e3aa863</t>
        </is>
      </c>
      <c r="C84" s="1" t="inlineStr">
        <is>
          <t/>
        </is>
      </c>
      <c r="D84" s="1" t="inlineStr">
        <is>
          <t>Closing Balance as per Party</t>
        </is>
      </c>
      <c r="E84" s="1" t="inlineStr">
        <is>
          <t>Closing Balance</t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5" t="n">
        <v>0.0</v>
      </c>
      <c r="M84" s="1" t="inlineStr">
        <is>
          <t>ledger</t>
        </is>
      </c>
      <c r="N84" s="1"/>
      <c r="O84" s="1"/>
      <c r="P84" s="1" t="inlineStr">
        <is>
          <t>closingBalance</t>
        </is>
      </c>
      <c r="Q84" s="1" t="inlineStr">
        <is>
          <t>Closing</t>
        </is>
      </c>
      <c r="R84" s="1"/>
      <c r="S84" s="15" t="n">
        <v>6242052.780000001</v>
      </c>
      <c r="T84" s="1" t="n">
        <v>6242052.780000001</v>
      </c>
      <c r="U84" s="1" t="inlineStr">
        <is>
          <t/>
        </is>
      </c>
      <c r="V84" s="1" t="inlineStr">
        <is>
          <t>19-Jun-26 10:16 AM</t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n">
        <v>0.0</v>
      </c>
      <c r="AC84" s="1" t="inlineStr">
        <is>
          <t/>
        </is>
      </c>
    </row>
    <row r="85">
      <c r="A85" s="1" t="inlineStr">
        <is>
          <t/>
        </is>
      </c>
      <c r="B85" s="1" t="inlineStr">
        <is>
          <t>54c64096-ea61-4f44-9146-bd38fc6090d0</t>
        </is>
      </c>
      <c r="C85" s="1" t="inlineStr">
        <is>
          <t>b995ec42-83e7-45de-88e3-bb8b492089fb</t>
        </is>
      </c>
      <c r="D85" s="1" t="inlineStr">
        <is>
          <t>TDS Booked by Party</t>
        </is>
      </c>
      <c r="E85" s="1" t="inlineStr">
        <is>
          <t>TDS Booked by Party</t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5" t="n">
        <v>0.0</v>
      </c>
      <c r="M85" s="1" t="inlineStr">
        <is>
          <t>ledger</t>
        </is>
      </c>
      <c r="N85" s="1" t="inlineStr">
        <is>
          <t>31-03-2026</t>
        </is>
      </c>
      <c r="O85" s="1" t="inlineStr">
        <is>
          <t xml:space="preserve">TDS ANK2526/GIS00926  </t>
        </is>
      </c>
      <c r="P85" s="1" t="inlineStr">
        <is>
          <t>tds</t>
        </is>
      </c>
      <c r="Q85" s="1" t="inlineStr">
        <is>
          <t>TDS</t>
        </is>
      </c>
      <c r="R85" s="1"/>
      <c r="S85" s="15" t="n">
        <v>-1537.0</v>
      </c>
      <c r="T85" s="1" t="n">
        <v>-1537.0</v>
      </c>
      <c r="U85" s="1" t="inlineStr">
        <is>
          <t>Pre-P-2.3-party</t>
        </is>
      </c>
      <c r="V85" s="1" t="inlineStr">
        <is>
          <t>19-Jun-26 10:16 AM</t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n">
        <v>0.0</v>
      </c>
      <c r="AC85" s="1" t="inlineStr">
        <is>
          <t/>
        </is>
      </c>
    </row>
    <row r="86">
      <c r="A86" s="1" t="inlineStr">
        <is>
          <t/>
        </is>
      </c>
      <c r="B86" s="1" t="inlineStr">
        <is>
          <t>9870be35-0fc7-442d-866b-dec7a75ddd57</t>
        </is>
      </c>
      <c r="C86" s="1" t="inlineStr">
        <is>
          <t>b995ec42-83e7-45de-88e3-bb8b492089fb</t>
        </is>
      </c>
      <c r="D86" s="1" t="inlineStr">
        <is>
          <t>TDS Booked by Party</t>
        </is>
      </c>
      <c r="E86" s="1" t="inlineStr">
        <is>
          <t>TDS Booked by Party</t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5" t="n">
        <v>0.0</v>
      </c>
      <c r="M86" s="1" t="inlineStr">
        <is>
          <t>ledger</t>
        </is>
      </c>
      <c r="N86" s="1" t="inlineStr">
        <is>
          <t>31-03-2026</t>
        </is>
      </c>
      <c r="O86" s="1" t="inlineStr">
        <is>
          <t xml:space="preserve">TDS ANK2526/GIS00934  </t>
        </is>
      </c>
      <c r="P86" s="1" t="inlineStr">
        <is>
          <t>tds</t>
        </is>
      </c>
      <c r="Q86" s="1" t="inlineStr">
        <is>
          <t>TDS</t>
        </is>
      </c>
      <c r="R86" s="1"/>
      <c r="S86" s="15" t="n">
        <v>-1307.0</v>
      </c>
      <c r="T86" s="1" t="n">
        <v>-1307.0</v>
      </c>
      <c r="U86" s="1" t="inlineStr">
        <is>
          <t>Pre-P-2.3-party</t>
        </is>
      </c>
      <c r="V86" s="1" t="inlineStr">
        <is>
          <t>19-Jun-26 10:16 AM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n">
        <v>0.0</v>
      </c>
      <c r="AC86" s="1" t="inlineStr">
        <is>
          <t/>
        </is>
      </c>
    </row>
    <row r="87">
      <c r="A87" s="1" t="inlineStr">
        <is>
          <t/>
        </is>
      </c>
      <c r="B87" s="1" t="inlineStr">
        <is>
          <t>b9dcae01-168d-49d8-a84f-53ecc4177168</t>
        </is>
      </c>
      <c r="C87" s="1" t="inlineStr">
        <is>
          <t>b995ec42-83e7-45de-88e3-bb8b492089fb</t>
        </is>
      </c>
      <c r="D87" s="1" t="inlineStr">
        <is>
          <t>TDS Booked by Party</t>
        </is>
      </c>
      <c r="E87" s="1" t="inlineStr">
        <is>
          <t>TDS Booked by Party</t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5" t="n">
        <v>0.0</v>
      </c>
      <c r="M87" s="1" t="inlineStr">
        <is>
          <t>ledger</t>
        </is>
      </c>
      <c r="N87" s="1" t="inlineStr">
        <is>
          <t>31-03-2026</t>
        </is>
      </c>
      <c r="O87" s="1" t="inlineStr">
        <is>
          <t xml:space="preserve">TDS ANK2526/GIS00923  </t>
        </is>
      </c>
      <c r="P87" s="1" t="inlineStr">
        <is>
          <t>tds</t>
        </is>
      </c>
      <c r="Q87" s="1" t="inlineStr">
        <is>
          <t>TDS</t>
        </is>
      </c>
      <c r="R87" s="1"/>
      <c r="S87" s="15" t="n">
        <v>-3262.46</v>
      </c>
      <c r="T87" s="1" t="n">
        <v>-3262.46</v>
      </c>
      <c r="U87" s="1" t="inlineStr">
        <is>
          <t>Pre-P-2.3-party</t>
        </is>
      </c>
      <c r="V87" s="1" t="inlineStr">
        <is>
          <t>19-Jun-26 10:16 AM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n">
        <v>0.0</v>
      </c>
      <c r="AC87" s="1" t="inlineStr">
        <is>
          <t/>
        </is>
      </c>
    </row>
    <row r="88">
      <c r="A88" s="1" t="inlineStr">
        <is>
          <t/>
        </is>
      </c>
      <c r="B88" s="1" t="inlineStr">
        <is>
          <t>df1331d7-652e-411d-9518-195aafb24082</t>
        </is>
      </c>
      <c r="C88" s="1" t="inlineStr">
        <is>
          <t>b995ec42-83e7-45de-88e3-bb8b492089fb</t>
        </is>
      </c>
      <c r="D88" s="1" t="inlineStr">
        <is>
          <t>TDS Booked by Party</t>
        </is>
      </c>
      <c r="E88" s="1" t="inlineStr">
        <is>
          <t>TDS Booked by Party</t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5" t="n">
        <v>0.0</v>
      </c>
      <c r="M88" s="1" t="inlineStr">
        <is>
          <t>ledger</t>
        </is>
      </c>
      <c r="N88" s="1" t="inlineStr">
        <is>
          <t>31-03-2026</t>
        </is>
      </c>
      <c r="O88" s="1" t="inlineStr">
        <is>
          <t xml:space="preserve">TDS DEDUCTED          </t>
        </is>
      </c>
      <c r="P88" s="1" t="inlineStr">
        <is>
          <t>tds</t>
        </is>
      </c>
      <c r="Q88" s="1" t="inlineStr">
        <is>
          <t>TDS</t>
        </is>
      </c>
      <c r="R88" s="1"/>
      <c r="S88" s="15" t="n">
        <v>-8458.0</v>
      </c>
      <c r="T88" s="1" t="n">
        <v>-8458.0</v>
      </c>
      <c r="U88" s="1" t="inlineStr">
        <is>
          <t>Pre-P-2.3-party</t>
        </is>
      </c>
      <c r="V88" s="1" t="inlineStr">
        <is>
          <t>19-Jun-26 10:16 AM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n">
        <v>0.0</v>
      </c>
      <c r="AC88" s="1" t="inlineStr">
        <is>
          <t/>
        </is>
      </c>
    </row>
    <row r="89">
      <c r="A89" s="1" t="inlineStr">
        <is>
          <t/>
        </is>
      </c>
      <c r="B89" s="1" t="inlineStr">
        <is>
          <t>096969f5-7eef-4cdb-a885-804b75a33c6a</t>
        </is>
      </c>
      <c r="C89" s="1" t="inlineStr">
        <is>
          <t>fe174b22-f955-4952-b288-f248fc883a1e</t>
        </is>
      </c>
      <c r="D89" s="1" t="inlineStr">
        <is>
          <t>Reversal Entries</t>
        </is>
      </c>
      <c r="E89" s="1" t="inlineStr">
        <is>
          <t>Reversal Entries</t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5" t="n">
        <v>0.0</v>
      </c>
      <c r="M89" s="1" t="inlineStr">
        <is>
          <t>ledger</t>
        </is>
      </c>
      <c r="N89" s="1" t="inlineStr">
        <is>
          <t>19-08-2025</t>
        </is>
      </c>
      <c r="O89" s="1" t="inlineStr">
        <is>
          <t xml:space="preserve">DR. CR. ADJ.          </t>
        </is>
      </c>
      <c r="P89" s="1" t="inlineStr">
        <is>
          <t>journal</t>
        </is>
      </c>
      <c r="Q89" s="1" t="inlineStr">
        <is>
          <t>Journal</t>
        </is>
      </c>
      <c r="R89" s="1"/>
      <c r="S89" s="15" t="n">
        <v>9748.0</v>
      </c>
      <c r="T89" s="1" t="n">
        <v>9748.0</v>
      </c>
      <c r="U89" s="1" t="inlineStr">
        <is>
          <t>Pre-P-4.3-party</t>
        </is>
      </c>
      <c r="V89" s="1" t="inlineStr">
        <is>
          <t>19-Jun-26 10:16 AM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n">
        <v>0.0</v>
      </c>
      <c r="AC89" s="1" t="inlineStr">
        <is>
          <t/>
        </is>
      </c>
    </row>
    <row r="90">
      <c r="A90" s="1" t="inlineStr">
        <is>
          <t/>
        </is>
      </c>
      <c r="B90" s="1" t="inlineStr">
        <is>
          <t>2a8aac29-b524-4b8a-944d-868033f460cc</t>
        </is>
      </c>
      <c r="C90" s="1" t="inlineStr">
        <is>
          <t>44257a85-da72-4d62-91bd-30587b951126</t>
        </is>
      </c>
      <c r="D90" s="1" t="inlineStr">
        <is>
          <t>Reversal Entries</t>
        </is>
      </c>
      <c r="E90" s="1" t="inlineStr">
        <is>
          <t>Reversal Entries</t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5" t="n">
        <v>0.0</v>
      </c>
      <c r="M90" s="1" t="inlineStr">
        <is>
          <t>ledger</t>
        </is>
      </c>
      <c r="N90" s="1" t="inlineStr">
        <is>
          <t>30-04-2025</t>
        </is>
      </c>
      <c r="O90" s="1" t="inlineStr">
        <is>
          <t xml:space="preserve">ANK2526/DBN00001      </t>
        </is>
      </c>
      <c r="P90" s="1" t="inlineStr">
        <is>
          <t>creditNote</t>
        </is>
      </c>
      <c r="Q90" s="1" t="inlineStr">
        <is>
          <t>CN</t>
        </is>
      </c>
      <c r="R90" s="1"/>
      <c r="S90" s="15" t="n">
        <v>14514.0</v>
      </c>
      <c r="T90" s="1" t="n">
        <v>14514.0</v>
      </c>
      <c r="U90" s="1" t="inlineStr">
        <is>
          <t>Pre-P-4.3-party</t>
        </is>
      </c>
      <c r="V90" s="1" t="inlineStr">
        <is>
          <t>19-Jun-26 10:16 AM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n">
        <v>0.0</v>
      </c>
      <c r="AC90" s="1" t="inlineStr">
        <is>
          <t/>
        </is>
      </c>
    </row>
    <row r="91">
      <c r="A91" s="1" t="inlineStr">
        <is>
          <t/>
        </is>
      </c>
      <c r="B91" s="1" t="inlineStr">
        <is>
          <t>5825f306-91b8-4fa5-9a02-a57eb7571296</t>
        </is>
      </c>
      <c r="C91" s="1" t="inlineStr">
        <is>
          <t>44257a85-da72-4d62-91bd-30587b951126</t>
        </is>
      </c>
      <c r="D91" s="1" t="inlineStr">
        <is>
          <t>Reversal Entries</t>
        </is>
      </c>
      <c r="E91" s="1" t="inlineStr">
        <is>
          <t>Reversal Entries</t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5" t="n">
        <v>0.0</v>
      </c>
      <c r="M91" s="1" t="inlineStr">
        <is>
          <t>ledger</t>
        </is>
      </c>
      <c r="N91" s="1" t="inlineStr">
        <is>
          <t>30-04-2025</t>
        </is>
      </c>
      <c r="O91" s="1" t="inlineStr">
        <is>
          <t xml:space="preserve">ANK2526/CRN00004      </t>
        </is>
      </c>
      <c r="P91" s="1" t="inlineStr">
        <is>
          <t>creditNote</t>
        </is>
      </c>
      <c r="Q91" s="1" t="inlineStr">
        <is>
          <t>CN</t>
        </is>
      </c>
      <c r="R91" s="1"/>
      <c r="S91" s="15" t="n">
        <v>-14514.0</v>
      </c>
      <c r="T91" s="1" t="n">
        <v>-14514.0</v>
      </c>
      <c r="U91" s="1" t="inlineStr">
        <is>
          <t>Pre-P-4.3-party</t>
        </is>
      </c>
      <c r="V91" s="1" t="inlineStr">
        <is>
          <t>19-Jun-26 10:16 AM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n">
        <v>0.0</v>
      </c>
      <c r="AC91" s="1" t="inlineStr">
        <is>
          <t/>
        </is>
      </c>
    </row>
    <row r="92">
      <c r="A92" s="1" t="inlineStr">
        <is>
          <t/>
        </is>
      </c>
      <c r="B92" s="1" t="inlineStr">
        <is>
          <t>63f11a62-2cc4-487e-9811-55b130390539</t>
        </is>
      </c>
      <c r="C92" s="1" t="inlineStr">
        <is>
          <t>fe174b22-f955-4952-b288-f248fc883a1e</t>
        </is>
      </c>
      <c r="D92" s="1" t="inlineStr">
        <is>
          <t>Reversal Entries</t>
        </is>
      </c>
      <c r="E92" s="1" t="inlineStr">
        <is>
          <t>Reversal Entries</t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5" t="n">
        <v>0.0</v>
      </c>
      <c r="M92" s="1" t="inlineStr">
        <is>
          <t>ledger</t>
        </is>
      </c>
      <c r="N92" s="1" t="inlineStr">
        <is>
          <t>19-08-2025</t>
        </is>
      </c>
      <c r="O92" s="1" t="inlineStr">
        <is>
          <t xml:space="preserve">DR. CR. ADJ.          </t>
        </is>
      </c>
      <c r="P92" s="1" t="inlineStr">
        <is>
          <t>journal</t>
        </is>
      </c>
      <c r="Q92" s="1" t="inlineStr">
        <is>
          <t>Journal</t>
        </is>
      </c>
      <c r="R92" s="1"/>
      <c r="S92" s="15" t="n">
        <v>-9748.0</v>
      </c>
      <c r="T92" s="1" t="n">
        <v>-9748.0</v>
      </c>
      <c r="U92" s="1" t="inlineStr">
        <is>
          <t>Pre-P-4.3-party</t>
        </is>
      </c>
      <c r="V92" s="1" t="inlineStr">
        <is>
          <t>19-Jun-26 10:16 AM</t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n">
        <v>0.0</v>
      </c>
      <c r="AC92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Party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11" t="inlineStr">
        <is>
          <t>Party Statement Type</t>
        </is>
      </c>
      <c r="F1" s="11" t="inlineStr">
        <is>
          <t>Party Invoice Date</t>
        </is>
      </c>
      <c r="G1" s="11" t="inlineStr">
        <is>
          <t>Party Invoice Number</t>
        </is>
      </c>
      <c r="H1" s="11" t="inlineStr">
        <is>
          <t>Party DocType</t>
        </is>
      </c>
      <c r="I1" s="11" t="inlineStr">
        <is>
          <t>Party Original DocType</t>
        </is>
      </c>
      <c r="J1" s="11" t="inlineStr">
        <is>
          <t>Party Narration</t>
        </is>
      </c>
      <c r="K1" s="11" t="inlineStr">
        <is>
          <t>Party Amount</t>
        </is>
      </c>
      <c r="L1" s="8" t="inlineStr">
        <is>
          <t>Matched Rule</t>
        </is>
      </c>
      <c r="M1" s="8" t="inlineStr">
        <is>
          <t>Reco Data &amp; Time</t>
        </is>
      </c>
      <c r="N1" s="11" t="inlineStr">
        <is>
          <t>Party Clearing Document Number</t>
        </is>
      </c>
      <c r="O1" s="11" t="inlineStr">
        <is>
          <t>Party Clearing Date</t>
        </is>
      </c>
      <c r="P1" s="11" t="inlineStr">
        <is>
          <t>Party TDS Amount</t>
        </is>
      </c>
      <c r="Q1" s="11" t="inlineStr">
        <is>
          <t>Party Posting Date</t>
        </is>
      </c>
      <c r="R1" s="14" t="inlineStr">
        <is>
          <t>TXLDKEY</t>
        </is>
      </c>
      <c r="S1" s="14" t="inlineStr">
        <is>
          <t>Transaction Id.</t>
        </is>
      </c>
      <c r="T1" s="14" t="inlineStr">
        <is>
          <t>Ref Date</t>
        </is>
      </c>
      <c r="U1" s="14" t="inlineStr">
        <is>
          <t>Balance Amt.</t>
        </is>
      </c>
    </row>
    <row r="2">
      <c r="A2" s="1" t="inlineStr">
        <is>
          <t>00367562-24a4-4f8f-80ff-9f982a2591e7</t>
        </is>
      </c>
      <c r="B2" s="1" t="inlineStr">
        <is>
          <t>aa3c61b5-9854-3fe2-9fd7-381cdb7a3021</t>
        </is>
      </c>
      <c r="C2" s="1" t="inlineStr">
        <is>
          <t>TDS Booked by Company</t>
        </is>
      </c>
      <c r="D2" s="1" t="inlineStr">
        <is>
          <t>Invoice Number Matched</t>
        </is>
      </c>
      <c r="E2" s="1" t="inlineStr">
        <is>
          <t>ledger</t>
        </is>
      </c>
      <c r="F2" s="1" t="inlineStr">
        <is>
          <t>27-11-2025</t>
        </is>
      </c>
      <c r="G2" s="1" t="inlineStr">
        <is>
          <t xml:space="preserve">ANK2526/GIS00787      </t>
        </is>
      </c>
      <c r="H2" s="1" t="inlineStr">
        <is>
          <t>invoice</t>
        </is>
      </c>
      <c r="I2" s="1" t="inlineStr">
        <is>
          <t>Sale</t>
        </is>
      </c>
      <c r="J2" s="1"/>
      <c r="K2" s="15" t="n">
        <v>1692835.0</v>
      </c>
      <c r="L2" s="1" t="inlineStr">
        <is>
          <t>PRI-INV1.6-company</t>
        </is>
      </c>
      <c r="M2" s="1" t="inlineStr">
        <is>
          <t>19-Jun-26 10:16 AM</t>
        </is>
      </c>
      <c r="N2" s="1"/>
      <c r="O2" s="1" t="inlineStr">
        <is>
          <t/>
        </is>
      </c>
      <c r="P2" s="1" t="n">
        <v>0.0</v>
      </c>
      <c r="Q2" s="1" t="inlineStr">
        <is>
          <t/>
        </is>
      </c>
      <c r="R2" t="inlineStr">
        <is>
          <t>2025-11-272ANK/2526/ISO/SPP/00259001</t>
        </is>
      </c>
      <c r="S2" t="inlineStr">
        <is>
          <t>ANK/2526/ISO/SPP/00259</t>
        </is>
      </c>
      <c r="T2" t="inlineStr">
        <is>
          <t>27-11-2025</t>
        </is>
      </c>
      <c r="U2" t="inlineStr">
        <is>
          <t>7299475</t>
        </is>
      </c>
    </row>
    <row r="3">
      <c r="A3" s="1" t="inlineStr">
        <is>
          <t>03c26d9f-6c72-4e5f-bfec-675ae5dc3ecd</t>
        </is>
      </c>
      <c r="B3" s="1" t="inlineStr">
        <is>
          <t>2399b5aa-899a-3e44-8e5f-4d09a538a2c3</t>
        </is>
      </c>
      <c r="C3" s="1" t="inlineStr">
        <is>
          <t>TDS Booked by Company</t>
        </is>
      </c>
      <c r="D3" s="1" t="inlineStr">
        <is>
          <t>Invoice Number Matched</t>
        </is>
      </c>
      <c r="E3" s="1" t="inlineStr">
        <is>
          <t>ledger</t>
        </is>
      </c>
      <c r="F3" s="1" t="inlineStr">
        <is>
          <t>21-04-2025</t>
        </is>
      </c>
      <c r="G3" s="1" t="inlineStr">
        <is>
          <t xml:space="preserve">ANK2526/SER00001      </t>
        </is>
      </c>
      <c r="H3" s="1" t="inlineStr">
        <is>
          <t>invoice</t>
        </is>
      </c>
      <c r="I3" s="1" t="inlineStr">
        <is>
          <t>Other</t>
        </is>
      </c>
      <c r="J3" s="1"/>
      <c r="K3" s="15" t="n">
        <v>1894233.6</v>
      </c>
      <c r="L3" s="1" t="inlineStr">
        <is>
          <t>PRI-INV1.6-company</t>
        </is>
      </c>
      <c r="M3" s="1" t="inlineStr">
        <is>
          <t>19-Jun-26 10:16 AM</t>
        </is>
      </c>
      <c r="N3" s="1"/>
      <c r="O3" s="1" t="inlineStr">
        <is>
          <t/>
        </is>
      </c>
      <c r="P3" s="1" t="n">
        <v>0.0</v>
      </c>
      <c r="Q3" s="1" t="inlineStr">
        <is>
          <t/>
        </is>
      </c>
      <c r="R3" t="inlineStr">
        <is>
          <t>2025-04-212ANK/2526/SLD/SVB/00001001</t>
        </is>
      </c>
      <c r="S3" t="inlineStr">
        <is>
          <t>ANK/2526/SLD/SVB/00001</t>
        </is>
      </c>
      <c r="T3" t="inlineStr">
        <is>
          <t>21-04-2025</t>
        </is>
      </c>
      <c r="U3" t="inlineStr">
        <is>
          <t>5736655.04</t>
        </is>
      </c>
    </row>
    <row r="4">
      <c r="A4" s="1" t="inlineStr">
        <is>
          <t>06a587ff-f941-4454-b4a2-1ed0e8d7e52a</t>
        </is>
      </c>
      <c r="B4" s="1" t="inlineStr">
        <is>
          <t/>
        </is>
      </c>
      <c r="C4" s="1" t="inlineStr">
        <is>
          <t>Opening Balance as per Party</t>
        </is>
      </c>
      <c r="D4" s="1" t="inlineStr">
        <is>
          <t>Opening Balance</t>
        </is>
      </c>
      <c r="E4" s="1" t="inlineStr">
        <is>
          <t>ledger</t>
        </is>
      </c>
      <c r="F4" s="1" t="inlineStr">
        <is>
          <t>01-04-2025</t>
        </is>
      </c>
      <c r="G4" s="1"/>
      <c r="H4" s="1" t="inlineStr">
        <is>
          <t>openingBalance</t>
        </is>
      </c>
      <c r="I4" s="1" t="inlineStr">
        <is>
          <t>OP</t>
        </is>
      </c>
      <c r="J4" s="1"/>
      <c r="K4" s="15" t="n">
        <v>-0.0</v>
      </c>
      <c r="L4" s="1" t="inlineStr">
        <is>
          <t/>
        </is>
      </c>
      <c r="M4" s="1" t="inlineStr">
        <is>
          <t>19-Jun-26 10:16 AM</t>
        </is>
      </c>
      <c r="N4" s="1"/>
      <c r="O4" s="1" t="inlineStr">
        <is>
          <t/>
        </is>
      </c>
      <c r="P4" s="1" t="n">
        <v>0.0</v>
      </c>
      <c r="Q4" s="1" t="inlineStr">
        <is>
          <t/>
        </is>
      </c>
      <c r="R4" t="inlineStr">
        <is>
          <t xml:space="preserve">2025-04-011                         </t>
        </is>
      </c>
      <c r="S4" t="inlineStr">
        <is>
          <t xml:space="preserve">Opening Balance       </t>
        </is>
      </c>
      <c r="T4" t="inlineStr">
        <is>
          <t>30-12-1899</t>
        </is>
      </c>
      <c r="U4" t="inlineStr">
        <is>
          <t>10445028</t>
        </is>
      </c>
    </row>
    <row r="5">
      <c r="A5" s="1" t="inlineStr">
        <is>
          <t>096969f5-7eef-4cdb-a885-804b75a33c6a</t>
        </is>
      </c>
      <c r="B5" s="1" t="inlineStr">
        <is>
          <t>fe174b22-f955-4952-b288-f248fc883a1e</t>
        </is>
      </c>
      <c r="C5" s="1" t="inlineStr">
        <is>
          <t>Reversal Entries</t>
        </is>
      </c>
      <c r="D5" s="1" t="inlineStr">
        <is>
          <t>Reversal Entries</t>
        </is>
      </c>
      <c r="E5" s="1" t="inlineStr">
        <is>
          <t>ledger</t>
        </is>
      </c>
      <c r="F5" s="1" t="inlineStr">
        <is>
          <t>19-08-2025</t>
        </is>
      </c>
      <c r="G5" s="1" t="inlineStr">
        <is>
          <t xml:space="preserve">DR. CR. ADJ.          </t>
        </is>
      </c>
      <c r="H5" s="1" t="inlineStr">
        <is>
          <t>journal</t>
        </is>
      </c>
      <c r="I5" s="1" t="inlineStr">
        <is>
          <t>Journal</t>
        </is>
      </c>
      <c r="J5" s="1"/>
      <c r="K5" s="15" t="n">
        <v>9748.0</v>
      </c>
      <c r="L5" s="1" t="inlineStr">
        <is>
          <t>Pre-P-4.3-party</t>
        </is>
      </c>
      <c r="M5" s="1" t="inlineStr">
        <is>
          <t>19-Jun-26 10:16 AM</t>
        </is>
      </c>
      <c r="N5" s="1"/>
      <c r="O5" s="1" t="inlineStr">
        <is>
          <t/>
        </is>
      </c>
      <c r="P5" s="1" t="n">
        <v>0.0</v>
      </c>
      <c r="Q5" s="1" t="inlineStr">
        <is>
          <t/>
        </is>
      </c>
      <c r="R5" t="inlineStr">
        <is>
          <t>2025-08-192ANK/2526/JVD/GJV/00155001</t>
        </is>
      </c>
      <c r="S5" t="inlineStr">
        <is>
          <t>ANK/2526/JVD/GJV/00155</t>
        </is>
      </c>
      <c r="T5" t="inlineStr">
        <is>
          <t>19-08-2025</t>
        </is>
      </c>
      <c r="U5" t="inlineStr">
        <is>
          <t>-25440</t>
        </is>
      </c>
    </row>
    <row r="6">
      <c r="A6" s="1" t="inlineStr">
        <is>
          <t>0ca58a7f-65da-4e3e-a0ec-1d98d9e3a5f4</t>
        </is>
      </c>
      <c r="B6" s="1" t="inlineStr">
        <is>
          <t/>
        </is>
      </c>
      <c r="C6" s="1" t="inlineStr">
        <is>
          <t>Credit Note not booked by Company</t>
        </is>
      </c>
      <c r="D6" s="1" t="inlineStr">
        <is>
          <t>Unmatched</t>
        </is>
      </c>
      <c r="E6" s="1" t="inlineStr">
        <is>
          <t>ledger</t>
        </is>
      </c>
      <c r="F6" s="1" t="inlineStr">
        <is>
          <t>14-03-2026</t>
        </is>
      </c>
      <c r="G6" s="1" t="inlineStr">
        <is>
          <t xml:space="preserve">ANK2526/DBN00016      </t>
        </is>
      </c>
      <c r="H6" s="1" t="inlineStr">
        <is>
          <t>creditNote</t>
        </is>
      </c>
      <c r="I6" s="1" t="inlineStr">
        <is>
          <t>CN</t>
        </is>
      </c>
      <c r="J6" s="1"/>
      <c r="K6" s="15" t="n">
        <v>283200.0</v>
      </c>
      <c r="L6" s="1" t="inlineStr">
        <is>
          <t>Post-P-3.4-party</t>
        </is>
      </c>
      <c r="M6" s="1" t="inlineStr">
        <is>
          <t>19-Jun-26 10:16 AM</t>
        </is>
      </c>
      <c r="N6" s="1"/>
      <c r="O6" s="1" t="inlineStr">
        <is>
          <t/>
        </is>
      </c>
      <c r="P6" s="1" t="n">
        <v>0.0</v>
      </c>
      <c r="Q6" s="1" t="inlineStr">
        <is>
          <t/>
        </is>
      </c>
      <c r="R6" t="inlineStr">
        <is>
          <t>2026-03-142ANK/2526/SDC/SD1/00015001</t>
        </is>
      </c>
      <c r="S6" t="inlineStr">
        <is>
          <t>ANK/2526/SDC/SD1/00015</t>
        </is>
      </c>
      <c r="T6" t="inlineStr">
        <is>
          <t>14-03-2026</t>
        </is>
      </c>
      <c r="U6" t="inlineStr">
        <is>
          <t>1373566.8</t>
        </is>
      </c>
    </row>
    <row r="7">
      <c r="A7" s="1" t="inlineStr">
        <is>
          <t>186ecf5a-6b8f-46dc-affc-8da4ff6898d7</t>
        </is>
      </c>
      <c r="B7" s="1" t="inlineStr">
        <is>
          <t>23202ed6-9dcb-4c15-beab-145bc4a547de</t>
        </is>
      </c>
      <c r="C7" s="1" t="inlineStr">
        <is>
          <t>TDS Booked by Party</t>
        </is>
      </c>
      <c r="D7" s="1" t="inlineStr">
        <is>
          <t>Payment Matched - Recommended</t>
        </is>
      </c>
      <c r="E7" s="1" t="inlineStr">
        <is>
          <t>ledger</t>
        </is>
      </c>
      <c r="F7" s="1" t="inlineStr">
        <is>
          <t>23-01-2026</t>
        </is>
      </c>
      <c r="G7" s="1" t="inlineStr">
        <is>
          <t>UTIBR72026012300040395</t>
        </is>
      </c>
      <c r="H7" s="1" t="inlineStr">
        <is>
          <t>payment</t>
        </is>
      </c>
      <c r="I7" s="1" t="inlineStr">
        <is>
          <t>Receipt</t>
        </is>
      </c>
      <c r="J7" s="1"/>
      <c r="K7" s="15" t="n">
        <v>-413827.0</v>
      </c>
      <c r="L7" s="1" t="inlineStr">
        <is>
          <t>SEC-PAY4.1-company</t>
        </is>
      </c>
      <c r="M7" s="1" t="inlineStr">
        <is>
          <t>19-Jun-26 10:16 AM</t>
        </is>
      </c>
      <c r="N7" s="1"/>
      <c r="O7" s="1" t="inlineStr">
        <is>
          <t/>
        </is>
      </c>
      <c r="P7" s="1" t="n">
        <v>0.0</v>
      </c>
      <c r="Q7" s="1" t="inlineStr">
        <is>
          <t/>
        </is>
      </c>
      <c r="R7" t="inlineStr">
        <is>
          <t>2026-01-232ANK/2526/BDR/YB1/00788001</t>
        </is>
      </c>
      <c r="S7" t="inlineStr">
        <is>
          <t>ANK/2526/BDR/YB1/00788</t>
        </is>
      </c>
      <c r="T7" t="inlineStr">
        <is>
          <t>23-01-2026</t>
        </is>
      </c>
      <c r="U7" t="inlineStr">
        <is>
          <t>5928585</t>
        </is>
      </c>
    </row>
    <row r="8">
      <c r="A8" s="1" t="inlineStr">
        <is>
          <t>1e1bce79-95dd-4cc6-8b1b-ff4d93cc6372</t>
        </is>
      </c>
      <c r="B8" s="1" t="inlineStr">
        <is>
          <t>4d6f23b7-dd76-3d73-b15f-1e43a867c178</t>
        </is>
      </c>
      <c r="C8" s="1" t="inlineStr">
        <is>
          <t>TDS Booked by Party</t>
        </is>
      </c>
      <c r="D8" s="1" t="inlineStr">
        <is>
          <t>Date and Amount Matched - Recommended</t>
        </is>
      </c>
      <c r="E8" s="1" t="inlineStr">
        <is>
          <t>ledger</t>
        </is>
      </c>
      <c r="F8" s="1" t="inlineStr">
        <is>
          <t>17-04-2025</t>
        </is>
      </c>
      <c r="G8" s="1" t="inlineStr">
        <is>
          <t>UTIBR72025041700038257</t>
        </is>
      </c>
      <c r="H8" s="1" t="inlineStr">
        <is>
          <t>payment</t>
        </is>
      </c>
      <c r="I8" s="1" t="inlineStr">
        <is>
          <t>Receipt</t>
        </is>
      </c>
      <c r="J8" s="1"/>
      <c r="K8" s="15" t="n">
        <v>-7305016.0</v>
      </c>
      <c r="L8" s="1" t="inlineStr">
        <is>
          <t>SEC-PAY3.1-company</t>
        </is>
      </c>
      <c r="M8" s="1" t="inlineStr">
        <is>
          <t>19-Jun-26 10:16 AM</t>
        </is>
      </c>
      <c r="N8" s="1"/>
      <c r="O8" s="1" t="inlineStr">
        <is>
          <t/>
        </is>
      </c>
      <c r="P8" s="1" t="n">
        <v>0.0</v>
      </c>
      <c r="Q8" s="1" t="inlineStr">
        <is>
          <t/>
        </is>
      </c>
      <c r="R8" t="inlineStr">
        <is>
          <t>2025-04-172ANK/2526/BDR/YB1/00032001</t>
        </is>
      </c>
      <c r="S8" t="inlineStr">
        <is>
          <t>ANK/2526/BDR/YB1/00032</t>
        </is>
      </c>
      <c r="T8" t="inlineStr">
        <is>
          <t>17-04-2025</t>
        </is>
      </c>
      <c r="U8" t="inlineStr">
        <is>
          <t>3140012</t>
        </is>
      </c>
    </row>
    <row r="9">
      <c r="A9" s="1" t="inlineStr">
        <is>
          <t>23129740-91f2-4a2a-98ec-c5c6334ba4c1</t>
        </is>
      </c>
      <c r="B9" s="1" t="inlineStr">
        <is>
          <t/>
        </is>
      </c>
      <c r="C9" s="1" t="inlineStr">
        <is>
          <t>Opening Balance as per Party</t>
        </is>
      </c>
      <c r="D9" s="1" t="inlineStr">
        <is>
          <t>Opening Balance</t>
        </is>
      </c>
      <c r="E9" s="1" t="inlineStr">
        <is>
          <t>ledger</t>
        </is>
      </c>
      <c r="F9" s="1" t="inlineStr">
        <is>
          <t>01-04-2025</t>
        </is>
      </c>
      <c r="G9" s="1"/>
      <c r="H9" s="1" t="inlineStr">
        <is>
          <t>openingBalance</t>
        </is>
      </c>
      <c r="I9" s="1" t="inlineStr">
        <is>
          <t>OP</t>
        </is>
      </c>
      <c r="J9" s="1"/>
      <c r="K9" s="15" t="n">
        <v>-0.0</v>
      </c>
      <c r="L9" s="1" t="inlineStr">
        <is>
          <t/>
        </is>
      </c>
      <c r="M9" s="1" t="inlineStr">
        <is>
          <t>19-Jun-26 10:16 AM</t>
        </is>
      </c>
      <c r="N9" s="1"/>
      <c r="O9" s="1" t="inlineStr">
        <is>
          <t/>
        </is>
      </c>
      <c r="P9" s="1" t="n">
        <v>0.0</v>
      </c>
      <c r="Q9" s="1" t="inlineStr">
        <is>
          <t/>
        </is>
      </c>
      <c r="R9" t="inlineStr">
        <is>
          <t xml:space="preserve">2025-04-011                         </t>
        </is>
      </c>
      <c r="S9" t="inlineStr">
        <is>
          <t xml:space="preserve">Opening Balance       </t>
        </is>
      </c>
      <c r="T9" t="inlineStr">
        <is>
          <t>30-12-1899</t>
        </is>
      </c>
      <c r="U9" t="inlineStr">
        <is>
          <t>5524229.1200000001</t>
        </is>
      </c>
    </row>
    <row r="10">
      <c r="A10" s="1" t="inlineStr">
        <is>
          <t>289ad3fb-1769-409a-909a-3cec95cef9d5</t>
        </is>
      </c>
      <c r="B10" s="1" t="inlineStr">
        <is>
          <t/>
        </is>
      </c>
      <c r="C10" s="1" t="inlineStr">
        <is>
          <t>Credit Note not booked by Company</t>
        </is>
      </c>
      <c r="D10" s="1" t="inlineStr">
        <is>
          <t>Unmatched</t>
        </is>
      </c>
      <c r="E10" s="1" t="inlineStr">
        <is>
          <t>ledger</t>
        </is>
      </c>
      <c r="F10" s="1" t="inlineStr">
        <is>
          <t>10-07-2025</t>
        </is>
      </c>
      <c r="G10" s="1" t="inlineStr">
        <is>
          <t xml:space="preserve">DNB00011              </t>
        </is>
      </c>
      <c r="H10" s="1" t="inlineStr">
        <is>
          <t>creditNote</t>
        </is>
      </c>
      <c r="I10" s="1" t="inlineStr">
        <is>
          <t>CN</t>
        </is>
      </c>
      <c r="J10" s="1"/>
      <c r="K10" s="15" t="n">
        <v>1582380.0</v>
      </c>
      <c r="L10" s="1" t="inlineStr">
        <is>
          <t>Post-P-3.4-party</t>
        </is>
      </c>
      <c r="M10" s="1" t="inlineStr">
        <is>
          <t>19-Jun-26 10:16 AM</t>
        </is>
      </c>
      <c r="N10" s="1"/>
      <c r="O10" s="1" t="inlineStr">
        <is>
          <t/>
        </is>
      </c>
      <c r="P10" s="1" t="n">
        <v>0.0</v>
      </c>
      <c r="Q10" s="1" t="inlineStr">
        <is>
          <t/>
        </is>
      </c>
      <c r="R10" t="inlineStr">
        <is>
          <t>2025-07-102ANK/2526/SDC/SD1/00003001</t>
        </is>
      </c>
      <c r="S10" t="inlineStr">
        <is>
          <t>ANK/2526/SDC/SD1/00003</t>
        </is>
      </c>
      <c r="T10" t="inlineStr">
        <is>
          <t>10-07-2025</t>
        </is>
      </c>
      <c r="U10" t="inlineStr">
        <is>
          <t>2113166.88</t>
        </is>
      </c>
    </row>
    <row r="11">
      <c r="A11" s="1" t="inlineStr">
        <is>
          <t>2a8aac29-b524-4b8a-944d-868033f460cc</t>
        </is>
      </c>
      <c r="B11" s="1" t="inlineStr">
        <is>
          <t>44257a85-da72-4d62-91bd-30587b951126</t>
        </is>
      </c>
      <c r="C11" s="1" t="inlineStr">
        <is>
          <t>Reversal Entries</t>
        </is>
      </c>
      <c r="D11" s="1" t="inlineStr">
        <is>
          <t>Reversal Entries</t>
        </is>
      </c>
      <c r="E11" s="1" t="inlineStr">
        <is>
          <t>ledger</t>
        </is>
      </c>
      <c r="F11" s="1" t="inlineStr">
        <is>
          <t>30-04-2025</t>
        </is>
      </c>
      <c r="G11" s="1" t="inlineStr">
        <is>
          <t xml:space="preserve">ANK2526/DBN00001      </t>
        </is>
      </c>
      <c r="H11" s="1" t="inlineStr">
        <is>
          <t>creditNote</t>
        </is>
      </c>
      <c r="I11" s="1" t="inlineStr">
        <is>
          <t>CN</t>
        </is>
      </c>
      <c r="J11" s="1"/>
      <c r="K11" s="15" t="n">
        <v>14514.0</v>
      </c>
      <c r="L11" s="1" t="inlineStr">
        <is>
          <t>Pre-P-4.3-party</t>
        </is>
      </c>
      <c r="M11" s="1" t="inlineStr">
        <is>
          <t>19-Jun-26 10:16 AM</t>
        </is>
      </c>
      <c r="N11" s="1"/>
      <c r="O11" s="1" t="inlineStr">
        <is>
          <t/>
        </is>
      </c>
      <c r="P11" s="1" t="n">
        <v>0.0</v>
      </c>
      <c r="Q11" s="1" t="inlineStr">
        <is>
          <t/>
        </is>
      </c>
      <c r="R11" t="inlineStr">
        <is>
          <t>2025-04-302ANK/2526/SDC/SD1/00001001</t>
        </is>
      </c>
      <c r="S11" t="inlineStr">
        <is>
          <t>ANK/2526/SDC/SD1/00001</t>
        </is>
      </c>
      <c r="T11" t="inlineStr">
        <is>
          <t>30-04-2025</t>
        </is>
      </c>
      <c r="U11" t="inlineStr">
        <is>
          <t>5736655.04</t>
        </is>
      </c>
    </row>
    <row r="12">
      <c r="A12" s="1" t="inlineStr">
        <is>
          <t>2b2ced9b-b480-4be7-a59a-1a5ae8f5bc89</t>
        </is>
      </c>
      <c r="B12" s="1" t="inlineStr">
        <is>
          <t/>
        </is>
      </c>
      <c r="C12" s="1" t="inlineStr">
        <is>
          <t>Credit Note not booked by Company</t>
        </is>
      </c>
      <c r="D12" s="1" t="inlineStr">
        <is>
          <t>Unmatched</t>
        </is>
      </c>
      <c r="E12" s="1" t="inlineStr">
        <is>
          <t>ledger</t>
        </is>
      </c>
      <c r="F12" s="1" t="inlineStr">
        <is>
          <t>27-01-2026</t>
        </is>
      </c>
      <c r="G12" s="1" t="inlineStr">
        <is>
          <t xml:space="preserve">ANK2526/DBN00012      </t>
        </is>
      </c>
      <c r="H12" s="1" t="inlineStr">
        <is>
          <t>creditNote</t>
        </is>
      </c>
      <c r="I12" s="1" t="inlineStr">
        <is>
          <t>CN</t>
        </is>
      </c>
      <c r="J12" s="1"/>
      <c r="K12" s="15" t="n">
        <v>481440.0</v>
      </c>
      <c r="L12" s="1" t="inlineStr">
        <is>
          <t>Post-P-3.4-party</t>
        </is>
      </c>
      <c r="M12" s="1" t="inlineStr">
        <is>
          <t>19-Jun-26 10:16 AM</t>
        </is>
      </c>
      <c r="N12" s="1"/>
      <c r="O12" s="1" t="inlineStr">
        <is>
          <t/>
        </is>
      </c>
      <c r="P12" s="1" t="n">
        <v>0.0</v>
      </c>
      <c r="Q12" s="1" t="inlineStr">
        <is>
          <t/>
        </is>
      </c>
      <c r="R12" t="inlineStr">
        <is>
          <t>2026-01-272ANK/2526/SDC/SD1/00011001</t>
        </is>
      </c>
      <c r="S12" t="inlineStr">
        <is>
          <t>ANK/2526/SDC/SD1/00011</t>
        </is>
      </c>
      <c r="T12" t="inlineStr">
        <is>
          <t>27-01-2026</t>
        </is>
      </c>
      <c r="U12" t="inlineStr">
        <is>
          <t>701438.8</t>
        </is>
      </c>
    </row>
    <row r="13">
      <c r="A13" s="1" t="inlineStr">
        <is>
          <t>2eff2df9-aac2-4397-a9c7-638e6ac9253a</t>
        </is>
      </c>
      <c r="B13" s="1" t="inlineStr">
        <is>
          <t>2a78bd4d-795a-39e0-b2e2-25d82ab37a71</t>
        </is>
      </c>
      <c r="C13" s="1" t="inlineStr">
        <is>
          <t>TDS Booked by Company</t>
        </is>
      </c>
      <c r="D13" s="1" t="inlineStr">
        <is>
          <t>Invoice Number Matched</t>
        </is>
      </c>
      <c r="E13" s="1" t="inlineStr">
        <is>
          <t>ledger</t>
        </is>
      </c>
      <c r="F13" s="1" t="inlineStr">
        <is>
          <t>16-03-2026</t>
        </is>
      </c>
      <c r="G13" s="1" t="inlineStr">
        <is>
          <t xml:space="preserve">ANK2526/SER00080      </t>
        </is>
      </c>
      <c r="H13" s="1" t="inlineStr">
        <is>
          <t>invoice</t>
        </is>
      </c>
      <c r="I13" s="1" t="inlineStr">
        <is>
          <t>Other</t>
        </is>
      </c>
      <c r="J13" s="1"/>
      <c r="K13" s="15" t="n">
        <v>1398768.0</v>
      </c>
      <c r="L13" s="1" t="inlineStr">
        <is>
          <t>PRI-INV1.6-company</t>
        </is>
      </c>
      <c r="M13" s="1" t="inlineStr">
        <is>
          <t>19-Jun-26 10:16 AM</t>
        </is>
      </c>
      <c r="N13" s="1"/>
      <c r="O13" s="1" t="inlineStr">
        <is>
          <t/>
        </is>
      </c>
      <c r="P13" s="1" t="n">
        <v>0.0</v>
      </c>
      <c r="Q13" s="1" t="inlineStr">
        <is>
          <t/>
        </is>
      </c>
      <c r="R13" t="inlineStr">
        <is>
          <t>2026-03-162ANK/2526/SLD/SVB/00080001</t>
        </is>
      </c>
      <c r="S13" t="inlineStr">
        <is>
          <t>ANK/2526/SLD/SVB/00080</t>
        </is>
      </c>
      <c r="T13" t="inlineStr">
        <is>
          <t>16-03-2026</t>
        </is>
      </c>
      <c r="U13" t="inlineStr">
        <is>
          <t>2772334.8</t>
        </is>
      </c>
    </row>
    <row r="14">
      <c r="A14" s="1" t="inlineStr">
        <is>
          <t>356677a1-0763-4f5f-b67d-9fa67464a66e</t>
        </is>
      </c>
      <c r="B14" s="1" t="inlineStr">
        <is>
          <t>33b8f008-c93f-3a19-a5a5-37851b94ef77</t>
        </is>
      </c>
      <c r="C14" s="1" t="inlineStr">
        <is>
          <t>TDS Booked by Company</t>
        </is>
      </c>
      <c r="D14" s="1" t="inlineStr">
        <is>
          <t>Invoice Number Matched</t>
        </is>
      </c>
      <c r="E14" s="1" t="inlineStr">
        <is>
          <t>ledger</t>
        </is>
      </c>
      <c r="F14" s="1" t="inlineStr">
        <is>
          <t>10-12-2025</t>
        </is>
      </c>
      <c r="G14" s="1" t="inlineStr">
        <is>
          <t xml:space="preserve">ANK2526/GIS00839      </t>
        </is>
      </c>
      <c r="H14" s="1" t="inlineStr">
        <is>
          <t>invoice</t>
        </is>
      </c>
      <c r="I14" s="1" t="inlineStr">
        <is>
          <t>Sale</t>
        </is>
      </c>
      <c r="J14" s="1"/>
      <c r="K14" s="15" t="n">
        <v>1668039.0</v>
      </c>
      <c r="L14" s="1" t="inlineStr">
        <is>
          <t>PRI-INV1.6-company</t>
        </is>
      </c>
      <c r="M14" s="1" t="inlineStr">
        <is>
          <t>19-Jun-26 10:16 AM</t>
        </is>
      </c>
      <c r="N14" s="1"/>
      <c r="O14" s="1" t="inlineStr">
        <is>
          <t/>
        </is>
      </c>
      <c r="P14" s="1" t="n">
        <v>0.0</v>
      </c>
      <c r="Q14" s="1" t="inlineStr">
        <is>
          <t/>
        </is>
      </c>
      <c r="R14" t="inlineStr">
        <is>
          <t>2025-12-102ANK/2526/ISO/SPP/00273001</t>
        </is>
      </c>
      <c r="S14" t="inlineStr">
        <is>
          <t>ANK/2526/ISO/SPP/00273</t>
        </is>
      </c>
      <c r="T14" t="inlineStr">
        <is>
          <t>10-12-2025</t>
        </is>
      </c>
      <c r="U14" t="inlineStr">
        <is>
          <t>9802473</t>
        </is>
      </c>
    </row>
    <row r="15">
      <c r="A15" s="1" t="inlineStr">
        <is>
          <t>363f9169-6096-452e-9b08-14f89e80ab75</t>
        </is>
      </c>
      <c r="B15" s="1" t="inlineStr">
        <is>
          <t>96ca066f-f3dd-31d1-8565-a73b4c76be09</t>
        </is>
      </c>
      <c r="C15" s="1" t="inlineStr">
        <is>
          <t>TDS Booked by Company</t>
        </is>
      </c>
      <c r="D15" s="1" t="inlineStr">
        <is>
          <t>Invoice Number Matched</t>
        </is>
      </c>
      <c r="E15" s="1" t="inlineStr">
        <is>
          <t>ledger</t>
        </is>
      </c>
      <c r="F15" s="1" t="inlineStr">
        <is>
          <t>02-08-2025</t>
        </is>
      </c>
      <c r="G15" s="1" t="inlineStr">
        <is>
          <t xml:space="preserve">ANK2526/SER00045      </t>
        </is>
      </c>
      <c r="H15" s="1" t="inlineStr">
        <is>
          <t>invoice</t>
        </is>
      </c>
      <c r="I15" s="1" t="inlineStr">
        <is>
          <t>Other</t>
        </is>
      </c>
      <c r="J15" s="1"/>
      <c r="K15" s="15" t="n">
        <v>1249.92</v>
      </c>
      <c r="L15" s="1" t="inlineStr">
        <is>
          <t>PRI-INV1.6-company</t>
        </is>
      </c>
      <c r="M15" s="1" t="inlineStr">
        <is>
          <t>19-Jun-26 10:16 AM</t>
        </is>
      </c>
      <c r="N15" s="1"/>
      <c r="O15" s="1" t="inlineStr">
        <is>
          <t/>
        </is>
      </c>
      <c r="P15" s="1" t="n">
        <v>0.0</v>
      </c>
      <c r="Q15" s="1" t="inlineStr">
        <is>
          <t/>
        </is>
      </c>
      <c r="R15" t="inlineStr">
        <is>
          <t>2025-08-022ANK/2526/SLD/SVB/00045001</t>
        </is>
      </c>
      <c r="S15" t="inlineStr">
        <is>
          <t>ANK/2526/SLD/SVB/00045</t>
        </is>
      </c>
      <c r="T15" t="inlineStr">
        <is>
          <t>02-08-2025</t>
        </is>
      </c>
      <c r="U15" t="inlineStr">
        <is>
          <t>3987761.92</t>
        </is>
      </c>
    </row>
    <row r="16">
      <c r="A16" s="1" t="inlineStr">
        <is>
          <t>3c3607e3-b64d-4e2d-8c7c-98b4f01adbac</t>
        </is>
      </c>
      <c r="B16" s="1" t="inlineStr">
        <is>
          <t>252dae23-d549-3aa6-a82d-35d32098b55f</t>
        </is>
      </c>
      <c r="C16" s="1" t="inlineStr">
        <is>
          <t>TDS Booked by Company</t>
        </is>
      </c>
      <c r="D16" s="1" t="inlineStr">
        <is>
          <t>Invoice Number Matched</t>
        </is>
      </c>
      <c r="E16" s="1" t="inlineStr">
        <is>
          <t>ledger</t>
        </is>
      </c>
      <c r="F16" s="1" t="inlineStr">
        <is>
          <t>29-01-2026</t>
        </is>
      </c>
      <c r="G16" s="1" t="inlineStr">
        <is>
          <t xml:space="preserve">ANK2526/GIS00934      </t>
        </is>
      </c>
      <c r="H16" s="1" t="inlineStr">
        <is>
          <t>invoice</t>
        </is>
      </c>
      <c r="I16" s="1" t="inlineStr">
        <is>
          <t>Sale</t>
        </is>
      </c>
      <c r="J16" s="1"/>
      <c r="K16" s="15" t="n">
        <v>1372120.0</v>
      </c>
      <c r="L16" s="1" t="inlineStr">
        <is>
          <t>PRI-INV1.6-company</t>
        </is>
      </c>
      <c r="M16" s="1" t="inlineStr">
        <is>
          <t>19-Jun-26 10:16 AM</t>
        </is>
      </c>
      <c r="N16" s="1"/>
      <c r="O16" s="1" t="inlineStr">
        <is>
          <t/>
        </is>
      </c>
      <c r="P16" s="1" t="n">
        <v>0.0</v>
      </c>
      <c r="Q16" s="1" t="inlineStr">
        <is>
          <t/>
        </is>
      </c>
      <c r="R16" t="inlineStr">
        <is>
          <t>2026-01-292ANK/2526/ISO/SPP/00310001</t>
        </is>
      </c>
      <c r="S16" t="inlineStr">
        <is>
          <t>ANK/2526/ISO/SPP/00310</t>
        </is>
      </c>
      <c r="T16" t="inlineStr">
        <is>
          <t>29-01-2026</t>
        </is>
      </c>
      <c r="U16" t="inlineStr">
        <is>
          <t>8914903</t>
        </is>
      </c>
    </row>
    <row r="17">
      <c r="A17" s="1" t="inlineStr">
        <is>
          <t>3df3999c-3eae-447e-86eb-ace45ffe1656</t>
        </is>
      </c>
      <c r="B17" s="1" t="inlineStr">
        <is>
          <t>7969e88d-93c3-3ac6-a71b-a5a023490392</t>
        </is>
      </c>
      <c r="C17" s="1" t="inlineStr">
        <is>
          <t>TDS Booked by Company</t>
        </is>
      </c>
      <c r="D17" s="1" t="inlineStr">
        <is>
          <t>Invoice Number Matched</t>
        </is>
      </c>
      <c r="E17" s="1" t="inlineStr">
        <is>
          <t>ledger</t>
        </is>
      </c>
      <c r="F17" s="1" t="inlineStr">
        <is>
          <t>31-10-2025</t>
        </is>
      </c>
      <c r="G17" s="1" t="inlineStr">
        <is>
          <t xml:space="preserve">ANK2526/GIS00697      </t>
        </is>
      </c>
      <c r="H17" s="1" t="inlineStr">
        <is>
          <t>invoice</t>
        </is>
      </c>
      <c r="I17" s="1" t="inlineStr">
        <is>
          <t>Sale</t>
        </is>
      </c>
      <c r="J17" s="1"/>
      <c r="K17" s="15" t="n">
        <v>3483648.0</v>
      </c>
      <c r="L17" s="1" t="inlineStr">
        <is>
          <t>PRI-INV1.6-company</t>
        </is>
      </c>
      <c r="M17" s="1" t="inlineStr">
        <is>
          <t>19-Jun-26 10:16 AM</t>
        </is>
      </c>
      <c r="N17" s="1"/>
      <c r="O17" s="1" t="inlineStr">
        <is>
          <t/>
        </is>
      </c>
      <c r="P17" s="1" t="n">
        <v>0.0</v>
      </c>
      <c r="Q17" s="1" t="inlineStr">
        <is>
          <t/>
        </is>
      </c>
      <c r="R17" t="inlineStr">
        <is>
          <t>2025-10-312ANK/2526/ISO/SPP/00230001</t>
        </is>
      </c>
      <c r="S17" t="inlineStr">
        <is>
          <t>ANK/2526/ISO/SPP/00230</t>
        </is>
      </c>
      <c r="T17" t="inlineStr">
        <is>
          <t>31-10-2025</t>
        </is>
      </c>
      <c r="U17" t="inlineStr">
        <is>
          <t>3483648</t>
        </is>
      </c>
    </row>
    <row r="18">
      <c r="A18" s="1" t="inlineStr">
        <is>
          <t>412b0cf1-2b9a-4f3d-b552-fb96018b8efd</t>
        </is>
      </c>
      <c r="B18" s="1" t="inlineStr">
        <is>
          <t>5e3d74eb-1238-31a5-b9ea-68850a0ee4b8</t>
        </is>
      </c>
      <c r="C18" s="1" t="inlineStr">
        <is>
          <t>TDS Booked by Company</t>
        </is>
      </c>
      <c r="D18" s="1" t="inlineStr">
        <is>
          <t>Invoice Number Matched</t>
        </is>
      </c>
      <c r="E18" s="1" t="inlineStr">
        <is>
          <t>ledger</t>
        </is>
      </c>
      <c r="F18" s="1" t="inlineStr">
        <is>
          <t>21-08-2025</t>
        </is>
      </c>
      <c r="G18" s="1" t="inlineStr">
        <is>
          <t xml:space="preserve">ANK2526/SER00049      </t>
        </is>
      </c>
      <c r="H18" s="1" t="inlineStr">
        <is>
          <t>invoice</t>
        </is>
      </c>
      <c r="I18" s="1" t="inlineStr">
        <is>
          <t>Other</t>
        </is>
      </c>
      <c r="J18" s="1"/>
      <c r="K18" s="15" t="n">
        <v>101556.0</v>
      </c>
      <c r="L18" s="1" t="inlineStr">
        <is>
          <t>PRI-INV1.6-company</t>
        </is>
      </c>
      <c r="M18" s="1" t="inlineStr">
        <is>
          <t>19-Jun-26 10:16 AM</t>
        </is>
      </c>
      <c r="N18" s="1"/>
      <c r="O18" s="1" t="inlineStr">
        <is>
          <t/>
        </is>
      </c>
      <c r="P18" s="1" t="n">
        <v>0.0</v>
      </c>
      <c r="Q18" s="1" t="inlineStr">
        <is>
          <t/>
        </is>
      </c>
      <c r="R18" t="inlineStr">
        <is>
          <t>2025-08-212ANK/2526/SLD/SVB/00049001</t>
        </is>
      </c>
      <c r="S18" t="inlineStr">
        <is>
          <t>ANK/2526/SLD/SVB/00049</t>
        </is>
      </c>
      <c r="T18" t="inlineStr">
        <is>
          <t>22-08-2025</t>
        </is>
      </c>
      <c r="U18" t="inlineStr">
        <is>
          <t>4079569.92</t>
        </is>
      </c>
    </row>
    <row r="19">
      <c r="A19" s="1" t="inlineStr">
        <is>
          <t>45a5cece-d771-4b25-a062-d0c539fffa26</t>
        </is>
      </c>
      <c r="B19" s="1" t="inlineStr">
        <is>
          <t>1395c5ae-873f-3f8b-ae53-ab71616636e5</t>
        </is>
      </c>
      <c r="C19" s="1" t="inlineStr">
        <is>
          <t>TDS Booked by Party</t>
        </is>
      </c>
      <c r="D19" s="1" t="inlineStr">
        <is>
          <t>Multiple Based on Date</t>
        </is>
      </c>
      <c r="E19" s="1" t="inlineStr">
        <is>
          <t>ledger</t>
        </is>
      </c>
      <c r="F19" s="1" t="inlineStr">
        <is>
          <t>08-10-2025</t>
        </is>
      </c>
      <c r="G19" s="1" t="inlineStr">
        <is>
          <t>UTIBR72025100800060307</t>
        </is>
      </c>
      <c r="H19" s="1" t="inlineStr">
        <is>
          <t>payment</t>
        </is>
      </c>
      <c r="I19" s="1" t="inlineStr">
        <is>
          <t>Receipt</t>
        </is>
      </c>
      <c r="J19" s="1"/>
      <c r="K19" s="15" t="n">
        <v>-258892.0</v>
      </c>
      <c r="L19" s="1" t="inlineStr">
        <is>
          <t>PRI-PAY5.2-company</t>
        </is>
      </c>
      <c r="M19" s="1" t="inlineStr">
        <is>
          <t>19-Jun-26 10:16 AM</t>
        </is>
      </c>
      <c r="N19" s="1"/>
      <c r="O19" s="1" t="inlineStr">
        <is>
          <t/>
        </is>
      </c>
      <c r="P19" s="1" t="n">
        <v>0.0</v>
      </c>
      <c r="Q19" s="1" t="inlineStr">
        <is>
          <t/>
        </is>
      </c>
      <c r="R19" t="inlineStr">
        <is>
          <t>2025-10-082ANK/2526/BDR/YB1/00549001</t>
        </is>
      </c>
      <c r="S19" t="inlineStr">
        <is>
          <t>ANK/2526/BDR/YB1/00549</t>
        </is>
      </c>
      <c r="T19" t="inlineStr">
        <is>
          <t>08-10-2025</t>
        </is>
      </c>
      <c r="U19" t="inlineStr">
        <is>
          <t>4324662.88</t>
        </is>
      </c>
    </row>
    <row r="20">
      <c r="A20" s="1" t="inlineStr">
        <is>
          <t>4b10c103-35ae-417f-b854-efa1a8945391</t>
        </is>
      </c>
      <c r="B20" s="1" t="inlineStr">
        <is>
          <t>05185f70-d145-3675-9617-30ad2c62d476</t>
        </is>
      </c>
      <c r="C20" s="1" t="inlineStr">
        <is>
          <t>Reconciled</t>
        </is>
      </c>
      <c r="D20" s="1" t="inlineStr">
        <is>
          <t>Amount Matched - Recommended</t>
        </is>
      </c>
      <c r="E20" s="1" t="inlineStr">
        <is>
          <t>ledger</t>
        </is>
      </c>
      <c r="F20" s="1" t="inlineStr">
        <is>
          <t>31-10-2025</t>
        </is>
      </c>
      <c r="G20" s="1" t="inlineStr">
        <is>
          <t xml:space="preserve">ANK2526/DBN00007      </t>
        </is>
      </c>
      <c r="H20" s="1" t="inlineStr">
        <is>
          <t>creditNote</t>
        </is>
      </c>
      <c r="I20" s="1" t="inlineStr">
        <is>
          <t>CN</t>
        </is>
      </c>
      <c r="J20" s="1"/>
      <c r="K20" s="15" t="n">
        <v>817740.0</v>
      </c>
      <c r="L20" s="1" t="inlineStr">
        <is>
          <t>SEC-CN1.1-party</t>
        </is>
      </c>
      <c r="M20" s="1" t="inlineStr">
        <is>
          <t>19-Jun-26 10:16 AM</t>
        </is>
      </c>
      <c r="N20" s="1"/>
      <c r="O20" s="1" t="inlineStr">
        <is>
          <t/>
        </is>
      </c>
      <c r="P20" s="1" t="n">
        <v>0.0</v>
      </c>
      <c r="Q20" s="1" t="inlineStr">
        <is>
          <t/>
        </is>
      </c>
      <c r="R20" t="inlineStr">
        <is>
          <t>2025-10-312ANK/2526/SDC/SD1/00006001</t>
        </is>
      </c>
      <c r="S20" t="inlineStr">
        <is>
          <t>ANK/2526/SDC/SD1/00006</t>
        </is>
      </c>
      <c r="T20" t="inlineStr">
        <is>
          <t>31-10-2025</t>
        </is>
      </c>
      <c r="U20" t="inlineStr">
        <is>
          <t>1819016.8</t>
        </is>
      </c>
    </row>
    <row r="21">
      <c r="A21" s="1" t="inlineStr">
        <is>
          <t>4b5709cd-1408-4b7e-8e81-53c786fe9b81</t>
        </is>
      </c>
      <c r="B21" s="1" t="inlineStr">
        <is>
          <t>e817c417-e8ce-344a-9cf1-b855d2c82a41</t>
        </is>
      </c>
      <c r="C21" s="1" t="inlineStr">
        <is>
          <t>TDS Booked by Party</t>
        </is>
      </c>
      <c r="D21" s="1" t="inlineStr">
        <is>
          <t>Date and Amount Matched - Recommended</t>
        </is>
      </c>
      <c r="E21" s="1" t="inlineStr">
        <is>
          <t>ledger</t>
        </is>
      </c>
      <c r="F21" s="1" t="inlineStr">
        <is>
          <t>01-07-2025</t>
        </is>
      </c>
      <c r="G21" s="1" t="inlineStr">
        <is>
          <t xml:space="preserve">AXISCN1007743339      </t>
        </is>
      </c>
      <c r="H21" s="1" t="inlineStr">
        <is>
          <t>payment</t>
        </is>
      </c>
      <c r="I21" s="1" t="inlineStr">
        <is>
          <t>Receipt</t>
        </is>
      </c>
      <c r="J21" s="1"/>
      <c r="K21" s="15" t="n">
        <v>-14514.0</v>
      </c>
      <c r="L21" s="1" t="inlineStr">
        <is>
          <t>SEC-PAY3.1-company</t>
        </is>
      </c>
      <c r="M21" s="1" t="inlineStr">
        <is>
          <t>19-Jun-26 10:16 AM</t>
        </is>
      </c>
      <c r="N21" s="1"/>
      <c r="O21" s="1" t="inlineStr">
        <is>
          <t/>
        </is>
      </c>
      <c r="P21" s="1" t="n">
        <v>0.0</v>
      </c>
      <c r="Q21" s="1" t="inlineStr">
        <is>
          <t/>
        </is>
      </c>
      <c r="R21" t="inlineStr">
        <is>
          <t>2025-07-012ANK/2526/BDR/YB1/00248001</t>
        </is>
      </c>
      <c r="S21" t="inlineStr">
        <is>
          <t>ANK/2526/BDR/YB1/00248</t>
        </is>
      </c>
      <c r="T21" t="inlineStr">
        <is>
          <t>01-07-2025</t>
        </is>
      </c>
      <c r="U21" t="inlineStr">
        <is>
          <t>528912</t>
        </is>
      </c>
    </row>
    <row r="22">
      <c r="A22" s="1" t="inlineStr">
        <is>
          <t>4bf4f1e8-4ea0-4ebd-a461-51858d4a1d59</t>
        </is>
      </c>
      <c r="B22" s="1" t="inlineStr">
        <is>
          <t>05f4488d-878f-3ab2-a045-a82fee6d3bcb</t>
        </is>
      </c>
      <c r="C22" s="1" t="inlineStr">
        <is>
          <t>TDS Booked by Party</t>
        </is>
      </c>
      <c r="D22" s="1" t="inlineStr">
        <is>
          <t>Date and Amount Matched - Recommended</t>
        </is>
      </c>
      <c r="E22" s="1" t="inlineStr">
        <is>
          <t>ledger</t>
        </is>
      </c>
      <c r="F22" s="1" t="inlineStr">
        <is>
          <t>16-05-2025</t>
        </is>
      </c>
      <c r="G22" s="1" t="inlineStr">
        <is>
          <t>UTIBN62025051618331475</t>
        </is>
      </c>
      <c r="H22" s="1" t="inlineStr">
        <is>
          <t>payment</t>
        </is>
      </c>
      <c r="I22" s="1" t="inlineStr">
        <is>
          <t>Receipt</t>
        </is>
      </c>
      <c r="J22" s="1"/>
      <c r="K22" s="15" t="n">
        <v>-1360800.0</v>
      </c>
      <c r="L22" s="1" t="inlineStr">
        <is>
          <t>SEC-PAY3.1-company</t>
        </is>
      </c>
      <c r="M22" s="1" t="inlineStr">
        <is>
          <t>19-Jun-26 10:16 AM</t>
        </is>
      </c>
      <c r="N22" s="1"/>
      <c r="O22" s="1" t="inlineStr">
        <is>
          <t/>
        </is>
      </c>
      <c r="P22" s="1" t="n">
        <v>0.0</v>
      </c>
      <c r="Q22" s="1" t="inlineStr">
        <is>
          <t/>
        </is>
      </c>
      <c r="R22" t="inlineStr">
        <is>
          <t>2025-05-162ANK/2526/BDR/YB1/00098001</t>
        </is>
      </c>
      <c r="S22" t="inlineStr">
        <is>
          <t>ANK/2526/BDR/YB1/00098</t>
        </is>
      </c>
      <c r="T22" t="inlineStr">
        <is>
          <t>16-05-2025</t>
        </is>
      </c>
      <c r="U22" t="inlineStr">
        <is>
          <t>5719596</t>
        </is>
      </c>
    </row>
    <row r="23">
      <c r="A23" s="1" t="inlineStr">
        <is>
          <t>4cabb64d-c453-46f4-808e-9156760af86e</t>
        </is>
      </c>
      <c r="B23" s="1" t="inlineStr">
        <is>
          <t>5a843abf-e9ca-324c-afd1-0dedba4227f0</t>
        </is>
      </c>
      <c r="C23" s="1" t="inlineStr">
        <is>
          <t>TDS Booked by Company</t>
        </is>
      </c>
      <c r="D23" s="1" t="inlineStr">
        <is>
          <t>Invoice Number Matched</t>
        </is>
      </c>
      <c r="E23" s="1" t="inlineStr">
        <is>
          <t>ledger</t>
        </is>
      </c>
      <c r="F23" s="1" t="inlineStr">
        <is>
          <t>26-11-2025</t>
        </is>
      </c>
      <c r="G23" s="1" t="inlineStr">
        <is>
          <t xml:space="preserve">ANK2526/GIS00781      </t>
        </is>
      </c>
      <c r="H23" s="1" t="inlineStr">
        <is>
          <t>invoice</t>
        </is>
      </c>
      <c r="I23" s="1" t="inlineStr">
        <is>
          <t>Sale</t>
        </is>
      </c>
      <c r="J23" s="1"/>
      <c r="K23" s="15" t="n">
        <v>292997.0</v>
      </c>
      <c r="L23" s="1" t="inlineStr">
        <is>
          <t>PRI-INV1.6-company</t>
        </is>
      </c>
      <c r="M23" s="1" t="inlineStr">
        <is>
          <t>19-Jun-26 10:16 AM</t>
        </is>
      </c>
      <c r="N23" s="1"/>
      <c r="O23" s="1" t="inlineStr">
        <is>
          <t/>
        </is>
      </c>
      <c r="P23" s="1" t="n">
        <v>0.0</v>
      </c>
      <c r="Q23" s="1" t="inlineStr">
        <is>
          <t/>
        </is>
      </c>
      <c r="R23" t="inlineStr">
        <is>
          <t>2025-11-262ANK/2526/ISO/SPP/00255001</t>
        </is>
      </c>
      <c r="S23" t="inlineStr">
        <is>
          <t>ANK/2526/ISO/SPP/00255</t>
        </is>
      </c>
      <c r="T23" t="inlineStr">
        <is>
          <t>26-11-2025</t>
        </is>
      </c>
      <c r="U23" t="inlineStr">
        <is>
          <t>3776645</t>
        </is>
      </c>
    </row>
    <row r="24">
      <c r="A24" s="1" t="inlineStr">
        <is>
          <t>50e3b35b-9047-4be7-af36-0db993f961e8</t>
        </is>
      </c>
      <c r="B24" s="1" t="inlineStr">
        <is>
          <t>c11d5c55-e4a0-3b4f-8aaa-7a1cd55e7744</t>
        </is>
      </c>
      <c r="C24" s="1" t="inlineStr">
        <is>
          <t>TDS Booked by Company</t>
        </is>
      </c>
      <c r="D24" s="1" t="inlineStr">
        <is>
          <t>Invoice Number Matched</t>
        </is>
      </c>
      <c r="E24" s="1" t="inlineStr">
        <is>
          <t>ledger</t>
        </is>
      </c>
      <c r="F24" s="1" t="inlineStr">
        <is>
          <t>31-07-2025</t>
        </is>
      </c>
      <c r="G24" s="1" t="inlineStr">
        <is>
          <t xml:space="preserve">ANK2526/SER00044      </t>
        </is>
      </c>
      <c r="H24" s="1" t="inlineStr">
        <is>
          <t>invoice</t>
        </is>
      </c>
      <c r="I24" s="1" t="inlineStr">
        <is>
          <t>Other</t>
        </is>
      </c>
      <c r="J24" s="1"/>
      <c r="K24" s="15" t="n">
        <v>88099.2</v>
      </c>
      <c r="L24" s="1" t="inlineStr">
        <is>
          <t>PRI-INV1.6-company</t>
        </is>
      </c>
      <c r="M24" s="1" t="inlineStr">
        <is>
          <t>19-Jun-26 10:16 AM</t>
        </is>
      </c>
      <c r="N24" s="1"/>
      <c r="O24" s="1" t="inlineStr">
        <is>
          <t/>
        </is>
      </c>
      <c r="P24" s="1" t="n">
        <v>0.0</v>
      </c>
      <c r="Q24" s="1" t="inlineStr">
        <is>
          <t/>
        </is>
      </c>
      <c r="R24" t="inlineStr">
        <is>
          <t>2025-07-312ANK/2526/SLD/SVB/00044001</t>
        </is>
      </c>
      <c r="S24" t="inlineStr">
        <is>
          <t>ANK/2526/SLD/SVB/00044</t>
        </is>
      </c>
      <c r="T24" t="inlineStr">
        <is>
          <t>31-07-2025</t>
        </is>
      </c>
      <c r="U24" t="inlineStr">
        <is>
          <t>3986512</t>
        </is>
      </c>
    </row>
    <row r="25">
      <c r="A25" s="1" t="inlineStr">
        <is>
          <t>51022052-eebc-4fbc-a428-096361b8a8c3</t>
        </is>
      </c>
      <c r="B25" s="1" t="inlineStr">
        <is>
          <t>d770e8f0-576e-355f-b490-2555388f5d28</t>
        </is>
      </c>
      <c r="C25" s="1" t="inlineStr">
        <is>
          <t>TDS Booked by Party</t>
        </is>
      </c>
      <c r="D25" s="1" t="inlineStr">
        <is>
          <t>Date and Amount Matched - Recommended</t>
        </is>
      </c>
      <c r="E25" s="1" t="inlineStr">
        <is>
          <t>ledger</t>
        </is>
      </c>
      <c r="F25" s="1" t="inlineStr">
        <is>
          <t>06-11-2025</t>
        </is>
      </c>
      <c r="G25" s="1" t="inlineStr">
        <is>
          <t>UTIBR72025110600053262</t>
        </is>
      </c>
      <c r="H25" s="1" t="inlineStr">
        <is>
          <t>payment</t>
        </is>
      </c>
      <c r="I25" s="1" t="inlineStr">
        <is>
          <t>Receipt</t>
        </is>
      </c>
      <c r="J25" s="1"/>
      <c r="K25" s="15" t="n">
        <v>-1582380.0</v>
      </c>
      <c r="L25" s="1" t="inlineStr">
        <is>
          <t>SEC-PAY3.1-company</t>
        </is>
      </c>
      <c r="M25" s="1" t="inlineStr">
        <is>
          <t>19-Jun-26 10:16 AM</t>
        </is>
      </c>
      <c r="N25" s="1"/>
      <c r="O25" s="1" t="inlineStr">
        <is>
          <t/>
        </is>
      </c>
      <c r="P25" s="1" t="n">
        <v>0.0</v>
      </c>
      <c r="Q25" s="1" t="inlineStr">
        <is>
          <t/>
        </is>
      </c>
      <c r="R25" t="inlineStr">
        <is>
          <t>2025-11-062ANK/2526/BDR/YB1/00608001</t>
        </is>
      </c>
      <c r="S25" t="inlineStr">
        <is>
          <t>ANK/2526/BDR/YB1/00608</t>
        </is>
      </c>
      <c r="T25" t="inlineStr">
        <is>
          <t>06-11-2025</t>
        </is>
      </c>
      <c r="U25" t="inlineStr">
        <is>
          <t>236636.79999999999</t>
        </is>
      </c>
    </row>
    <row r="26">
      <c r="A26" s="1" t="inlineStr">
        <is>
          <t>51e03a91-560b-460b-b310-15e4b684e22e</t>
        </is>
      </c>
      <c r="B26" s="1" t="inlineStr">
        <is>
          <t/>
        </is>
      </c>
      <c r="C26" s="1" t="inlineStr">
        <is>
          <t>Credit Note not booked by Company</t>
        </is>
      </c>
      <c r="D26" s="1" t="inlineStr">
        <is>
          <t>Unmatched</t>
        </is>
      </c>
      <c r="E26" s="1" t="inlineStr">
        <is>
          <t>ledger</t>
        </is>
      </c>
      <c r="F26" s="1" t="inlineStr">
        <is>
          <t>31-07-2025</t>
        </is>
      </c>
      <c r="G26" s="1" t="inlineStr">
        <is>
          <t xml:space="preserve">ANK2526/DBN00005      </t>
        </is>
      </c>
      <c r="H26" s="1" t="inlineStr">
        <is>
          <t>creditNote</t>
        </is>
      </c>
      <c r="I26" s="1" t="inlineStr">
        <is>
          <t>CN</t>
        </is>
      </c>
      <c r="J26" s="1"/>
      <c r="K26" s="15" t="n">
        <v>258892.0</v>
      </c>
      <c r="L26" s="1" t="inlineStr">
        <is>
          <t>Post-P-3.4-party</t>
        </is>
      </c>
      <c r="M26" s="1" t="inlineStr">
        <is>
          <t>19-Jun-26 10:16 AM</t>
        </is>
      </c>
      <c r="N26" s="1"/>
      <c r="O26" s="1" t="inlineStr">
        <is>
          <t/>
        </is>
      </c>
      <c r="P26" s="1" t="n">
        <v>0.0</v>
      </c>
      <c r="Q26" s="1" t="inlineStr">
        <is>
          <t/>
        </is>
      </c>
      <c r="R26" t="inlineStr">
        <is>
          <t>2025-07-312ANK/2526/SDC/SD1/00004001</t>
        </is>
      </c>
      <c r="S26" t="inlineStr">
        <is>
          <t>ANK/2526/SDC/SD1/00004</t>
        </is>
      </c>
      <c r="T26" t="inlineStr">
        <is>
          <t>31-07-2025</t>
        </is>
      </c>
      <c r="U26" t="inlineStr">
        <is>
          <t>2943796.48</t>
        </is>
      </c>
    </row>
    <row r="27">
      <c r="A27" s="1" t="inlineStr">
        <is>
          <t>54c64096-ea61-4f44-9146-bd38fc6090d0</t>
        </is>
      </c>
      <c r="B27" s="1" t="inlineStr">
        <is>
          <t>b995ec42-83e7-45de-88e3-bb8b492089fb</t>
        </is>
      </c>
      <c r="C27" s="1" t="inlineStr">
        <is>
          <t>TDS Booked by Party</t>
        </is>
      </c>
      <c r="D27" s="1" t="inlineStr">
        <is>
          <t>TDS Booked by Party</t>
        </is>
      </c>
      <c r="E27" s="1" t="inlineStr">
        <is>
          <t>ledger</t>
        </is>
      </c>
      <c r="F27" s="1" t="inlineStr">
        <is>
          <t>31-03-2026</t>
        </is>
      </c>
      <c r="G27" s="1" t="inlineStr">
        <is>
          <t xml:space="preserve">TDS ANK2526/GIS00926  </t>
        </is>
      </c>
      <c r="H27" s="1" t="inlineStr">
        <is>
          <t>tds</t>
        </is>
      </c>
      <c r="I27" s="1" t="inlineStr">
        <is>
          <t>TDS</t>
        </is>
      </c>
      <c r="J27" s="1"/>
      <c r="K27" s="15" t="n">
        <v>-1537.0</v>
      </c>
      <c r="L27" s="1" t="inlineStr">
        <is>
          <t>Pre-P-2.3-party</t>
        </is>
      </c>
      <c r="M27" s="1" t="inlineStr">
        <is>
          <t>19-Jun-26 10:16 AM</t>
        </is>
      </c>
      <c r="N27" s="1"/>
      <c r="O27" s="1" t="inlineStr">
        <is>
          <t/>
        </is>
      </c>
      <c r="P27" s="1" t="n">
        <v>0.0</v>
      </c>
      <c r="Q27" s="1" t="inlineStr">
        <is>
          <t/>
        </is>
      </c>
      <c r="R27" t="inlineStr">
        <is>
          <t>2026-03-312ANK/2526/JVD/GJV/00604002</t>
        </is>
      </c>
      <c r="S27" t="inlineStr">
        <is>
          <t>ANK/2526/JVD/GJV/00604</t>
        </is>
      </c>
      <c r="T27" t="inlineStr">
        <is>
          <t>31-03-2026</t>
        </is>
      </c>
      <c r="U27" t="inlineStr">
        <is>
          <t>6407105.54</t>
        </is>
      </c>
    </row>
    <row r="28">
      <c r="A28" s="1" t="inlineStr">
        <is>
          <t>5825f306-91b8-4fa5-9a02-a57eb7571296</t>
        </is>
      </c>
      <c r="B28" s="1" t="inlineStr">
        <is>
          <t>44257a85-da72-4d62-91bd-30587b951126</t>
        </is>
      </c>
      <c r="C28" s="1" t="inlineStr">
        <is>
          <t>Reversal Entries</t>
        </is>
      </c>
      <c r="D28" s="1" t="inlineStr">
        <is>
          <t>Reversal Entries</t>
        </is>
      </c>
      <c r="E28" s="1" t="inlineStr">
        <is>
          <t>ledger</t>
        </is>
      </c>
      <c r="F28" s="1" t="inlineStr">
        <is>
          <t>30-04-2025</t>
        </is>
      </c>
      <c r="G28" s="1" t="inlineStr">
        <is>
          <t xml:space="preserve">ANK2526/CRN00004      </t>
        </is>
      </c>
      <c r="H28" s="1" t="inlineStr">
        <is>
          <t>creditNote</t>
        </is>
      </c>
      <c r="I28" s="1" t="inlineStr">
        <is>
          <t>CN</t>
        </is>
      </c>
      <c r="J28" s="1"/>
      <c r="K28" s="15" t="n">
        <v>-14514.0</v>
      </c>
      <c r="L28" s="1" t="inlineStr">
        <is>
          <t>Pre-P-4.3-party</t>
        </is>
      </c>
      <c r="M28" s="1" t="inlineStr">
        <is>
          <t>19-Jun-26 10:16 AM</t>
        </is>
      </c>
      <c r="N28" s="1"/>
      <c r="O28" s="1" t="inlineStr">
        <is>
          <t/>
        </is>
      </c>
      <c r="P28" s="1" t="n">
        <v>0.0</v>
      </c>
      <c r="Q28" s="1" t="inlineStr">
        <is>
          <t/>
        </is>
      </c>
      <c r="R28" t="inlineStr">
        <is>
          <t>2025-04-302ANK/2526/SDC/SC1/00001001</t>
        </is>
      </c>
      <c r="S28" t="inlineStr">
        <is>
          <t>ANK/2526/SDC/SC1/00001</t>
        </is>
      </c>
      <c r="T28" t="inlineStr">
        <is>
          <t>30-04-2025</t>
        </is>
      </c>
      <c r="U28" t="inlineStr">
        <is>
          <t>5722141.04</t>
        </is>
      </c>
    </row>
    <row r="29">
      <c r="A29" s="1" t="inlineStr">
        <is>
          <t>59fb819b-d76f-4aef-bd08-7e3dbf42f0c4</t>
        </is>
      </c>
      <c r="B29" s="1" t="inlineStr">
        <is>
          <t/>
        </is>
      </c>
      <c r="C29" s="1" t="inlineStr">
        <is>
          <t>Invoice not booked by Company</t>
        </is>
      </c>
      <c r="D29" s="1" t="inlineStr">
        <is>
          <t>Unmatched</t>
        </is>
      </c>
      <c r="E29" s="1" t="inlineStr">
        <is>
          <t>ledger</t>
        </is>
      </c>
      <c r="F29" s="1" t="inlineStr">
        <is>
          <t>27-03-2026</t>
        </is>
      </c>
      <c r="G29" s="1" t="inlineStr">
        <is>
          <t xml:space="preserve">ANK2526/SER00081      </t>
        </is>
      </c>
      <c r="H29" s="1" t="inlineStr">
        <is>
          <t>invoice</t>
        </is>
      </c>
      <c r="I29" s="1" t="inlineStr">
        <is>
          <t>Other</t>
        </is>
      </c>
      <c r="J29" s="1"/>
      <c r="K29" s="15" t="n">
        <v>557529.0</v>
      </c>
      <c r="L29" s="1" t="inlineStr">
        <is>
          <t>Post-P-3.1-party</t>
        </is>
      </c>
      <c r="M29" s="1" t="inlineStr">
        <is>
          <t>19-Jun-26 10:16 AM</t>
        </is>
      </c>
      <c r="N29" s="1"/>
      <c r="O29" s="1" t="inlineStr">
        <is>
          <t/>
        </is>
      </c>
      <c r="P29" s="1" t="n">
        <v>0.0</v>
      </c>
      <c r="Q29" s="1" t="inlineStr">
        <is>
          <t/>
        </is>
      </c>
      <c r="R29" t="inlineStr">
        <is>
          <t>2026-03-272ANK/2526/SLD/SVB/00081001</t>
        </is>
      </c>
      <c r="S29" t="inlineStr">
        <is>
          <t>ANK/2526/SLD/SVB/00081</t>
        </is>
      </c>
      <c r="T29" t="inlineStr">
        <is>
          <t>27-03-2026</t>
        </is>
      </c>
      <c r="U29" t="inlineStr">
        <is>
          <t>3329863.8</t>
        </is>
      </c>
    </row>
    <row r="30">
      <c r="A30" s="1" t="inlineStr">
        <is>
          <t>5ce800c0-06e5-4125-a988-a782f27d2933</t>
        </is>
      </c>
      <c r="B30" s="1" t="inlineStr">
        <is>
          <t>30c02a2c-73e5-4135-843c-26b6c22ef8ec</t>
        </is>
      </c>
      <c r="C30" s="1" t="inlineStr">
        <is>
          <t>TDS Booked by Party</t>
        </is>
      </c>
      <c r="D30" s="1" t="inlineStr">
        <is>
          <t>Multiple Based on Invoice Number and Date Range</t>
        </is>
      </c>
      <c r="E30" s="1" t="inlineStr">
        <is>
          <t>ledger</t>
        </is>
      </c>
      <c r="F30" s="1" t="inlineStr">
        <is>
          <t>30-05-2025</t>
        </is>
      </c>
      <c r="G30" s="1" t="inlineStr">
        <is>
          <t xml:space="preserve">AXISCN0983739554      </t>
        </is>
      </c>
      <c r="H30" s="1" t="inlineStr">
        <is>
          <t>payment</t>
        </is>
      </c>
      <c r="I30" s="1" t="inlineStr">
        <is>
          <t>Receipt</t>
        </is>
      </c>
      <c r="J30" s="1"/>
      <c r="K30" s="15" t="n">
        <v>-1816778.88</v>
      </c>
      <c r="L30" s="1" t="inlineStr">
        <is>
          <t>PRI-PAY13.1-company</t>
        </is>
      </c>
      <c r="M30" s="1" t="inlineStr">
        <is>
          <t>19-Jun-26 10:16 AM</t>
        </is>
      </c>
      <c r="N30" s="1"/>
      <c r="O30" s="1" t="inlineStr">
        <is>
          <t/>
        </is>
      </c>
      <c r="P30" s="1" t="n">
        <v>0.0</v>
      </c>
      <c r="Q30" s="1" t="inlineStr">
        <is>
          <t/>
        </is>
      </c>
      <c r="R30" t="inlineStr">
        <is>
          <t>2025-05-302ANK/2526/BDR/YB1/00145001</t>
        </is>
      </c>
      <c r="S30" t="inlineStr">
        <is>
          <t>ANK/2526/BDR/YB1/00145</t>
        </is>
      </c>
      <c r="T30" t="inlineStr">
        <is>
          <t>30-05-2025</t>
        </is>
      </c>
      <c r="U30" t="inlineStr">
        <is>
          <t>1920172.56</t>
        </is>
      </c>
    </row>
    <row r="31">
      <c r="A31" s="1" t="inlineStr">
        <is>
          <t>5f77d353-a5e7-40cc-a460-0d1a90be31dc</t>
        </is>
      </c>
      <c r="B31" s="1" t="inlineStr">
        <is>
          <t/>
        </is>
      </c>
      <c r="C31" s="1" t="inlineStr">
        <is>
          <t>Credit Note not booked by Company</t>
        </is>
      </c>
      <c r="D31" s="1" t="inlineStr">
        <is>
          <t>Unmatched</t>
        </is>
      </c>
      <c r="E31" s="1" t="inlineStr">
        <is>
          <t>ledger</t>
        </is>
      </c>
      <c r="F31" s="1" t="inlineStr">
        <is>
          <t>27-11-2025</t>
        </is>
      </c>
      <c r="G31" s="1" t="inlineStr">
        <is>
          <t xml:space="preserve">ANK2526/DBN00008      </t>
        </is>
      </c>
      <c r="H31" s="1" t="inlineStr">
        <is>
          <t>creditNote</t>
        </is>
      </c>
      <c r="I31" s="1" t="inlineStr">
        <is>
          <t>CN</t>
        </is>
      </c>
      <c r="J31" s="1"/>
      <c r="K31" s="15" t="n">
        <v>604396.0</v>
      </c>
      <c r="L31" s="1" t="inlineStr">
        <is>
          <t>Post-P-3.4-party</t>
        </is>
      </c>
      <c r="M31" s="1" t="inlineStr">
        <is>
          <t>19-Jun-26 10:16 AM</t>
        </is>
      </c>
      <c r="N31" s="1"/>
      <c r="O31" s="1" t="inlineStr">
        <is>
          <t/>
        </is>
      </c>
      <c r="P31" s="1" t="n">
        <v>0.0</v>
      </c>
      <c r="Q31" s="1" t="inlineStr">
        <is>
          <t/>
        </is>
      </c>
      <c r="R31" t="inlineStr">
        <is>
          <t>2025-11-272ANK/2526/SDC/SD1/00007001</t>
        </is>
      </c>
      <c r="S31" t="inlineStr">
        <is>
          <t>ANK/2526/SDC/SD1/00007</t>
        </is>
      </c>
      <c r="T31" t="inlineStr">
        <is>
          <t>27-11-2025</t>
        </is>
      </c>
      <c r="U31" t="inlineStr">
        <is>
          <t>841032.8</t>
        </is>
      </c>
    </row>
    <row r="32">
      <c r="A32" s="1" t="inlineStr">
        <is>
          <t>63f11a62-2cc4-487e-9811-55b130390539</t>
        </is>
      </c>
      <c r="B32" s="1" t="inlineStr">
        <is>
          <t>fe174b22-f955-4952-b288-f248fc883a1e</t>
        </is>
      </c>
      <c r="C32" s="1" t="inlineStr">
        <is>
          <t>Reversal Entries</t>
        </is>
      </c>
      <c r="D32" s="1" t="inlineStr">
        <is>
          <t>Reversal Entries</t>
        </is>
      </c>
      <c r="E32" s="1" t="inlineStr">
        <is>
          <t>ledger</t>
        </is>
      </c>
      <c r="F32" s="1" t="inlineStr">
        <is>
          <t>19-08-2025</t>
        </is>
      </c>
      <c r="G32" s="1" t="inlineStr">
        <is>
          <t xml:space="preserve">DR. CR. ADJ.          </t>
        </is>
      </c>
      <c r="H32" s="1" t="inlineStr">
        <is>
          <t>journal</t>
        </is>
      </c>
      <c r="I32" s="1" t="inlineStr">
        <is>
          <t>Journal</t>
        </is>
      </c>
      <c r="J32" s="1"/>
      <c r="K32" s="15" t="n">
        <v>-9748.0</v>
      </c>
      <c r="L32" s="1" t="inlineStr">
        <is>
          <t>Pre-P-4.3-party</t>
        </is>
      </c>
      <c r="M32" s="1" t="inlineStr">
        <is>
          <t>19-Jun-26 10:16 AM</t>
        </is>
      </c>
      <c r="N32" s="1"/>
      <c r="O32" s="1" t="inlineStr">
        <is>
          <t/>
        </is>
      </c>
      <c r="P32" s="1" t="n">
        <v>0.0</v>
      </c>
      <c r="Q32" s="1" t="inlineStr">
        <is>
          <t/>
        </is>
      </c>
      <c r="R32" t="inlineStr">
        <is>
          <t>2025-08-192ANK/2526/JVD/GJV/00155002</t>
        </is>
      </c>
      <c r="S32" t="inlineStr">
        <is>
          <t>ANK/2526/JVD/GJV/00155</t>
        </is>
      </c>
      <c r="T32" t="inlineStr">
        <is>
          <t>19-08-2025</t>
        </is>
      </c>
      <c r="U32" t="inlineStr">
        <is>
          <t>3978013.92</t>
        </is>
      </c>
    </row>
    <row r="33">
      <c r="A33" s="1" t="inlineStr">
        <is>
          <t>647bee11-a5ff-4a23-870f-f583d6cf62b8</t>
        </is>
      </c>
      <c r="B33" s="1" t="inlineStr">
        <is>
          <t/>
        </is>
      </c>
      <c r="C33" s="1" t="inlineStr">
        <is>
          <t>Other entry not booked by Company</t>
        </is>
      </c>
      <c r="D33" s="1" t="inlineStr">
        <is>
          <t>Unmatched</t>
        </is>
      </c>
      <c r="E33" s="1" t="inlineStr">
        <is>
          <t>ledger</t>
        </is>
      </c>
      <c r="F33" s="1" t="inlineStr">
        <is>
          <t>30-09-2025</t>
        </is>
      </c>
      <c r="G33" s="1" t="inlineStr">
        <is>
          <t xml:space="preserve">DEBTORS WRITE OFF     </t>
        </is>
      </c>
      <c r="H33" s="1" t="inlineStr">
        <is>
          <t>journal</t>
        </is>
      </c>
      <c r="I33" s="1" t="inlineStr">
        <is>
          <t>Journal</t>
        </is>
      </c>
      <c r="J33" s="1"/>
      <c r="K33" s="15" t="n">
        <v>25440.0</v>
      </c>
      <c r="L33" s="1" t="inlineStr">
        <is>
          <t>Post-P-3.5-party</t>
        </is>
      </c>
      <c r="M33" s="1" t="inlineStr">
        <is>
          <t>19-Jun-26 10:16 AM</t>
        </is>
      </c>
      <c r="N33" s="1"/>
      <c r="O33" s="1" t="inlineStr">
        <is>
          <t/>
        </is>
      </c>
      <c r="P33" s="1" t="n">
        <v>0.0</v>
      </c>
      <c r="Q33" s="1" t="inlineStr">
        <is>
          <t/>
        </is>
      </c>
      <c r="R33" t="inlineStr">
        <is>
          <t>2025-09-302LHO/2526/JVD/GJV/00771001</t>
        </is>
      </c>
      <c r="S33" t="inlineStr">
        <is>
          <t>LHO/2526/JVD/GJV/00771</t>
        </is>
      </c>
      <c r="T33" t="inlineStr">
        <is>
          <t>30-09-2025</t>
        </is>
      </c>
      <c r="U33" t="inlineStr">
        <is>
          <t>3920000</t>
        </is>
      </c>
    </row>
    <row r="34">
      <c r="A34" s="1" t="inlineStr">
        <is>
          <t>6483bfe6-60a2-48ca-a5d3-f39bda2b6cfb</t>
        </is>
      </c>
      <c r="B34" s="1" t="inlineStr">
        <is>
          <t>c8f17e1c-3a7a-39ec-8269-5746cfc5a4f8</t>
        </is>
      </c>
      <c r="C34" s="1" t="inlineStr">
        <is>
          <t>TDS Booked by Party</t>
        </is>
      </c>
      <c r="D34" s="1" t="inlineStr">
        <is>
          <t>Date and Amount Matched - Recommended</t>
        </is>
      </c>
      <c r="E34" s="1" t="inlineStr">
        <is>
          <t>ledger</t>
        </is>
      </c>
      <c r="F34" s="1" t="inlineStr">
        <is>
          <t>17-06-2025</t>
        </is>
      </c>
      <c r="G34" s="1" t="inlineStr">
        <is>
          <t xml:space="preserve">AXISCN0994733294      </t>
        </is>
      </c>
      <c r="H34" s="1" t="inlineStr">
        <is>
          <t>payment</t>
        </is>
      </c>
      <c r="I34" s="1" t="inlineStr">
        <is>
          <t>Receipt</t>
        </is>
      </c>
      <c r="J34" s="1"/>
      <c r="K34" s="15" t="n">
        <v>-1894233.6</v>
      </c>
      <c r="L34" s="1" t="inlineStr">
        <is>
          <t>SEC-PAY3.1-company</t>
        </is>
      </c>
      <c r="M34" s="1" t="inlineStr">
        <is>
          <t>19-Jun-26 10:16 AM</t>
        </is>
      </c>
      <c r="N34" s="1"/>
      <c r="O34" s="1" t="inlineStr">
        <is>
          <t/>
        </is>
      </c>
      <c r="P34" s="1" t="n">
        <v>0.0</v>
      </c>
      <c r="Q34" s="1" t="inlineStr">
        <is>
          <t/>
        </is>
      </c>
      <c r="R34" t="inlineStr">
        <is>
          <t>2025-06-172ANK/2526/BDR/YB1/00189001</t>
        </is>
      </c>
      <c r="S34" t="inlineStr">
        <is>
          <t>ANK/2526/BDR/YB1/00189</t>
        </is>
      </c>
      <c r="T34" t="inlineStr">
        <is>
          <t>17-06-2025</t>
        </is>
      </c>
      <c r="U34" t="inlineStr">
        <is>
          <t>25314</t>
        </is>
      </c>
    </row>
    <row r="35">
      <c r="A35" s="1" t="inlineStr">
        <is>
          <t>699bd5e5-b0b1-4afe-8de7-ca8f3322ccdd</t>
        </is>
      </c>
      <c r="B35" s="1" t="inlineStr">
        <is>
          <t/>
        </is>
      </c>
      <c r="C35" s="1" t="inlineStr">
        <is>
          <t>Payment not booked by Company</t>
        </is>
      </c>
      <c r="D35" s="1" t="inlineStr">
        <is>
          <t>Unmatched</t>
        </is>
      </c>
      <c r="E35" s="1" t="inlineStr">
        <is>
          <t>ledger</t>
        </is>
      </c>
      <c r="F35" s="1" t="inlineStr">
        <is>
          <t>27-05-2025</t>
        </is>
      </c>
      <c r="G35" s="1" t="inlineStr">
        <is>
          <t xml:space="preserve">AXISCN0981979347      </t>
        </is>
      </c>
      <c r="H35" s="1" t="inlineStr">
        <is>
          <t>payment</t>
        </is>
      </c>
      <c r="I35" s="1" t="inlineStr">
        <is>
          <t>Receipt</t>
        </is>
      </c>
      <c r="J35" s="1"/>
      <c r="K35" s="15" t="n">
        <v>-1814400.0</v>
      </c>
      <c r="L35" s="1" t="inlineStr">
        <is>
          <t>Post-P-3.2-party</t>
        </is>
      </c>
      <c r="M35" s="1" t="inlineStr">
        <is>
          <t>19-Jun-26 10:16 AM</t>
        </is>
      </c>
      <c r="N35" s="1"/>
      <c r="O35" s="1" t="inlineStr">
        <is>
          <t/>
        </is>
      </c>
      <c r="P35" s="1" t="n">
        <v>0.0</v>
      </c>
      <c r="Q35" s="1" t="inlineStr">
        <is>
          <t/>
        </is>
      </c>
      <c r="R35" t="inlineStr">
        <is>
          <t>2025-05-272ANK/2526/BDR/YB1/00125001</t>
        </is>
      </c>
      <c r="S35" t="inlineStr">
        <is>
          <t>ANK/2526/BDR/YB1/00125</t>
        </is>
      </c>
      <c r="T35" t="inlineStr">
        <is>
          <t>27-05-2025</t>
        </is>
      </c>
      <c r="U35" t="inlineStr">
        <is>
          <t>3905196</t>
        </is>
      </c>
    </row>
    <row r="36">
      <c r="A36" s="1" t="inlineStr">
        <is>
          <t>6a61b6ee-0eba-480f-ba9a-db85633f5e91</t>
        </is>
      </c>
      <c r="B36" s="1" t="inlineStr">
        <is>
          <t>5c4816a8-ac14-3e72-9090-a3b72bad22e7</t>
        </is>
      </c>
      <c r="C36" s="1" t="inlineStr">
        <is>
          <t>TDS Booked by Party</t>
        </is>
      </c>
      <c r="D36" s="1" t="inlineStr">
        <is>
          <t>Date and Amount Matched - Recommended</t>
        </is>
      </c>
      <c r="E36" s="1" t="inlineStr">
        <is>
          <t>ledger</t>
        </is>
      </c>
      <c r="F36" s="1" t="inlineStr">
        <is>
          <t>01-10-2025</t>
        </is>
      </c>
      <c r="G36" s="1" t="inlineStr">
        <is>
          <t xml:space="preserve">AXISCN1103265077      </t>
        </is>
      </c>
      <c r="H36" s="1" t="inlineStr">
        <is>
          <t>payment</t>
        </is>
      </c>
      <c r="I36" s="1" t="inlineStr">
        <is>
          <t>Receipt</t>
        </is>
      </c>
      <c r="J36" s="1"/>
      <c r="K36" s="15" t="n">
        <v>-1089849.6</v>
      </c>
      <c r="L36" s="1" t="inlineStr">
        <is>
          <t>SEC-PAY3.1-company</t>
        </is>
      </c>
      <c r="M36" s="1" t="inlineStr">
        <is>
          <t>19-Jun-26 10:16 AM</t>
        </is>
      </c>
      <c r="N36" s="1"/>
      <c r="O36" s="1" t="inlineStr">
        <is>
          <t/>
        </is>
      </c>
      <c r="P36" s="1" t="n">
        <v>0.0</v>
      </c>
      <c r="Q36" s="1" t="inlineStr">
        <is>
          <t/>
        </is>
      </c>
      <c r="R36" t="inlineStr">
        <is>
          <t>2025-10-012ANK/2526/BDR/YB1/00540001</t>
        </is>
      </c>
      <c r="S36" t="inlineStr">
        <is>
          <t>ANK/2526/BDR/YB1/00540</t>
        </is>
      </c>
      <c r="T36" t="inlineStr">
        <is>
          <t>01-10-2025</t>
        </is>
      </c>
      <c r="U36" t="inlineStr">
        <is>
          <t>4452650.88</t>
        </is>
      </c>
    </row>
    <row r="37">
      <c r="A37" s="1" t="inlineStr">
        <is>
          <t>71edf8a4-9888-4518-bcac-ae43e5ea8193</t>
        </is>
      </c>
      <c r="B37" s="1" t="inlineStr">
        <is>
          <t/>
        </is>
      </c>
      <c r="C37" s="1" t="inlineStr">
        <is>
          <t>Credit Note not booked by Company</t>
        </is>
      </c>
      <c r="D37" s="1" t="inlineStr">
        <is>
          <t>Unmatched</t>
        </is>
      </c>
      <c r="E37" s="1" t="inlineStr">
        <is>
          <t>ledger</t>
        </is>
      </c>
      <c r="F37" s="1" t="inlineStr">
        <is>
          <t>06-10-2025</t>
        </is>
      </c>
      <c r="G37" s="1" t="inlineStr">
        <is>
          <t xml:space="preserve">ANK2526/DBN00006      </t>
        </is>
      </c>
      <c r="H37" s="1" t="inlineStr">
        <is>
          <t>creditNote</t>
        </is>
      </c>
      <c r="I37" s="1" t="inlineStr">
        <is>
          <t>CN</t>
        </is>
      </c>
      <c r="J37" s="1"/>
      <c r="K37" s="15" t="n">
        <v>232460.0</v>
      </c>
      <c r="L37" s="1" t="inlineStr">
        <is>
          <t>Post-P-3.4-party</t>
        </is>
      </c>
      <c r="M37" s="1" t="inlineStr">
        <is>
          <t>19-Jun-26 10:16 AM</t>
        </is>
      </c>
      <c r="N37" s="1"/>
      <c r="O37" s="1" t="inlineStr">
        <is>
          <t/>
        </is>
      </c>
      <c r="P37" s="1" t="n">
        <v>0.0</v>
      </c>
      <c r="Q37" s="1" t="inlineStr">
        <is>
          <t/>
        </is>
      </c>
      <c r="R37" t="inlineStr">
        <is>
          <t>2025-10-062ANK/2526/SDC/SD1/00005001</t>
        </is>
      </c>
      <c r="S37" t="inlineStr">
        <is>
          <t>ANK/2526/SDC/SD1/00005</t>
        </is>
      </c>
      <c r="T37" t="inlineStr">
        <is>
          <t>06-10-2025</t>
        </is>
      </c>
      <c r="U37" t="inlineStr">
        <is>
          <t>4685110.88</t>
        </is>
      </c>
    </row>
    <row r="38">
      <c r="A38" s="1" t="inlineStr">
        <is>
          <t>7c6c5123-ba1b-483a-b795-ac9d11e632ab</t>
        </is>
      </c>
      <c r="B38" s="1" t="inlineStr">
        <is>
          <t/>
        </is>
      </c>
      <c r="C38" s="1" t="inlineStr">
        <is>
          <t>Payment not booked by Company</t>
        </is>
      </c>
      <c r="D38" s="1" t="inlineStr">
        <is>
          <t>Unmatched</t>
        </is>
      </c>
      <c r="E38" s="1" t="inlineStr">
        <is>
          <t>ledger</t>
        </is>
      </c>
      <c r="F38" s="1" t="inlineStr">
        <is>
          <t>13-05-2025</t>
        </is>
      </c>
      <c r="G38" s="1" t="inlineStr">
        <is>
          <t>UTIBN62025051387607677</t>
        </is>
      </c>
      <c r="H38" s="1" t="inlineStr">
        <is>
          <t>payment</t>
        </is>
      </c>
      <c r="I38" s="1" t="inlineStr">
        <is>
          <t>Receipt</t>
        </is>
      </c>
      <c r="J38" s="1"/>
      <c r="K38" s="15" t="n">
        <v>-914457.6</v>
      </c>
      <c r="L38" s="1" t="inlineStr">
        <is>
          <t>Post-P-3.2-party</t>
        </is>
      </c>
      <c r="M38" s="1" t="inlineStr">
        <is>
          <t>19-Jun-26 10:16 AM</t>
        </is>
      </c>
      <c r="N38" s="1"/>
      <c r="O38" s="1" t="inlineStr">
        <is>
          <t/>
        </is>
      </c>
      <c r="P38" s="1" t="n">
        <v>0.0</v>
      </c>
      <c r="Q38" s="1" t="inlineStr">
        <is>
          <t/>
        </is>
      </c>
      <c r="R38" t="inlineStr">
        <is>
          <t>2025-05-132ANK/2526/BDR/YB1/00086001</t>
        </is>
      </c>
      <c r="S38" t="inlineStr">
        <is>
          <t>ANK/2526/BDR/YB1/00086</t>
        </is>
      </c>
      <c r="T38" t="inlineStr">
        <is>
          <t>13-05-2025</t>
        </is>
      </c>
      <c r="U38" t="inlineStr">
        <is>
          <t>4822197.4400000004</t>
        </is>
      </c>
    </row>
    <row r="39">
      <c r="A39" s="1" t="inlineStr">
        <is>
          <t>7fd61a63-5c6f-4418-8e12-d7b417b9492a</t>
        </is>
      </c>
      <c r="B39" s="1" t="inlineStr">
        <is>
          <t/>
        </is>
      </c>
      <c r="C39" s="1" t="inlineStr">
        <is>
          <t>Credit Note not booked by Company</t>
        </is>
      </c>
      <c r="D39" s="1" t="inlineStr">
        <is>
          <t>Unmatched</t>
        </is>
      </c>
      <c r="E39" s="1" t="inlineStr">
        <is>
          <t>ledger</t>
        </is>
      </c>
      <c r="F39" s="1" t="inlineStr">
        <is>
          <t>20-02-2026</t>
        </is>
      </c>
      <c r="G39" s="1" t="inlineStr">
        <is>
          <t xml:space="preserve">ANK2526/DBN00015      </t>
        </is>
      </c>
      <c r="H39" s="1" t="inlineStr">
        <is>
          <t>creditNote</t>
        </is>
      </c>
      <c r="I39" s="1" t="inlineStr">
        <is>
          <t>CN</t>
        </is>
      </c>
      <c r="J39" s="1"/>
      <c r="K39" s="15" t="n">
        <v>388928.0</v>
      </c>
      <c r="L39" s="1" t="inlineStr">
        <is>
          <t>Post-P-3.4-party</t>
        </is>
      </c>
      <c r="M39" s="1" t="inlineStr">
        <is>
          <t>19-Jun-26 10:16 AM</t>
        </is>
      </c>
      <c r="N39" s="1"/>
      <c r="O39" s="1" t="inlineStr">
        <is>
          <t/>
        </is>
      </c>
      <c r="P39" s="1" t="n">
        <v>0.0</v>
      </c>
      <c r="Q39" s="1" t="inlineStr">
        <is>
          <t/>
        </is>
      </c>
      <c r="R39" t="inlineStr">
        <is>
          <t>2026-02-202ANK/2526/SDC/SD1/00014001</t>
        </is>
      </c>
      <c r="S39" t="inlineStr">
        <is>
          <t>ANK/2526/SDC/SD1/00014</t>
        </is>
      </c>
      <c r="T39" t="inlineStr">
        <is>
          <t>20-02-2026</t>
        </is>
      </c>
      <c r="U39" t="inlineStr">
        <is>
          <t>1090366.8</t>
        </is>
      </c>
    </row>
    <row r="40">
      <c r="A40" s="1" t="inlineStr">
        <is>
          <t>80f49ab0-4efa-4eda-b1aa-723f9a2e2702</t>
        </is>
      </c>
      <c r="B40" s="1" t="inlineStr">
        <is>
          <t>7515671b-9a76-3276-8caa-36e894b60403</t>
        </is>
      </c>
      <c r="C40" s="1" t="inlineStr">
        <is>
          <t>TDS Booked by Company</t>
        </is>
      </c>
      <c r="D40" s="1" t="inlineStr">
        <is>
          <t>Invoice Number Matched</t>
        </is>
      </c>
      <c r="E40" s="1" t="inlineStr">
        <is>
          <t>ledger</t>
        </is>
      </c>
      <c r="F40" s="1" t="inlineStr">
        <is>
          <t>30-11-2025</t>
        </is>
      </c>
      <c r="G40" s="1" t="inlineStr">
        <is>
          <t xml:space="preserve">ANK2526/GIS00823      </t>
        </is>
      </c>
      <c r="H40" s="1" t="inlineStr">
        <is>
          <t>invoice</t>
        </is>
      </c>
      <c r="I40" s="1" t="inlineStr">
        <is>
          <t>Sale</t>
        </is>
      </c>
      <c r="J40" s="1"/>
      <c r="K40" s="15" t="n">
        <v>834959.0</v>
      </c>
      <c r="L40" s="1" t="inlineStr">
        <is>
          <t>PRI-INV1.6-company</t>
        </is>
      </c>
      <c r="M40" s="1" t="inlineStr">
        <is>
          <t>19-Jun-26 10:16 AM</t>
        </is>
      </c>
      <c r="N40" s="1"/>
      <c r="O40" s="1" t="inlineStr">
        <is>
          <t/>
        </is>
      </c>
      <c r="P40" s="1" t="n">
        <v>0.0</v>
      </c>
      <c r="Q40" s="1" t="inlineStr">
        <is>
          <t/>
        </is>
      </c>
      <c r="R40" t="inlineStr">
        <is>
          <t>2025-11-302ANK/2526/ISO/SPP/00267001</t>
        </is>
      </c>
      <c r="S40" t="inlineStr">
        <is>
          <t>ANK/2526/ISO/SPP/00267</t>
        </is>
      </c>
      <c r="T40" t="inlineStr">
        <is>
          <t>30-11-2025</t>
        </is>
      </c>
      <c r="U40" t="inlineStr">
        <is>
          <t>8134434</t>
        </is>
      </c>
    </row>
    <row r="41">
      <c r="A41" s="1" t="inlineStr">
        <is>
          <t>81bba397-4096-40c8-b7e2-b7017396a2d5</t>
        </is>
      </c>
      <c r="B41" s="1" t="inlineStr">
        <is>
          <t>4121dcea-21e1-39ea-b2ae-617ac8d404e6</t>
        </is>
      </c>
      <c r="C41" s="1" t="inlineStr">
        <is>
          <t>TDS Booked by Company</t>
        </is>
      </c>
      <c r="D41" s="1" t="inlineStr">
        <is>
          <t>Invoice Number Matched</t>
        </is>
      </c>
      <c r="E41" s="1" t="inlineStr">
        <is>
          <t>ledger</t>
        </is>
      </c>
      <c r="F41" s="1" t="inlineStr">
        <is>
          <t>27-11-2025</t>
        </is>
      </c>
      <c r="G41" s="1" t="inlineStr">
        <is>
          <t xml:space="preserve">ANK2526/GIS00786      </t>
        </is>
      </c>
      <c r="H41" s="1" t="inlineStr">
        <is>
          <t>invoice</t>
        </is>
      </c>
      <c r="I41" s="1" t="inlineStr">
        <is>
          <t>Sale</t>
        </is>
      </c>
      <c r="J41" s="1"/>
      <c r="K41" s="15" t="n">
        <v>1709165.0</v>
      </c>
      <c r="L41" s="1" t="inlineStr">
        <is>
          <t>PRI-INV1.6-company</t>
        </is>
      </c>
      <c r="M41" s="1" t="inlineStr">
        <is>
          <t>19-Jun-26 10:16 AM</t>
        </is>
      </c>
      <c r="N41" s="1"/>
      <c r="O41" s="1" t="inlineStr">
        <is>
          <t/>
        </is>
      </c>
      <c r="P41" s="1" t="n">
        <v>0.0</v>
      </c>
      <c r="Q41" s="1" t="inlineStr">
        <is>
          <t/>
        </is>
      </c>
      <c r="R41" t="inlineStr">
        <is>
          <t>2025-11-272ANK/2526/ISO/SPP/00258001</t>
        </is>
      </c>
      <c r="S41" t="inlineStr">
        <is>
          <t>ANK/2526/ISO/SPP/00258</t>
        </is>
      </c>
      <c r="T41" t="inlineStr">
        <is>
          <t>27-11-2025</t>
        </is>
      </c>
      <c r="U41" t="inlineStr">
        <is>
          <t>5606640</t>
        </is>
      </c>
    </row>
    <row r="42">
      <c r="A42" s="1" t="inlineStr">
        <is>
          <t>83d8b82f-3094-49cf-9377-fc9d3deeb24d</t>
        </is>
      </c>
      <c r="B42" s="1" t="inlineStr">
        <is>
          <t>f7bbdf7e-4187-3925-a070-e1e08ff0b17d</t>
        </is>
      </c>
      <c r="C42" s="1" t="inlineStr">
        <is>
          <t>TDS Booked by Company</t>
        </is>
      </c>
      <c r="D42" s="1" t="inlineStr">
        <is>
          <t>Invoice Number Matched</t>
        </is>
      </c>
      <c r="E42" s="1" t="inlineStr">
        <is>
          <t>ledger</t>
        </is>
      </c>
      <c r="F42" s="1" t="inlineStr">
        <is>
          <t>03-07-2025</t>
        </is>
      </c>
      <c r="G42" s="1" t="inlineStr">
        <is>
          <t xml:space="preserve">ANK2526/SER00028      </t>
        </is>
      </c>
      <c r="H42" s="1" t="inlineStr">
        <is>
          <t>invoice</t>
        </is>
      </c>
      <c r="I42" s="1" t="inlineStr">
        <is>
          <t>Other</t>
        </is>
      </c>
      <c r="J42" s="1"/>
      <c r="K42" s="15" t="n">
        <v>1874.88</v>
      </c>
      <c r="L42" s="1" t="inlineStr">
        <is>
          <t>PRI-INV1.6-company</t>
        </is>
      </c>
      <c r="M42" s="1" t="inlineStr">
        <is>
          <t>19-Jun-26 10:16 AM</t>
        </is>
      </c>
      <c r="N42" s="1"/>
      <c r="O42" s="1" t="inlineStr">
        <is>
          <t/>
        </is>
      </c>
      <c r="P42" s="1" t="n">
        <v>0.0</v>
      </c>
      <c r="Q42" s="1" t="inlineStr">
        <is>
          <t/>
        </is>
      </c>
      <c r="R42" t="inlineStr">
        <is>
          <t>2025-07-032ANK/2526/SLD/SVB/00028001</t>
        </is>
      </c>
      <c r="S42" t="inlineStr">
        <is>
          <t>ANK/2526/SLD/SVB/00028</t>
        </is>
      </c>
      <c r="T42" t="inlineStr">
        <is>
          <t>03-07-2025</t>
        </is>
      </c>
      <c r="U42" t="inlineStr">
        <is>
          <t>530786.88</t>
        </is>
      </c>
    </row>
    <row r="43">
      <c r="A43" s="1" t="inlineStr">
        <is>
          <t>8578df19-94dc-4a2a-bedc-d18320afb9d5</t>
        </is>
      </c>
      <c r="B43" s="1" t="inlineStr">
        <is>
          <t>ebc65537-cc7d-3651-8d18-ac57f49ee624</t>
        </is>
      </c>
      <c r="C43" s="1" t="inlineStr">
        <is>
          <t>TDS Booked by Company</t>
        </is>
      </c>
      <c r="D43" s="1" t="inlineStr">
        <is>
          <t>Invoice Number Matched</t>
        </is>
      </c>
      <c r="E43" s="1" t="inlineStr">
        <is>
          <t>ledger</t>
        </is>
      </c>
      <c r="F43" s="1" t="inlineStr">
        <is>
          <t>31-07-2025</t>
        </is>
      </c>
      <c r="G43" s="1" t="inlineStr">
        <is>
          <t xml:space="preserve">ANK2526/SER00043      </t>
        </is>
      </c>
      <c r="H43" s="1" t="inlineStr">
        <is>
          <t>invoice</t>
        </is>
      </c>
      <c r="I43" s="1" t="inlineStr">
        <is>
          <t>Other</t>
        </is>
      </c>
      <c r="J43" s="1"/>
      <c r="K43" s="15" t="n">
        <v>954616.32</v>
      </c>
      <c r="L43" s="1" t="inlineStr">
        <is>
          <t>PRI-INV1.6-company</t>
        </is>
      </c>
      <c r="M43" s="1" t="inlineStr">
        <is>
          <t>19-Jun-26 10:16 AM</t>
        </is>
      </c>
      <c r="N43" s="1"/>
      <c r="O43" s="1" t="inlineStr">
        <is>
          <t/>
        </is>
      </c>
      <c r="P43" s="1" t="n">
        <v>0.0</v>
      </c>
      <c r="Q43" s="1" t="inlineStr">
        <is>
          <t/>
        </is>
      </c>
      <c r="R43" t="inlineStr">
        <is>
          <t>2025-07-312ANK/2526/SLD/SVB/00043001</t>
        </is>
      </c>
      <c r="S43" t="inlineStr">
        <is>
          <t>ANK/2526/SLD/SVB/00043</t>
        </is>
      </c>
      <c r="T43" t="inlineStr">
        <is>
          <t>31-07-2025</t>
        </is>
      </c>
      <c r="U43" t="inlineStr">
        <is>
          <t>3898412.8</t>
        </is>
      </c>
    </row>
    <row r="44">
      <c r="A44" s="1" t="inlineStr">
        <is>
          <t>8c1a1eab-34db-4f50-8dd1-f0029d456470</t>
        </is>
      </c>
      <c r="B44" s="1" t="inlineStr">
        <is>
          <t>272317a6-3e17-325e-9f62-8625bbbb07c3</t>
        </is>
      </c>
      <c r="C44" s="1" t="inlineStr">
        <is>
          <t>TDS Booked by Party</t>
        </is>
      </c>
      <c r="D44" s="1" t="inlineStr">
        <is>
          <t>Multiple Based on Date</t>
        </is>
      </c>
      <c r="E44" s="1" t="inlineStr">
        <is>
          <t>ledger</t>
        </is>
      </c>
      <c r="F44" s="1" t="inlineStr">
        <is>
          <t>21-01-2026</t>
        </is>
      </c>
      <c r="G44" s="1" t="inlineStr">
        <is>
          <t>UTIBR72026012100004817</t>
        </is>
      </c>
      <c r="H44" s="1" t="inlineStr">
        <is>
          <t>payment</t>
        </is>
      </c>
      <c r="I44" s="1" t="inlineStr">
        <is>
          <t>Receipt</t>
        </is>
      </c>
      <c r="J44" s="1"/>
      <c r="K44" s="15" t="n">
        <v>-604396.0</v>
      </c>
      <c r="L44" s="1" t="inlineStr">
        <is>
          <t>PRI-PAY5.2-company</t>
        </is>
      </c>
      <c r="M44" s="1" t="inlineStr">
        <is>
          <t>19-Jun-26 10:16 AM</t>
        </is>
      </c>
      <c r="N44" s="1"/>
      <c r="O44" s="1" t="inlineStr">
        <is>
          <t/>
        </is>
      </c>
      <c r="P44" s="1" t="n">
        <v>0.0</v>
      </c>
      <c r="Q44" s="1" t="inlineStr">
        <is>
          <t/>
        </is>
      </c>
      <c r="R44" t="inlineStr">
        <is>
          <t>2026-01-212ANK/2526/BDR/YB1/00780001</t>
        </is>
      </c>
      <c r="S44" t="inlineStr">
        <is>
          <t>ANK/2526/BDR/YB1/00780</t>
        </is>
      </c>
      <c r="T44" t="inlineStr">
        <is>
          <t>21-01-2026</t>
        </is>
      </c>
      <c r="U44" t="inlineStr">
        <is>
          <t>219998.8</t>
        </is>
      </c>
    </row>
    <row r="45">
      <c r="A45" s="1" t="inlineStr">
        <is>
          <t>90df11c7-89a9-4ada-bf91-5bcbc9c0d2c8</t>
        </is>
      </c>
      <c r="B45" s="1" t="inlineStr">
        <is>
          <t>d844a4c4-df8d-3fb4-a542-9b3262225213</t>
        </is>
      </c>
      <c r="C45" s="1" t="inlineStr">
        <is>
          <t>TDS Booked by Company</t>
        </is>
      </c>
      <c r="D45" s="1" t="inlineStr">
        <is>
          <t>Invoice Number Matched</t>
        </is>
      </c>
      <c r="E45" s="1" t="inlineStr">
        <is>
          <t>ledger</t>
        </is>
      </c>
      <c r="F45" s="1" t="inlineStr">
        <is>
          <t>22-01-2026</t>
        </is>
      </c>
      <c r="G45" s="1" t="inlineStr">
        <is>
          <t xml:space="preserve">ANK2526/GIS00923      </t>
        </is>
      </c>
      <c r="H45" s="1" t="inlineStr">
        <is>
          <t>invoice</t>
        </is>
      </c>
      <c r="I45" s="1" t="inlineStr">
        <is>
          <t>Sale</t>
        </is>
      </c>
      <c r="J45" s="1"/>
      <c r="K45" s="15" t="n">
        <v>3425587.0</v>
      </c>
      <c r="L45" s="1" t="inlineStr">
        <is>
          <t>PRI-INV1.6-company</t>
        </is>
      </c>
      <c r="M45" s="1" t="inlineStr">
        <is>
          <t>19-Jun-26 10:16 AM</t>
        </is>
      </c>
      <c r="N45" s="1"/>
      <c r="O45" s="1" t="inlineStr">
        <is>
          <t/>
        </is>
      </c>
      <c r="P45" s="1" t="n">
        <v>0.0</v>
      </c>
      <c r="Q45" s="1" t="inlineStr">
        <is>
          <t/>
        </is>
      </c>
      <c r="R45" t="inlineStr">
        <is>
          <t>2026-01-222ANK/2526/ISO/SPP/00306001</t>
        </is>
      </c>
      <c r="S45" t="inlineStr">
        <is>
          <t>ANK/2526/ISO/SPP/00306</t>
        </is>
      </c>
      <c r="T45" t="inlineStr">
        <is>
          <t>22-01-2026</t>
        </is>
      </c>
      <c r="U45" t="inlineStr">
        <is>
          <t>6342412</t>
        </is>
      </c>
    </row>
    <row r="46">
      <c r="A46" s="1" t="inlineStr">
        <is>
          <t>95c1917c-7ae0-4de2-b5f4-d43cd30002ab</t>
        </is>
      </c>
      <c r="B46" s="1" t="inlineStr">
        <is>
          <t>272317a6-3e17-325e-9f62-8625bbbb07c3</t>
        </is>
      </c>
      <c r="C46" s="1" t="inlineStr">
        <is>
          <t>TDS Booked by Party</t>
        </is>
      </c>
      <c r="D46" s="1" t="inlineStr">
        <is>
          <t>Multiple Based on Date</t>
        </is>
      </c>
      <c r="E46" s="1" t="inlineStr">
        <is>
          <t>ledger</t>
        </is>
      </c>
      <c r="F46" s="1" t="inlineStr">
        <is>
          <t>21-01-2026</t>
        </is>
      </c>
      <c r="G46" s="1" t="inlineStr">
        <is>
          <t>UTIBR72026012100004816</t>
        </is>
      </c>
      <c r="H46" s="1" t="inlineStr">
        <is>
          <t>payment</t>
        </is>
      </c>
      <c r="I46" s="1" t="inlineStr">
        <is>
          <t>Receipt</t>
        </is>
      </c>
      <c r="J46" s="1"/>
      <c r="K46" s="15" t="n">
        <v>-3402000.0</v>
      </c>
      <c r="L46" s="1" t="inlineStr">
        <is>
          <t>PRI-PAY5.2-company</t>
        </is>
      </c>
      <c r="M46" s="1" t="inlineStr">
        <is>
          <t>19-Jun-26 10:16 AM</t>
        </is>
      </c>
      <c r="N46" s="1"/>
      <c r="O46" s="1" t="inlineStr">
        <is>
          <t/>
        </is>
      </c>
      <c r="P46" s="1" t="n">
        <v>0.0</v>
      </c>
      <c r="Q46" s="1" t="inlineStr">
        <is>
          <t/>
        </is>
      </c>
      <c r="R46" t="inlineStr">
        <is>
          <t>2026-01-212ANK/2526/BDR/YB1/00781001</t>
        </is>
      </c>
      <c r="S46" t="inlineStr">
        <is>
          <t>ANK/2526/BDR/YB1/00781</t>
        </is>
      </c>
      <c r="T46" t="inlineStr">
        <is>
          <t>21-01-2026</t>
        </is>
      </c>
      <c r="U46" t="inlineStr">
        <is>
          <t>2916825</t>
        </is>
      </c>
    </row>
    <row r="47">
      <c r="A47" s="1" t="inlineStr">
        <is>
          <t>9782919a-be50-4cfb-864f-ab41855d5646</t>
        </is>
      </c>
      <c r="B47" s="1" t="inlineStr">
        <is>
          <t>ee43bf8d-99e2-31e1-ad3a-20c1cb03a504</t>
        </is>
      </c>
      <c r="C47" s="1" t="inlineStr">
        <is>
          <t>TDS Booked by Company</t>
        </is>
      </c>
      <c r="D47" s="1" t="inlineStr">
        <is>
          <t>Invoice Number Matched</t>
        </is>
      </c>
      <c r="E47" s="1" t="inlineStr">
        <is>
          <t>ledger</t>
        </is>
      </c>
      <c r="F47" s="1" t="inlineStr">
        <is>
          <t>23-01-2026</t>
        </is>
      </c>
      <c r="G47" s="1" t="inlineStr">
        <is>
          <t xml:space="preserve">ANK2526/GIS00926      </t>
        </is>
      </c>
      <c r="H47" s="1" t="inlineStr">
        <is>
          <t>invoice</t>
        </is>
      </c>
      <c r="I47" s="1" t="inlineStr">
        <is>
          <t>Sale</t>
        </is>
      </c>
      <c r="J47" s="1"/>
      <c r="K47" s="15" t="n">
        <v>1614198.0</v>
      </c>
      <c r="L47" s="1" t="inlineStr">
        <is>
          <t>PRI-INV1.6-company</t>
        </is>
      </c>
      <c r="M47" s="1" t="inlineStr">
        <is>
          <t>19-Jun-26 10:16 AM</t>
        </is>
      </c>
      <c r="N47" s="1"/>
      <c r="O47" s="1" t="inlineStr">
        <is>
          <t/>
        </is>
      </c>
      <c r="P47" s="1" t="n">
        <v>0.0</v>
      </c>
      <c r="Q47" s="1" t="inlineStr">
        <is>
          <t/>
        </is>
      </c>
      <c r="R47" t="inlineStr">
        <is>
          <t>2026-01-232ANK/2526/ISO/SPP/00308001</t>
        </is>
      </c>
      <c r="S47" t="inlineStr">
        <is>
          <t>ANK/2526/ISO/SPP/00308</t>
        </is>
      </c>
      <c r="T47" t="inlineStr">
        <is>
          <t>23-01-2026</t>
        </is>
      </c>
      <c r="U47" t="inlineStr">
        <is>
          <t>7542783</t>
        </is>
      </c>
    </row>
    <row r="48">
      <c r="A48" s="1" t="inlineStr">
        <is>
          <t>9870be35-0fc7-442d-866b-dec7a75ddd57</t>
        </is>
      </c>
      <c r="B48" s="1" t="inlineStr">
        <is>
          <t>b995ec42-83e7-45de-88e3-bb8b492089fb</t>
        </is>
      </c>
      <c r="C48" s="1" t="inlineStr">
        <is>
          <t>TDS Booked by Party</t>
        </is>
      </c>
      <c r="D48" s="1" t="inlineStr">
        <is>
          <t>TDS Booked by Party</t>
        </is>
      </c>
      <c r="E48" s="1" t="inlineStr">
        <is>
          <t>ledger</t>
        </is>
      </c>
      <c r="F48" s="1" t="inlineStr">
        <is>
          <t>31-03-2026</t>
        </is>
      </c>
      <c r="G48" s="1" t="inlineStr">
        <is>
          <t xml:space="preserve">TDS ANK2526/GIS00934  </t>
        </is>
      </c>
      <c r="H48" s="1" t="inlineStr">
        <is>
          <t>tds</t>
        </is>
      </c>
      <c r="I48" s="1" t="inlineStr">
        <is>
          <t>TDS</t>
        </is>
      </c>
      <c r="J48" s="1"/>
      <c r="K48" s="15" t="n">
        <v>-1307.0</v>
      </c>
      <c r="L48" s="1" t="inlineStr">
        <is>
          <t>Pre-P-2.3-party</t>
        </is>
      </c>
      <c r="M48" s="1" t="inlineStr">
        <is>
          <t>19-Jun-26 10:16 AM</t>
        </is>
      </c>
      <c r="N48" s="1"/>
      <c r="O48" s="1" t="inlineStr">
        <is>
          <t/>
        </is>
      </c>
      <c r="P48" s="1" t="n">
        <v>0.0</v>
      </c>
      <c r="Q48" s="1" t="inlineStr">
        <is>
          <t/>
        </is>
      </c>
      <c r="R48" t="inlineStr">
        <is>
          <t>2026-03-312ANK/2526/JVD/GJV/00605002</t>
        </is>
      </c>
      <c r="S48" t="inlineStr">
        <is>
          <t>ANK/2526/JVD/GJV/00605</t>
        </is>
      </c>
      <c r="T48" t="inlineStr">
        <is>
          <t>31-03-2026</t>
        </is>
      </c>
      <c r="U48" t="inlineStr">
        <is>
          <t>6405798.54</t>
        </is>
      </c>
    </row>
    <row r="49">
      <c r="A49" s="1" t="inlineStr">
        <is>
          <t>9a50f4c0-c21a-4aad-960a-713d5c03e0b6</t>
        </is>
      </c>
      <c r="B49" s="1" t="inlineStr">
        <is>
          <t>1991f216-b6cf-4890-8202-8b48ceaa8400</t>
        </is>
      </c>
      <c r="C49" s="1" t="inlineStr">
        <is>
          <t>TDS Booked by Party</t>
        </is>
      </c>
      <c r="D49" s="1" t="inlineStr">
        <is>
          <t>Payment Matched - Recommended</t>
        </is>
      </c>
      <c r="E49" s="1" t="inlineStr">
        <is>
          <t>ledger</t>
        </is>
      </c>
      <c r="F49" s="1" t="inlineStr">
        <is>
          <t>25-09-2025</t>
        </is>
      </c>
      <c r="G49" s="1" t="inlineStr">
        <is>
          <t xml:space="preserve">AXISCN1096036481      </t>
        </is>
      </c>
      <c r="H49" s="1" t="inlineStr">
        <is>
          <t>payment</t>
        </is>
      </c>
      <c r="I49" s="1" t="inlineStr">
        <is>
          <t>Receipt</t>
        </is>
      </c>
      <c r="J49" s="1"/>
      <c r="K49" s="15" t="n">
        <v>-1042715.52</v>
      </c>
      <c r="L49" s="1" t="inlineStr">
        <is>
          <t>SEC-PAY4.1-company</t>
        </is>
      </c>
      <c r="M49" s="1" t="inlineStr">
        <is>
          <t>19-Jun-26 10:16 AM</t>
        </is>
      </c>
      <c r="N49" s="1"/>
      <c r="O49" s="1" t="inlineStr">
        <is>
          <t/>
        </is>
      </c>
      <c r="P49" s="1" t="n">
        <v>0.0</v>
      </c>
      <c r="Q49" s="1" t="inlineStr">
        <is>
          <t/>
        </is>
      </c>
      <c r="R49" t="inlineStr">
        <is>
          <t>2025-09-252ANK/2526/BDR/YB1/00510001</t>
        </is>
      </c>
      <c r="S49" t="inlineStr">
        <is>
          <t>ANK/2526/BDR/YB1/00510</t>
        </is>
      </c>
      <c r="T49" t="inlineStr">
        <is>
          <t>24-09-2025</t>
        </is>
      </c>
      <c r="U49" t="inlineStr">
        <is>
          <t>5542500.4800000004</t>
        </is>
      </c>
    </row>
    <row r="50">
      <c r="A50" s="1" t="inlineStr">
        <is>
          <t>a9c1ac6e-0179-4c48-aa04-92b6534f0220</t>
        </is>
      </c>
      <c r="B50" s="1" t="inlineStr">
        <is>
          <t/>
        </is>
      </c>
      <c r="C50" s="1" t="inlineStr">
        <is>
          <t>Payment not booked by Company</t>
        </is>
      </c>
      <c r="D50" s="1" t="inlineStr">
        <is>
          <t>Unmatched</t>
        </is>
      </c>
      <c r="E50" s="1" t="inlineStr">
        <is>
          <t>ledger</t>
        </is>
      </c>
      <c r="F50" s="1" t="inlineStr">
        <is>
          <t>11-04-2025</t>
        </is>
      </c>
      <c r="G50" s="1" t="inlineStr">
        <is>
          <t>UTIBN62025041155260266</t>
        </is>
      </c>
      <c r="H50" s="1" t="inlineStr">
        <is>
          <t>payment</t>
        </is>
      </c>
      <c r="I50" s="1" t="inlineStr">
        <is>
          <t>Receipt</t>
        </is>
      </c>
      <c r="J50" s="1"/>
      <c r="K50" s="15" t="n">
        <v>-743400.0</v>
      </c>
      <c r="L50" s="1" t="inlineStr">
        <is>
          <t>Post-P-3.2-party</t>
        </is>
      </c>
      <c r="M50" s="1" t="inlineStr">
        <is>
          <t>19-Jun-26 10:16 AM</t>
        </is>
      </c>
      <c r="N50" s="1"/>
      <c r="O50" s="1" t="inlineStr">
        <is>
          <t/>
        </is>
      </c>
      <c r="P50" s="1" t="n">
        <v>0.0</v>
      </c>
      <c r="Q50" s="1" t="inlineStr">
        <is>
          <t/>
        </is>
      </c>
      <c r="R50" t="inlineStr">
        <is>
          <t>2025-04-112ANK/2526/BDR/YB1/00013001</t>
        </is>
      </c>
      <c r="S50" t="inlineStr">
        <is>
          <t>ANK/2526/BDR/YB1/00013</t>
        </is>
      </c>
      <c r="T50" t="inlineStr">
        <is>
          <t>11-04-2025</t>
        </is>
      </c>
      <c r="U50" t="inlineStr">
        <is>
          <t>3842421.44</t>
        </is>
      </c>
    </row>
    <row r="51">
      <c r="A51" s="1" t="inlineStr">
        <is>
          <t>af5535ab-0511-49c1-9292-8a5e1ca4c2b7</t>
        </is>
      </c>
      <c r="B51" s="1" t="inlineStr">
        <is>
          <t>0ea3ba69-0b5b-3e90-be9d-f02df002b4d7</t>
        </is>
      </c>
      <c r="C51" s="1" t="inlineStr">
        <is>
          <t>Reconciled</t>
        </is>
      </c>
      <c r="D51" s="1" t="inlineStr">
        <is>
          <t>Date and Amount Matched</t>
        </is>
      </c>
      <c r="E51" s="1" t="inlineStr">
        <is>
          <t>ledger</t>
        </is>
      </c>
      <c r="F51" s="1" t="inlineStr">
        <is>
          <t>25-07-2025</t>
        </is>
      </c>
      <c r="G51" s="1" t="inlineStr">
        <is>
          <t>UTIBR72025072500076328</t>
        </is>
      </c>
      <c r="H51" s="1" t="inlineStr">
        <is>
          <t>payment</t>
        </is>
      </c>
      <c r="I51" s="1" t="inlineStr">
        <is>
          <t>Receipt</t>
        </is>
      </c>
      <c r="J51" s="1"/>
      <c r="K51" s="15" t="n">
        <v>-3940384.0</v>
      </c>
      <c r="L51" s="1" t="inlineStr">
        <is>
          <t>PRI-PAY10.1-company</t>
        </is>
      </c>
      <c r="M51" s="1" t="inlineStr">
        <is>
          <t>19-Jun-26 10:16 AM</t>
        </is>
      </c>
      <c r="N51" s="1"/>
      <c r="O51" s="1" t="inlineStr">
        <is>
          <t/>
        </is>
      </c>
      <c r="P51" s="1" t="n">
        <v>0.0</v>
      </c>
      <c r="Q51" s="1" t="inlineStr">
        <is>
          <t/>
        </is>
      </c>
      <c r="R51" t="inlineStr">
        <is>
          <t>2025-07-252ANK/2526/BDR/YB1/00331001</t>
        </is>
      </c>
      <c r="S51" t="inlineStr">
        <is>
          <t>ANK/2526/BDR/YB1/00331</t>
        </is>
      </c>
      <c r="T51" t="inlineStr">
        <is>
          <t>25-07-2025</t>
        </is>
      </c>
      <c r="U51" t="inlineStr">
        <is>
          <t>-35188</t>
        </is>
      </c>
    </row>
    <row r="52">
      <c r="A52" s="1" t="inlineStr">
        <is>
          <t>b7683659-9606-4d14-a006-f256e3cdadab</t>
        </is>
      </c>
      <c r="B52" s="1" t="inlineStr">
        <is>
          <t/>
        </is>
      </c>
      <c r="C52" s="1" t="inlineStr">
        <is>
          <t>Payment not booked by Company</t>
        </is>
      </c>
      <c r="D52" s="1" t="inlineStr">
        <is>
          <t>Unmatched</t>
        </is>
      </c>
      <c r="E52" s="1" t="inlineStr">
        <is>
          <t>ledger</t>
        </is>
      </c>
      <c r="F52" s="1" t="inlineStr">
        <is>
          <t>11-04-2025</t>
        </is>
      </c>
      <c r="G52" s="1" t="inlineStr">
        <is>
          <t>UTIBN62025041155258988</t>
        </is>
      </c>
      <c r="H52" s="1" t="inlineStr">
        <is>
          <t>payment</t>
        </is>
      </c>
      <c r="I52" s="1" t="inlineStr">
        <is>
          <t>Receipt</t>
        </is>
      </c>
      <c r="J52" s="1"/>
      <c r="K52" s="15" t="n">
        <v>-938407.68</v>
      </c>
      <c r="L52" s="1" t="inlineStr">
        <is>
          <t>Post-P-3.2-party</t>
        </is>
      </c>
      <c r="M52" s="1" t="inlineStr">
        <is>
          <t>19-Jun-26 10:16 AM</t>
        </is>
      </c>
      <c r="N52" s="1"/>
      <c r="O52" s="1" t="inlineStr">
        <is>
          <t/>
        </is>
      </c>
      <c r="P52" s="1" t="n">
        <v>0.0</v>
      </c>
      <c r="Q52" s="1" t="inlineStr">
        <is>
          <t/>
        </is>
      </c>
      <c r="R52" t="inlineStr">
        <is>
          <t>2025-04-112ANK/2526/BDR/YB1/00012001</t>
        </is>
      </c>
      <c r="S52" t="inlineStr">
        <is>
          <t>ANK/2526/BDR/YB1/00012</t>
        </is>
      </c>
      <c r="T52" t="inlineStr">
        <is>
          <t>11-04-2025</t>
        </is>
      </c>
      <c r="U52" t="inlineStr">
        <is>
          <t>4585821.4400000004</t>
        </is>
      </c>
    </row>
    <row r="53">
      <c r="A53" s="1" t="inlineStr">
        <is>
          <t>b9dcae01-168d-49d8-a84f-53ecc4177168</t>
        </is>
      </c>
      <c r="B53" s="1" t="inlineStr">
        <is>
          <t>b995ec42-83e7-45de-88e3-bb8b492089fb</t>
        </is>
      </c>
      <c r="C53" s="1" t="inlineStr">
        <is>
          <t>TDS Booked by Party</t>
        </is>
      </c>
      <c r="D53" s="1" t="inlineStr">
        <is>
          <t>TDS Booked by Party</t>
        </is>
      </c>
      <c r="E53" s="1" t="inlineStr">
        <is>
          <t>ledger</t>
        </is>
      </c>
      <c r="F53" s="1" t="inlineStr">
        <is>
          <t>31-03-2026</t>
        </is>
      </c>
      <c r="G53" s="1" t="inlineStr">
        <is>
          <t xml:space="preserve">TDS ANK2526/GIS00923  </t>
        </is>
      </c>
      <c r="H53" s="1" t="inlineStr">
        <is>
          <t>tds</t>
        </is>
      </c>
      <c r="I53" s="1" t="inlineStr">
        <is>
          <t>TDS</t>
        </is>
      </c>
      <c r="J53" s="1"/>
      <c r="K53" s="15" t="n">
        <v>-3262.46</v>
      </c>
      <c r="L53" s="1" t="inlineStr">
        <is>
          <t>Pre-P-2.3-party</t>
        </is>
      </c>
      <c r="M53" s="1" t="inlineStr">
        <is>
          <t>19-Jun-26 10:16 AM</t>
        </is>
      </c>
      <c r="N53" s="1"/>
      <c r="O53" s="1" t="inlineStr">
        <is>
          <t/>
        </is>
      </c>
      <c r="P53" s="1" t="n">
        <v>0.0</v>
      </c>
      <c r="Q53" s="1" t="inlineStr">
        <is>
          <t/>
        </is>
      </c>
      <c r="R53" t="inlineStr">
        <is>
          <t>2026-03-312ANK/2526/JVD/GJV/00603002</t>
        </is>
      </c>
      <c r="S53" t="inlineStr">
        <is>
          <t>ANK/2526/JVD/GJV/00603</t>
        </is>
      </c>
      <c r="T53" t="inlineStr">
        <is>
          <t>31-03-2026</t>
        </is>
      </c>
      <c r="U53" t="inlineStr">
        <is>
          <t>6408642.54</t>
        </is>
      </c>
    </row>
    <row r="54">
      <c r="A54" s="1" t="inlineStr">
        <is>
          <t>c0ac7d01-7b9c-40c6-abca-c0fdf6d3a1c1</t>
        </is>
      </c>
      <c r="B54" s="1" t="inlineStr">
        <is>
          <t>1395c5ae-873f-3f8b-ae53-ab71616636e5</t>
        </is>
      </c>
      <c r="C54" s="1" t="inlineStr">
        <is>
          <t>TDS Booked by Party</t>
        </is>
      </c>
      <c r="D54" s="1" t="inlineStr">
        <is>
          <t>Multiple Based on Date</t>
        </is>
      </c>
      <c r="E54" s="1" t="inlineStr">
        <is>
          <t>ledger</t>
        </is>
      </c>
      <c r="F54" s="1" t="inlineStr">
        <is>
          <t>08-10-2025</t>
        </is>
      </c>
      <c r="G54" s="1" t="inlineStr">
        <is>
          <t xml:space="preserve">AXISCN1112025593      </t>
        </is>
      </c>
      <c r="H54" s="1" t="inlineStr">
        <is>
          <t>payment</t>
        </is>
      </c>
      <c r="I54" s="1" t="inlineStr">
        <is>
          <t>Receipt</t>
        </is>
      </c>
      <c r="J54" s="1"/>
      <c r="K54" s="15" t="n">
        <v>-101556.0</v>
      </c>
      <c r="L54" s="1" t="inlineStr">
        <is>
          <t>PRI-PAY5.2-company</t>
        </is>
      </c>
      <c r="M54" s="1" t="inlineStr">
        <is>
          <t>19-Jun-26 10:16 AM</t>
        </is>
      </c>
      <c r="N54" s="1"/>
      <c r="O54" s="1" t="inlineStr">
        <is>
          <t/>
        </is>
      </c>
      <c r="P54" s="1" t="n">
        <v>0.0</v>
      </c>
      <c r="Q54" s="1" t="inlineStr">
        <is>
          <t/>
        </is>
      </c>
      <c r="R54" t="inlineStr">
        <is>
          <t>2025-10-082ANK/2526/BDR/YB1/00548001</t>
        </is>
      </c>
      <c r="S54" t="inlineStr">
        <is>
          <t>ANK/2526/BDR/YB1/00548</t>
        </is>
      </c>
      <c r="T54" t="inlineStr">
        <is>
          <t>08-10-2025</t>
        </is>
      </c>
      <c r="U54" t="inlineStr">
        <is>
          <t>4583554.88</t>
        </is>
      </c>
    </row>
    <row r="55">
      <c r="A55" s="1" t="inlineStr">
        <is>
          <t>c3e2afb1-e631-4f35-9c16-28866885aed8</t>
        </is>
      </c>
      <c r="B55" s="1" t="inlineStr">
        <is>
          <t>30c02a2c-73e5-4135-843c-26b6c22ef8ec</t>
        </is>
      </c>
      <c r="C55" s="1" t="inlineStr">
        <is>
          <t>TDS Booked by Party</t>
        </is>
      </c>
      <c r="D55" s="1" t="inlineStr">
        <is>
          <t>Multiple Based on Invoice Number and Date Range</t>
        </is>
      </c>
      <c r="E55" s="1" t="inlineStr">
        <is>
          <t>ledger</t>
        </is>
      </c>
      <c r="F55" s="1" t="inlineStr">
        <is>
          <t>30-05-2025</t>
        </is>
      </c>
      <c r="G55" s="1" t="inlineStr">
        <is>
          <t xml:space="preserve">AXISCN0983739555      </t>
        </is>
      </c>
      <c r="H55" s="1" t="inlineStr">
        <is>
          <t>payment</t>
        </is>
      </c>
      <c r="I55" s="1" t="inlineStr">
        <is>
          <t>Receipt</t>
        </is>
      </c>
      <c r="J55" s="1"/>
      <c r="K55" s="15" t="n">
        <v>-624.96</v>
      </c>
      <c r="L55" s="1" t="inlineStr">
        <is>
          <t>PRI-PAY13.1-company</t>
        </is>
      </c>
      <c r="M55" s="1" t="inlineStr">
        <is>
          <t>19-Jun-26 10:16 AM</t>
        </is>
      </c>
      <c r="N55" s="1"/>
      <c r="O55" s="1" t="inlineStr">
        <is>
          <t/>
        </is>
      </c>
      <c r="P55" s="1" t="n">
        <v>0.0</v>
      </c>
      <c r="Q55" s="1" t="inlineStr">
        <is>
          <t/>
        </is>
      </c>
      <c r="R55" t="inlineStr">
        <is>
          <t>2025-05-302ANK/2526/BDR/YB1/00146001</t>
        </is>
      </c>
      <c r="S55" t="inlineStr">
        <is>
          <t>ANK/2526/BDR/YB1/00146</t>
        </is>
      </c>
      <c r="T55" t="inlineStr">
        <is>
          <t>30-05-2025</t>
        </is>
      </c>
      <c r="U55" t="inlineStr">
        <is>
          <t>1919547.6</t>
        </is>
      </c>
    </row>
    <row r="56">
      <c r="A56" s="1" t="inlineStr">
        <is>
          <t>c81bf6c0-b64d-488b-bee6-59e4ad1faaec</t>
        </is>
      </c>
      <c r="B56" s="1" t="inlineStr">
        <is>
          <t>9286c9af-9bb2-3567-b2b7-fdf0c45b4115</t>
        </is>
      </c>
      <c r="C56" s="1" t="inlineStr">
        <is>
          <t>TDS Booked by Party</t>
        </is>
      </c>
      <c r="D56" s="1" t="inlineStr">
        <is>
          <t>Multiple Based on Invoice Number</t>
        </is>
      </c>
      <c r="E56" s="1" t="inlineStr">
        <is>
          <t>ledger</t>
        </is>
      </c>
      <c r="F56" s="1" t="inlineStr">
        <is>
          <t>14-01-2026</t>
        </is>
      </c>
      <c r="G56" s="1" t="inlineStr">
        <is>
          <t>UTIBR72026011400000543</t>
        </is>
      </c>
      <c r="H56" s="1" t="inlineStr">
        <is>
          <t>payment</t>
        </is>
      </c>
      <c r="I56" s="1" t="inlineStr">
        <is>
          <t>Receipt</t>
        </is>
      </c>
      <c r="J56" s="1"/>
      <c r="K56" s="15" t="n">
        <v>-232460.0</v>
      </c>
      <c r="L56" s="1" t="inlineStr">
        <is>
          <t>PRI-PAY5.1-company</t>
        </is>
      </c>
      <c r="M56" s="1" t="inlineStr">
        <is>
          <t>19-Jun-26 10:16 AM</t>
        </is>
      </c>
      <c r="N56" s="1"/>
      <c r="O56" s="1" t="inlineStr">
        <is>
          <t/>
        </is>
      </c>
      <c r="P56" s="1" t="n">
        <v>0.0</v>
      </c>
      <c r="Q56" s="1" t="inlineStr">
        <is>
          <t/>
        </is>
      </c>
      <c r="R56" t="inlineStr">
        <is>
          <t>2026-01-142ANK/2526/BDR/YB1/00763001</t>
        </is>
      </c>
      <c r="S56" t="inlineStr">
        <is>
          <t>ANK/2526/BDR/YB1/00763</t>
        </is>
      </c>
      <c r="T56" t="inlineStr">
        <is>
          <t>14-01-2026</t>
        </is>
      </c>
      <c r="U56" t="inlineStr">
        <is>
          <t>824394.8</t>
        </is>
      </c>
    </row>
    <row r="57">
      <c r="A57" s="1" t="inlineStr">
        <is>
          <t>d151a706-c557-4177-ace4-ad6f0c530f1d</t>
        </is>
      </c>
      <c r="B57" s="1" t="inlineStr">
        <is>
          <t>7f4b4023-d438-3660-b28b-f92d110c9b33</t>
        </is>
      </c>
      <c r="C57" s="1" t="inlineStr">
        <is>
          <t>TDS Booked by Company</t>
        </is>
      </c>
      <c r="D57" s="1" t="inlineStr">
        <is>
          <t>Invoice Number Matched</t>
        </is>
      </c>
      <c r="E57" s="1" t="inlineStr">
        <is>
          <t>ledger</t>
        </is>
      </c>
      <c r="F57" s="1" t="inlineStr">
        <is>
          <t>19-07-2025</t>
        </is>
      </c>
      <c r="G57" s="1" t="inlineStr">
        <is>
          <t xml:space="preserve">ANK2526/SER00034      </t>
        </is>
      </c>
      <c r="H57" s="1" t="inlineStr">
        <is>
          <t>invoice</t>
        </is>
      </c>
      <c r="I57" s="1" t="inlineStr">
        <is>
          <t>Other</t>
        </is>
      </c>
      <c r="J57" s="1"/>
      <c r="K57" s="15" t="n">
        <v>571737.6</v>
      </c>
      <c r="L57" s="1" t="inlineStr">
        <is>
          <t>PRI-INV1.6-company</t>
        </is>
      </c>
      <c r="M57" s="1" t="inlineStr">
        <is>
          <t>19-Jun-26 10:16 AM</t>
        </is>
      </c>
      <c r="N57" s="1"/>
      <c r="O57" s="1" t="inlineStr">
        <is>
          <t/>
        </is>
      </c>
      <c r="P57" s="1" t="n">
        <v>0.0</v>
      </c>
      <c r="Q57" s="1" t="inlineStr">
        <is>
          <t/>
        </is>
      </c>
      <c r="R57" t="inlineStr">
        <is>
          <t>2025-07-192ANK/2526/SLD/SVB/00034001</t>
        </is>
      </c>
      <c r="S57" t="inlineStr">
        <is>
          <t>ANK/2526/SLD/SVB/00034</t>
        </is>
      </c>
      <c r="T57" t="inlineStr">
        <is>
          <t>19-07-2025</t>
        </is>
      </c>
      <c r="U57" t="inlineStr">
        <is>
          <t>2684904.48</t>
        </is>
      </c>
    </row>
    <row r="58">
      <c r="A58" s="1" t="inlineStr">
        <is>
          <t>d1d4383f-e165-4af5-886e-e48c124cc044</t>
        </is>
      </c>
      <c r="B58" s="1" t="inlineStr">
        <is>
          <t>c873a8dd-4fbf-3f48-98a8-4474546891b4</t>
        </is>
      </c>
      <c r="C58" s="1" t="inlineStr">
        <is>
          <t>TDS Booked by Company</t>
        </is>
      </c>
      <c r="D58" s="1" t="inlineStr">
        <is>
          <t>Invoice Number Matched</t>
        </is>
      </c>
      <c r="E58" s="1" t="inlineStr">
        <is>
          <t>ledger</t>
        </is>
      </c>
      <c r="F58" s="1" t="inlineStr">
        <is>
          <t>31-08-2025</t>
        </is>
      </c>
      <c r="G58" s="1" t="inlineStr">
        <is>
          <t xml:space="preserve">ANK2526/GIS00545      </t>
        </is>
      </c>
      <c r="H58" s="1" t="inlineStr">
        <is>
          <t>invoice</t>
        </is>
      </c>
      <c r="I58" s="1" t="inlineStr">
        <is>
          <t>Sale</t>
        </is>
      </c>
      <c r="J58" s="1"/>
      <c r="K58" s="15" t="n">
        <v>3920000.0</v>
      </c>
      <c r="L58" s="1" t="inlineStr">
        <is>
          <t>PRI-INV1.6-company</t>
        </is>
      </c>
      <c r="M58" s="1" t="inlineStr">
        <is>
          <t>19-Jun-26 10:16 AM</t>
        </is>
      </c>
      <c r="N58" s="1"/>
      <c r="O58" s="1" t="inlineStr">
        <is>
          <t/>
        </is>
      </c>
      <c r="P58" s="1" t="n">
        <v>0.0</v>
      </c>
      <c r="Q58" s="1" t="inlineStr">
        <is>
          <t/>
        </is>
      </c>
      <c r="R58" t="inlineStr">
        <is>
          <t>2025-08-312ANK/2526/ISO/SPP/00174001</t>
        </is>
      </c>
      <c r="S58" t="inlineStr">
        <is>
          <t>ANK/2526/ISO/SPP/00174</t>
        </is>
      </c>
      <c r="T58" t="inlineStr">
        <is>
          <t>31-08-2025</t>
        </is>
      </c>
      <c r="U58" t="inlineStr">
        <is>
          <t>3894560</t>
        </is>
      </c>
    </row>
    <row r="59">
      <c r="A59" s="1" t="inlineStr">
        <is>
          <t>d7ed3f6c-6931-4855-85b0-e1359d7f45cc</t>
        </is>
      </c>
      <c r="B59" s="1" t="inlineStr">
        <is>
          <t>2f904425-1935-38d4-b518-fd53aca1c625</t>
        </is>
      </c>
      <c r="C59" s="1" t="inlineStr">
        <is>
          <t>TDS Booked by Company</t>
        </is>
      </c>
      <c r="D59" s="1" t="inlineStr">
        <is>
          <t>Invoice Number Matched</t>
        </is>
      </c>
      <c r="E59" s="1" t="inlineStr">
        <is>
          <t>ledger</t>
        </is>
      </c>
      <c r="F59" s="1" t="inlineStr">
        <is>
          <t>26-06-2025</t>
        </is>
      </c>
      <c r="G59" s="1" t="inlineStr">
        <is>
          <t xml:space="preserve">ANK2526/SER00025      </t>
        </is>
      </c>
      <c r="H59" s="1" t="inlineStr">
        <is>
          <t>invoice</t>
        </is>
      </c>
      <c r="I59" s="1" t="inlineStr">
        <is>
          <t>Other</t>
        </is>
      </c>
      <c r="J59" s="1"/>
      <c r="K59" s="15" t="n">
        <v>518112.0</v>
      </c>
      <c r="L59" s="1" t="inlineStr">
        <is>
          <t>PRI-INV1.6-company</t>
        </is>
      </c>
      <c r="M59" s="1" t="inlineStr">
        <is>
          <t>19-Jun-26 10:16 AM</t>
        </is>
      </c>
      <c r="N59" s="1"/>
      <c r="O59" s="1" t="inlineStr">
        <is>
          <t/>
        </is>
      </c>
      <c r="P59" s="1" t="n">
        <v>0.0</v>
      </c>
      <c r="Q59" s="1" t="inlineStr">
        <is>
          <t/>
        </is>
      </c>
      <c r="R59" t="inlineStr">
        <is>
          <t>2025-06-262ANK/2526/SLD/SVB/00025001</t>
        </is>
      </c>
      <c r="S59" t="inlineStr">
        <is>
          <t>ANK/2526/SLD/SVB/00025</t>
        </is>
      </c>
      <c r="T59" t="inlineStr">
        <is>
          <t>26-06-2025</t>
        </is>
      </c>
      <c r="U59" t="inlineStr">
        <is>
          <t>543426</t>
        </is>
      </c>
    </row>
    <row r="60">
      <c r="A60" s="1" t="inlineStr">
        <is>
          <t>df1331d7-652e-411d-9518-195aafb24082</t>
        </is>
      </c>
      <c r="B60" s="1" t="inlineStr">
        <is>
          <t>b995ec42-83e7-45de-88e3-bb8b492089fb</t>
        </is>
      </c>
      <c r="C60" s="1" t="inlineStr">
        <is>
          <t>TDS Booked by Party</t>
        </is>
      </c>
      <c r="D60" s="1" t="inlineStr">
        <is>
          <t>TDS Booked by Party</t>
        </is>
      </c>
      <c r="E60" s="1" t="inlineStr">
        <is>
          <t>ledger</t>
        </is>
      </c>
      <c r="F60" s="1" t="inlineStr">
        <is>
          <t>31-03-2026</t>
        </is>
      </c>
      <c r="G60" s="1" t="inlineStr">
        <is>
          <t xml:space="preserve">TDS DEDUCTED          </t>
        </is>
      </c>
      <c r="H60" s="1" t="inlineStr">
        <is>
          <t>tds</t>
        </is>
      </c>
      <c r="I60" s="1" t="inlineStr">
        <is>
          <t>TDS</t>
        </is>
      </c>
      <c r="J60" s="1"/>
      <c r="K60" s="15" t="n">
        <v>-8458.0</v>
      </c>
      <c r="L60" s="1" t="inlineStr">
        <is>
          <t>Pre-P-2.3-party</t>
        </is>
      </c>
      <c r="M60" s="1" t="inlineStr">
        <is>
          <t>19-Jun-26 10:16 AM</t>
        </is>
      </c>
      <c r="N60" s="1"/>
      <c r="O60" s="1" t="inlineStr">
        <is>
          <t/>
        </is>
      </c>
      <c r="P60" s="1" t="n">
        <v>0.0</v>
      </c>
      <c r="Q60" s="1" t="inlineStr">
        <is>
          <t/>
        </is>
      </c>
      <c r="R60" t="inlineStr">
        <is>
          <t>2026-03-312ANK/2526/JVD/GJV/00609002</t>
        </is>
      </c>
      <c r="S60" t="inlineStr">
        <is>
          <t>ANK/2526/JVD/GJV/00609</t>
        </is>
      </c>
      <c r="T60" t="inlineStr">
        <is>
          <t>31-03-2026</t>
        </is>
      </c>
      <c r="U60" t="inlineStr">
        <is>
          <t>3321405.8</t>
        </is>
      </c>
    </row>
    <row r="61">
      <c r="A61" s="1" t="inlineStr">
        <is>
          <t>dfa78401-46da-4c19-8814-55f73efb5a9d</t>
        </is>
      </c>
      <c r="B61" s="1" t="inlineStr">
        <is>
          <t>3a6a07f5-c8d0-3111-8209-202a899a258e</t>
        </is>
      </c>
      <c r="C61" s="1" t="inlineStr">
        <is>
          <t>TDS Booked by Party</t>
        </is>
      </c>
      <c r="D61" s="1" t="inlineStr">
        <is>
          <t>Date and Amount Matched - Recommended</t>
        </is>
      </c>
      <c r="E61" s="1" t="inlineStr">
        <is>
          <t>ledger</t>
        </is>
      </c>
      <c r="F61" s="1" t="inlineStr">
        <is>
          <t>12-02-2026</t>
        </is>
      </c>
      <c r="G61" s="1" t="inlineStr">
        <is>
          <t>UTIBR72026021200092359</t>
        </is>
      </c>
      <c r="H61" s="1" t="inlineStr">
        <is>
          <t>payment</t>
        </is>
      </c>
      <c r="I61" s="1" t="inlineStr">
        <is>
          <t>Receipt</t>
        </is>
      </c>
      <c r="J61" s="1"/>
      <c r="K61" s="15" t="n">
        <v>-1668039.0</v>
      </c>
      <c r="L61" s="1" t="inlineStr">
        <is>
          <t>SEC-PAY3.1-company</t>
        </is>
      </c>
      <c r="M61" s="1" t="inlineStr">
        <is>
          <t>19-Jun-26 10:16 AM</t>
        </is>
      </c>
      <c r="N61" s="1"/>
      <c r="O61" s="1" t="inlineStr">
        <is>
          <t/>
        </is>
      </c>
      <c r="P61" s="1" t="n">
        <v>0.0</v>
      </c>
      <c r="Q61" s="1" t="inlineStr">
        <is>
          <t/>
        </is>
      </c>
      <c r="R61" t="inlineStr">
        <is>
          <t>2026-02-122ANK/2526/BDR/YB1/00839001</t>
        </is>
      </c>
      <c r="S61" t="inlineStr">
        <is>
          <t>ANK/2526/BDR/YB1/00839</t>
        </is>
      </c>
      <c r="T61" t="inlineStr">
        <is>
          <t>12-02-2026</t>
        </is>
      </c>
      <c r="U61" t="inlineStr">
        <is>
          <t>6411905</t>
        </is>
      </c>
    </row>
    <row r="62">
      <c r="A62" s="1" t="inlineStr">
        <is>
          <t>e052f7df-7a34-409c-820d-426b4b035581</t>
        </is>
      </c>
      <c r="B62" s="1" t="inlineStr">
        <is>
          <t>1395c5ae-873f-3f8b-ae53-ab71616636e5</t>
        </is>
      </c>
      <c r="C62" s="1" t="inlineStr">
        <is>
          <t>TDS Booked by Party</t>
        </is>
      </c>
      <c r="D62" s="1" t="inlineStr">
        <is>
          <t>Multiple Based on Date</t>
        </is>
      </c>
      <c r="E62" s="1" t="inlineStr">
        <is>
          <t>ledger</t>
        </is>
      </c>
      <c r="F62" s="1" t="inlineStr">
        <is>
          <t>08-10-2025</t>
        </is>
      </c>
      <c r="G62" s="1" t="inlineStr">
        <is>
          <t xml:space="preserve">AXISCN1112157656      </t>
        </is>
      </c>
      <c r="H62" s="1" t="inlineStr">
        <is>
          <t>payment</t>
        </is>
      </c>
      <c r="I62" s="1" t="inlineStr">
        <is>
          <t>Receipt</t>
        </is>
      </c>
      <c r="J62" s="1"/>
      <c r="K62" s="15" t="n">
        <v>-817740.0</v>
      </c>
      <c r="L62" s="1" t="inlineStr">
        <is>
          <t>PRI-PAY5.2-company</t>
        </is>
      </c>
      <c r="M62" s="1" t="inlineStr">
        <is>
          <t>19-Jun-26 10:16 AM</t>
        </is>
      </c>
      <c r="N62" s="1"/>
      <c r="O62" s="1" t="inlineStr">
        <is>
          <t/>
        </is>
      </c>
      <c r="P62" s="1" t="n">
        <v>0.0</v>
      </c>
      <c r="Q62" s="1" t="inlineStr">
        <is>
          <t/>
        </is>
      </c>
      <c r="R62" t="inlineStr">
        <is>
          <t>2025-10-082ANK/2526/BDR/YB1/00574001</t>
        </is>
      </c>
      <c r="S62" t="inlineStr">
        <is>
          <t>ANK/2526/BDR/YB1/00574</t>
        </is>
      </c>
      <c r="T62" t="inlineStr">
        <is>
          <t>30-12-1899</t>
        </is>
      </c>
      <c r="U62" t="inlineStr">
        <is>
          <t>3506922.88</t>
        </is>
      </c>
    </row>
    <row r="63">
      <c r="A63" s="1" t="inlineStr">
        <is>
          <t>e13ee45f-1714-42a1-8a12-427f9993b620</t>
        </is>
      </c>
      <c r="B63" s="1" t="inlineStr">
        <is>
          <t/>
        </is>
      </c>
      <c r="C63" s="1" t="inlineStr">
        <is>
          <t>Credit Note not booked by Company</t>
        </is>
      </c>
      <c r="D63" s="1" t="inlineStr">
        <is>
          <t>Unmatched</t>
        </is>
      </c>
      <c r="E63" s="1" t="inlineStr">
        <is>
          <t>ledger</t>
        </is>
      </c>
      <c r="F63" s="1" t="inlineStr">
        <is>
          <t>13-12-2025</t>
        </is>
      </c>
      <c r="G63" s="1" t="inlineStr">
        <is>
          <t xml:space="preserve">ANK2526/DBN00009      </t>
        </is>
      </c>
      <c r="H63" s="1" t="inlineStr">
        <is>
          <t>creditNote</t>
        </is>
      </c>
      <c r="I63" s="1" t="inlineStr">
        <is>
          <t>CN</t>
        </is>
      </c>
      <c r="J63" s="1"/>
      <c r="K63" s="15" t="n">
        <v>215822.0</v>
      </c>
      <c r="L63" s="1" t="inlineStr">
        <is>
          <t>Post-P-3.4-party</t>
        </is>
      </c>
      <c r="M63" s="1" t="inlineStr">
        <is>
          <t>19-Jun-26 10:16 AM</t>
        </is>
      </c>
      <c r="N63" s="1"/>
      <c r="O63" s="1" t="inlineStr">
        <is>
          <t/>
        </is>
      </c>
      <c r="P63" s="1" t="n">
        <v>0.0</v>
      </c>
      <c r="Q63" s="1" t="inlineStr">
        <is>
          <t/>
        </is>
      </c>
      <c r="R63" t="inlineStr">
        <is>
          <t>2025-12-132ANK/2526/SDC/SD1/00008001</t>
        </is>
      </c>
      <c r="S63" t="inlineStr">
        <is>
          <t>ANK/2526/SDC/SD1/00008</t>
        </is>
      </c>
      <c r="T63" t="inlineStr">
        <is>
          <t>13-12-2025</t>
        </is>
      </c>
      <c r="U63" t="inlineStr">
        <is>
          <t>1056854.8</t>
        </is>
      </c>
    </row>
    <row r="64">
      <c r="A64" s="1" t="inlineStr">
        <is>
          <t>e1e53cff-685a-4cba-9676-0a1d0e3aa863</t>
        </is>
      </c>
      <c r="B64" s="1" t="inlineStr">
        <is>
          <t/>
        </is>
      </c>
      <c r="C64" s="1" t="inlineStr">
        <is>
          <t>Closing Balance as per Party</t>
        </is>
      </c>
      <c r="D64" s="1" t="inlineStr">
        <is>
          <t>Closing Balance</t>
        </is>
      </c>
      <c r="E64" s="1" t="inlineStr">
        <is>
          <t>ledger</t>
        </is>
      </c>
      <c r="F64" s="1"/>
      <c r="G64" s="1"/>
      <c r="H64" s="1" t="inlineStr">
        <is>
          <t>closingBalance</t>
        </is>
      </c>
      <c r="I64" s="1" t="inlineStr">
        <is>
          <t>Closing</t>
        </is>
      </c>
      <c r="J64" s="1"/>
      <c r="K64" s="15" t="n">
        <v>6242052.780000001</v>
      </c>
      <c r="L64" s="1" t="inlineStr">
        <is>
          <t/>
        </is>
      </c>
      <c r="M64" s="1" t="inlineStr">
        <is>
          <t>19-Jun-26 10:16 AM</t>
        </is>
      </c>
      <c r="N64" s="1"/>
      <c r="O64" s="1" t="inlineStr">
        <is>
          <t/>
        </is>
      </c>
      <c r="P64" s="1" t="n">
        <v>0.0</v>
      </c>
      <c r="Q64" s="1" t="inlineStr">
        <is>
          <t/>
        </is>
      </c>
      <c r="R64" t="inlineStr">
        <is>
          <t>Closing</t>
        </is>
      </c>
      <c r="S64" t="inlineStr">
        <is>
          <t>Closing</t>
        </is>
      </c>
      <c r="T64" t="inlineStr">
        <is>
          <t/>
        </is>
      </c>
    </row>
    <row r="65">
      <c r="A65" s="1" t="inlineStr">
        <is>
          <t>e2f002de-023e-4431-af63-6f673f3fc3cb</t>
        </is>
      </c>
      <c r="B65" s="1" t="inlineStr">
        <is>
          <t>61a89e37-90ac-4087-8224-63e799811c06</t>
        </is>
      </c>
      <c r="C65" s="1" t="inlineStr">
        <is>
          <t>TDS Booked by Party</t>
        </is>
      </c>
      <c r="D65" s="1" t="inlineStr">
        <is>
          <t>Payment Matched - Recommended</t>
        </is>
      </c>
      <c r="E65" s="1" t="inlineStr">
        <is>
          <t>ledger</t>
        </is>
      </c>
      <c r="F65" s="1" t="inlineStr">
        <is>
          <t>18-10-2025</t>
        </is>
      </c>
      <c r="G65" s="1" t="inlineStr">
        <is>
          <t xml:space="preserve">AXISCN1122982304      </t>
        </is>
      </c>
      <c r="H65" s="1" t="inlineStr">
        <is>
          <t>payment</t>
        </is>
      </c>
      <c r="I65" s="1" t="inlineStr">
        <is>
          <t>Receipt</t>
        </is>
      </c>
      <c r="J65" s="1"/>
      <c r="K65" s="15" t="n">
        <v>-3920000.0</v>
      </c>
      <c r="L65" s="1" t="inlineStr">
        <is>
          <t>SEC-PAY4.1-company</t>
        </is>
      </c>
      <c r="M65" s="1" t="inlineStr">
        <is>
          <t>19-Jun-26 10:16 AM</t>
        </is>
      </c>
      <c r="N65" s="1"/>
      <c r="O65" s="1" t="inlineStr">
        <is>
          <t/>
        </is>
      </c>
      <c r="P65" s="1" t="n">
        <v>0.0</v>
      </c>
      <c r="Q65" s="1" t="inlineStr">
        <is>
          <t/>
        </is>
      </c>
      <c r="R65" t="inlineStr">
        <is>
          <t>2025-10-182ANK/2526/BDR/YB1/00563001</t>
        </is>
      </c>
      <c r="S65" t="inlineStr">
        <is>
          <t>ANK/2526/BDR/YB1/00563</t>
        </is>
      </c>
      <c r="T65" t="inlineStr">
        <is>
          <t>18-10-2025</t>
        </is>
      </c>
      <c r="U65" t="inlineStr">
        <is>
          <t>0</t>
        </is>
      </c>
    </row>
    <row r="66">
      <c r="A66" s="1" t="inlineStr">
        <is>
          <t>e95e28a5-d3f0-4f82-9ff8-0b8b5698664d</t>
        </is>
      </c>
      <c r="B66" s="1" t="inlineStr">
        <is>
          <t>60345083-22dc-399c-9caf-fadd92d4175f</t>
        </is>
      </c>
      <c r="C66" s="1" t="inlineStr">
        <is>
          <t>TDS Booked by Party</t>
        </is>
      </c>
      <c r="D66" s="1" t="inlineStr">
        <is>
          <t>Date and Amount Matched - Recommended</t>
        </is>
      </c>
      <c r="E66" s="1" t="inlineStr">
        <is>
          <t>ledger</t>
        </is>
      </c>
      <c r="F66" s="1" t="inlineStr">
        <is>
          <t>10-10-2025</t>
        </is>
      </c>
      <c r="G66" s="1" t="inlineStr">
        <is>
          <t xml:space="preserve">AXISCN1114230662      </t>
        </is>
      </c>
      <c r="H66" s="1" t="inlineStr">
        <is>
          <t>payment</t>
        </is>
      </c>
      <c r="I66" s="1" t="inlineStr">
        <is>
          <t>Receipt</t>
        </is>
      </c>
      <c r="J66" s="1"/>
      <c r="K66" s="15" t="n">
        <v>-2505646.08</v>
      </c>
      <c r="L66" s="1" t="inlineStr">
        <is>
          <t>SEC-PAY3.1-company</t>
        </is>
      </c>
      <c r="M66" s="1" t="inlineStr">
        <is>
          <t>19-Jun-26 10:16 AM</t>
        </is>
      </c>
      <c r="N66" s="1"/>
      <c r="O66" s="1" t="inlineStr">
        <is>
          <t/>
        </is>
      </c>
      <c r="P66" s="1" t="n">
        <v>0.0</v>
      </c>
      <c r="Q66" s="1" t="inlineStr">
        <is>
          <t/>
        </is>
      </c>
      <c r="R66" t="inlineStr">
        <is>
          <t>2025-10-102ANK/2526/BDR/YB1/00554001</t>
        </is>
      </c>
      <c r="S66" t="inlineStr">
        <is>
          <t>ANK/2526/BDR/YB1/00554</t>
        </is>
      </c>
      <c r="T66" t="inlineStr">
        <is>
          <t>10-10-2025</t>
        </is>
      </c>
      <c r="U66" t="inlineStr">
        <is>
          <t>1001276.8</t>
        </is>
      </c>
    </row>
    <row r="67">
      <c r="A67" s="1" t="inlineStr">
        <is>
          <t>ee94a38b-95f5-497b-9848-3949e3dc4007</t>
        </is>
      </c>
      <c r="B67" s="1" t="inlineStr">
        <is>
          <t>cc26e4c9-ecf9-33ca-a270-2d0bb50578bc</t>
        </is>
      </c>
      <c r="C67" s="1" t="inlineStr">
        <is>
          <t>TDS Booked by Company</t>
        </is>
      </c>
      <c r="D67" s="1" t="inlineStr">
        <is>
          <t>Invoice Number Matched</t>
        </is>
      </c>
      <c r="E67" s="1" t="inlineStr">
        <is>
          <t>ledger</t>
        </is>
      </c>
      <c r="F67" s="1" t="inlineStr">
        <is>
          <t>21-08-2025</t>
        </is>
      </c>
      <c r="G67" s="1" t="inlineStr">
        <is>
          <t xml:space="preserve">ANK2526/SER00050      </t>
        </is>
      </c>
      <c r="H67" s="1" t="inlineStr">
        <is>
          <t>invoice</t>
        </is>
      </c>
      <c r="I67" s="1" t="inlineStr">
        <is>
          <t>Other</t>
        </is>
      </c>
      <c r="J67" s="1"/>
      <c r="K67" s="15" t="n">
        <v>2505646.08</v>
      </c>
      <c r="L67" s="1" t="inlineStr">
        <is>
          <t>PRI-INV1.6-company</t>
        </is>
      </c>
      <c r="M67" s="1" t="inlineStr">
        <is>
          <t>19-Jun-26 10:16 AM</t>
        </is>
      </c>
      <c r="N67" s="1"/>
      <c r="O67" s="1" t="inlineStr">
        <is>
          <t/>
        </is>
      </c>
      <c r="P67" s="1" t="n">
        <v>0.0</v>
      </c>
      <c r="Q67" s="1" t="inlineStr">
        <is>
          <t/>
        </is>
      </c>
      <c r="R67" t="inlineStr">
        <is>
          <t>2025-08-212ANK/2526/SLD/SVB/00050001</t>
        </is>
      </c>
      <c r="S67" t="inlineStr">
        <is>
          <t>ANK/2526/SLD/SVB/00050</t>
        </is>
      </c>
      <c r="T67" t="inlineStr">
        <is>
          <t>21-08-2025</t>
        </is>
      </c>
      <c r="U67" t="inlineStr">
        <is>
          <t>6585216</t>
        </is>
      </c>
    </row>
    <row r="68">
      <c r="A68" s="1" t="inlineStr">
        <is>
          <t>f1bfb71a-578f-499f-b334-3d225c80979b</t>
        </is>
      </c>
      <c r="B68" s="1" t="inlineStr">
        <is>
          <t>9286c9af-9bb2-3567-b2b7-fdf0c45b4115</t>
        </is>
      </c>
      <c r="C68" s="1" t="inlineStr">
        <is>
          <t>TDS Booked by Party</t>
        </is>
      </c>
      <c r="D68" s="1" t="inlineStr">
        <is>
          <t>Multiple Based on Invoice Number</t>
        </is>
      </c>
      <c r="E68" s="1" t="inlineStr">
        <is>
          <t>ledger</t>
        </is>
      </c>
      <c r="F68" s="1" t="inlineStr">
        <is>
          <t>14-01-2026</t>
        </is>
      </c>
      <c r="G68" s="1" t="inlineStr">
        <is>
          <t>UTIBR72026011400000544</t>
        </is>
      </c>
      <c r="H68" s="1" t="inlineStr">
        <is>
          <t>payment</t>
        </is>
      </c>
      <c r="I68" s="1" t="inlineStr">
        <is>
          <t>Receipt</t>
        </is>
      </c>
      <c r="J68" s="1"/>
      <c r="K68" s="15" t="n">
        <v>-3483648.0</v>
      </c>
      <c r="L68" s="1" t="inlineStr">
        <is>
          <t>PRI-PAY5.1-company</t>
        </is>
      </c>
      <c r="M68" s="1" t="inlineStr">
        <is>
          <t>19-Jun-26 10:16 AM</t>
        </is>
      </c>
      <c r="N68" s="1"/>
      <c r="O68" s="1" t="inlineStr">
        <is>
          <t/>
        </is>
      </c>
      <c r="P68" s="1" t="n">
        <v>0.0</v>
      </c>
      <c r="Q68" s="1" t="inlineStr">
        <is>
          <t/>
        </is>
      </c>
      <c r="R68" t="inlineStr">
        <is>
          <t>2026-01-142ANK/2526/BDR/YB1/00764001</t>
        </is>
      </c>
      <c r="S68" t="inlineStr">
        <is>
          <t>ANK/2526/BDR/YB1/00764</t>
        </is>
      </c>
      <c r="T68" t="inlineStr">
        <is>
          <t>14-01-2026</t>
        </is>
      </c>
      <c r="U68" t="inlineStr">
        <is>
          <t>6318825</t>
        </is>
      </c>
    </row>
    <row r="69">
      <c r="A69" s="1" t="inlineStr">
        <is>
          <t>f1fc1d2c-fb00-477d-8a75-09008d81a667</t>
        </is>
      </c>
      <c r="B69" s="1" t="inlineStr">
        <is>
          <t>16fef953-aaae-3c19-8966-746b3c3f8cfe</t>
        </is>
      </c>
      <c r="C69" s="1" t="inlineStr">
        <is>
          <t>Reconciled</t>
        </is>
      </c>
      <c r="D69" s="1" t="inlineStr">
        <is>
          <t>Invoice Number Matched</t>
        </is>
      </c>
      <c r="E69" s="1" t="inlineStr">
        <is>
          <t>ledger</t>
        </is>
      </c>
      <c r="F69" s="1" t="inlineStr">
        <is>
          <t>30-04-2025</t>
        </is>
      </c>
      <c r="G69" s="1" t="inlineStr">
        <is>
          <t xml:space="preserve">ANK2526/GIS00091      </t>
        </is>
      </c>
      <c r="H69" s="1" t="inlineStr">
        <is>
          <t>invoice</t>
        </is>
      </c>
      <c r="I69" s="1" t="inlineStr">
        <is>
          <t>Sale</t>
        </is>
      </c>
      <c r="J69" s="1"/>
      <c r="K69" s="15" t="n">
        <v>3940384.0</v>
      </c>
      <c r="L69" s="1" t="inlineStr">
        <is>
          <t>PRI-INV1.5_A-company</t>
        </is>
      </c>
      <c r="M69" s="1" t="inlineStr">
        <is>
          <t>19-Jun-26 10:16 AM</t>
        </is>
      </c>
      <c r="N69" s="1"/>
      <c r="O69" s="1" t="inlineStr">
        <is>
          <t/>
        </is>
      </c>
      <c r="P69" s="1" t="n">
        <v>0.0</v>
      </c>
      <c r="Q69" s="1" t="inlineStr">
        <is>
          <t/>
        </is>
      </c>
      <c r="R69" t="inlineStr">
        <is>
          <t>2025-04-302ANK/2526/ISO/SPP/00030001</t>
        </is>
      </c>
      <c r="S69" t="inlineStr">
        <is>
          <t>ANK/2526/ISO/SPP/00030</t>
        </is>
      </c>
      <c r="T69" t="inlineStr">
        <is>
          <t>30-04-2025</t>
        </is>
      </c>
      <c r="U69" t="inlineStr">
        <is>
          <t>7080396</t>
        </is>
      </c>
    </row>
    <row r="70">
      <c r="A70" s="1" t="inlineStr">
        <is>
          <t>f3934940-c201-4051-9bf2-3ce66b5a27b5</t>
        </is>
      </c>
      <c r="B70" s="1" t="inlineStr">
        <is>
          <t>9b7b3f14-1268-37bd-8f97-a800357d4974</t>
        </is>
      </c>
      <c r="C70" s="1" t="inlineStr">
        <is>
          <t>TDS Booked by Party</t>
        </is>
      </c>
      <c r="D70" s="1" t="inlineStr">
        <is>
          <t>Date and Amount Matched - Recommended</t>
        </is>
      </c>
      <c r="E70" s="1" t="inlineStr">
        <is>
          <t>ledger</t>
        </is>
      </c>
      <c r="F70" s="1" t="inlineStr">
        <is>
          <t>30-01-2026</t>
        </is>
      </c>
      <c r="G70" s="1" t="inlineStr">
        <is>
          <t xml:space="preserve">AXISCN1235469725      </t>
        </is>
      </c>
      <c r="H70" s="1" t="inlineStr">
        <is>
          <t>payment</t>
        </is>
      </c>
      <c r="I70" s="1" t="inlineStr">
        <is>
          <t>Receipt</t>
        </is>
      </c>
      <c r="J70" s="1"/>
      <c r="K70" s="15" t="n">
        <v>-834959.0</v>
      </c>
      <c r="L70" s="1" t="inlineStr">
        <is>
          <t>SEC-PAY3.1-company</t>
        </is>
      </c>
      <c r="M70" s="1" t="inlineStr">
        <is>
          <t>19-Jun-26 10:16 AM</t>
        </is>
      </c>
      <c r="N70" s="1"/>
      <c r="O70" s="1" t="inlineStr">
        <is>
          <t/>
        </is>
      </c>
      <c r="P70" s="1" t="n">
        <v>0.0</v>
      </c>
      <c r="Q70" s="1" t="inlineStr">
        <is>
          <t/>
        </is>
      </c>
      <c r="R70" t="inlineStr">
        <is>
          <t>2026-01-302ANK/2526/BDR/YB1/00814001</t>
        </is>
      </c>
      <c r="S70" t="inlineStr">
        <is>
          <t>ANK/2526/BDR/YB1/00814</t>
        </is>
      </c>
      <c r="T70" t="inlineStr">
        <is>
          <t>30-01-2026</t>
        </is>
      </c>
      <c r="U70" t="inlineStr">
        <is>
          <t>8079944</t>
        </is>
      </c>
    </row>
    <row r="71">
      <c r="A71" s="1" t="inlineStr">
        <is>
          <t>f8ecbfc7-0224-4122-8ad2-06231f412d43</t>
        </is>
      </c>
      <c r="B71" s="1" t="inlineStr">
        <is>
          <t>e2732d49-1980-36ce-9173-91c7827c949c</t>
        </is>
      </c>
      <c r="C71" s="1" t="inlineStr">
        <is>
          <t>TDS Booked by Party</t>
        </is>
      </c>
      <c r="D71" s="1" t="inlineStr">
        <is>
          <t>Date and Amount Matched - Recommended</t>
        </is>
      </c>
      <c r="E71" s="1" t="inlineStr">
        <is>
          <t>ledger</t>
        </is>
      </c>
      <c r="F71" s="1" t="inlineStr">
        <is>
          <t>21-05-2025</t>
        </is>
      </c>
      <c r="G71" s="1" t="inlineStr">
        <is>
          <t xml:space="preserve">AXISCN0979676342      </t>
        </is>
      </c>
      <c r="H71" s="1" t="inlineStr">
        <is>
          <t>payment</t>
        </is>
      </c>
      <c r="I71" s="1" t="inlineStr">
        <is>
          <t>Receipt</t>
        </is>
      </c>
      <c r="J71" s="1"/>
      <c r="K71" s="15" t="n">
        <v>-1085246.0</v>
      </c>
      <c r="L71" s="1" t="inlineStr">
        <is>
          <t>SEC-PAY3.1-company</t>
        </is>
      </c>
      <c r="M71" s="1" t="inlineStr">
        <is>
          <t>19-Jun-26 10:16 AM</t>
        </is>
      </c>
      <c r="N71" s="1"/>
      <c r="O71" s="1" t="inlineStr">
        <is>
          <t/>
        </is>
      </c>
      <c r="P71" s="1" t="n">
        <v>0.0</v>
      </c>
      <c r="Q71" s="1" t="inlineStr">
        <is>
          <t/>
        </is>
      </c>
      <c r="R71" t="inlineStr">
        <is>
          <t>2025-05-212ANK/2526/BDR/YB1/00128001</t>
        </is>
      </c>
      <c r="S71" t="inlineStr">
        <is>
          <t>ANK/2526/BDR/YB1/00128</t>
        </is>
      </c>
      <c r="T71" t="inlineStr">
        <is>
          <t>21-05-2025</t>
        </is>
      </c>
      <c r="U71" t="inlineStr">
        <is>
          <t>3736951.44</t>
        </is>
      </c>
    </row>
    <row r="72">
      <c r="A72" s="1" t="inlineStr">
        <is>
          <t>fad17af0-baf0-4352-a9e7-25d790de30fe</t>
        </is>
      </c>
      <c r="B72" s="1" t="inlineStr">
        <is>
          <t>80ae845c-e9fa-33be-bd86-890140fe421e</t>
        </is>
      </c>
      <c r="C72" s="1" t="inlineStr">
        <is>
          <t>TDS Booked by Company</t>
        </is>
      </c>
      <c r="D72" s="1" t="inlineStr">
        <is>
          <t>Invoice Number Matched</t>
        </is>
      </c>
      <c r="E72" s="1" t="inlineStr">
        <is>
          <t>ledger</t>
        </is>
      </c>
      <c r="F72" s="1" t="inlineStr">
        <is>
          <t>26-11-2025</t>
        </is>
      </c>
      <c r="G72" s="1" t="inlineStr">
        <is>
          <t xml:space="preserve">ANK2526/GIS00782      </t>
        </is>
      </c>
      <c r="H72" s="1" t="inlineStr">
        <is>
          <t>invoice</t>
        </is>
      </c>
      <c r="I72" s="1" t="inlineStr">
        <is>
          <t>Sale</t>
        </is>
      </c>
      <c r="J72" s="1"/>
      <c r="K72" s="15" t="n">
        <v>120830.0</v>
      </c>
      <c r="L72" s="1" t="inlineStr">
        <is>
          <t>PRI-INV1.6-company</t>
        </is>
      </c>
      <c r="M72" s="1" t="inlineStr">
        <is>
          <t>19-Jun-26 10:16 AM</t>
        </is>
      </c>
      <c r="N72" s="1"/>
      <c r="O72" s="1" t="inlineStr">
        <is>
          <t/>
        </is>
      </c>
      <c r="P72" s="1" t="n">
        <v>0.0</v>
      </c>
      <c r="Q72" s="1" t="inlineStr">
        <is>
          <t/>
        </is>
      </c>
      <c r="R72" t="inlineStr">
        <is>
          <t>2025-11-262ANK/2526/ISO/SPP/00256001</t>
        </is>
      </c>
      <c r="S72" t="inlineStr">
        <is>
          <t>ANK/2526/ISO/SPP/00256</t>
        </is>
      </c>
      <c r="T72" t="inlineStr">
        <is>
          <t>26-11-2025</t>
        </is>
      </c>
      <c r="U72" t="inlineStr">
        <is>
          <t>3897475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Party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10" t="inlineStr">
        <is>
          <t>Party Clearing Document Number</t>
        </is>
      </c>
      <c r="S1" s="10" t="inlineStr">
        <is>
          <t>Party Clearing Date</t>
        </is>
      </c>
      <c r="T1" s="10" t="inlineStr">
        <is>
          <t>Party TDS Amount</t>
        </is>
      </c>
      <c r="U1" s="10" t="inlineStr">
        <is>
          <t>Party Posting Date</t>
        </is>
      </c>
    </row>
    <row r="2">
      <c r="A2" s="1" t="inlineStr">
        <is>
          <t>59fb819b-d76f-4aef-bd08-7e3dbf42f0c4</t>
        </is>
      </c>
      <c r="B2" s="1" t="inlineStr">
        <is>
          <t/>
        </is>
      </c>
      <c r="C2" s="1" t="inlineStr">
        <is>
          <t>Invoice not booked by Company</t>
        </is>
      </c>
      <c r="D2" s="1" t="inlineStr">
        <is>
          <t>Unmatched</t>
        </is>
      </c>
      <c r="E2" s="1"/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5" t="n">
        <v>0.0</v>
      </c>
      <c r="K2" s="1" t="inlineStr">
        <is>
          <t>ledger</t>
        </is>
      </c>
      <c r="L2" s="1" t="inlineStr">
        <is>
          <t>27-03-2026</t>
        </is>
      </c>
      <c r="M2" s="1" t="inlineStr">
        <is>
          <t xml:space="preserve">ANK2526/SER00081      </t>
        </is>
      </c>
      <c r="N2" s="1" t="inlineStr">
        <is>
          <t>invoice</t>
        </is>
      </c>
      <c r="O2" s="1" t="inlineStr">
        <is>
          <t>Other</t>
        </is>
      </c>
      <c r="P2" s="15" t="n">
        <v>557529.0</v>
      </c>
      <c r="Q2" s="15" t="n">
        <v>557529.0</v>
      </c>
      <c r="R2" s="1" t="inlineStr">
        <is>
          <t/>
        </is>
      </c>
      <c r="S2" s="1" t="inlineStr">
        <is>
          <t/>
        </is>
      </c>
      <c r="T2" s="15" t="inlineStr">
        <is>
          <t/>
        </is>
      </c>
      <c r="U2" s="1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Company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9" t="inlineStr">
        <is>
          <t>Company Clearing Document Number</t>
        </is>
      </c>
      <c r="S1" s="9" t="inlineStr">
        <is>
          <t>Company Clearing Date</t>
        </is>
      </c>
      <c r="T1" s="9" t="inlineStr">
        <is>
          <t>Company TDS Amount</t>
        </is>
      </c>
      <c r="U1" s="9" t="inlineStr">
        <is>
          <t>Company Posting Date</t>
        </is>
      </c>
    </row>
    <row r="2">
      <c r="A2" s="1" t="inlineStr">
        <is>
          <t>e14afd12-c455-4ae4-be8b-db0b357dbac4</t>
        </is>
      </c>
      <c r="B2" s="1" t="inlineStr">
        <is>
          <t/>
        </is>
      </c>
      <c r="C2" s="1" t="inlineStr">
        <is>
          <t>Invoice not booked by Party</t>
        </is>
      </c>
      <c r="D2" s="1" t="inlineStr">
        <is>
          <t>Unmatched</t>
        </is>
      </c>
      <c r="E2" s="1" t="inlineStr">
        <is>
          <t>ledger</t>
        </is>
      </c>
      <c r="F2" s="1" t="inlineStr">
        <is>
          <t>27-01-2026</t>
        </is>
      </c>
      <c r="G2" s="1" t="inlineStr">
        <is>
          <t>ANK2526/DBN00012</t>
        </is>
      </c>
      <c r="H2" s="1" t="inlineStr">
        <is>
          <t>invoice</t>
        </is>
      </c>
      <c r="I2" s="1" t="inlineStr">
        <is>
          <t>MI</t>
        </is>
      </c>
      <c r="J2" s="15" t="n">
        <v>-473280.0</v>
      </c>
      <c r="K2" s="1"/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5" t="n">
        <v>0.0</v>
      </c>
      <c r="Q2" s="15" t="n">
        <v>-473280.0</v>
      </c>
      <c r="R2" s="1" t="inlineStr">
        <is>
          <t>7053068167</t>
        </is>
      </c>
      <c r="S2" s="1" t="inlineStr">
        <is>
          <t/>
        </is>
      </c>
      <c r="T2" s="15" t="n">
        <v>-8160.0</v>
      </c>
      <c r="U2" s="1" t="inlineStr">
        <is>
          <t/>
        </is>
      </c>
    </row>
    <row r="3">
      <c r="A3" s="1" t="inlineStr">
        <is>
          <t>5fb50060-14bd-48e8-9301-272140c55ab4</t>
        </is>
      </c>
      <c r="B3" s="1" t="inlineStr">
        <is>
          <t/>
        </is>
      </c>
      <c r="C3" s="1" t="inlineStr">
        <is>
          <t>Invoice not booked by Party</t>
        </is>
      </c>
      <c r="D3" s="1" t="inlineStr">
        <is>
          <t>Unmatched</t>
        </is>
      </c>
      <c r="E3" s="1" t="inlineStr">
        <is>
          <t>ledger</t>
        </is>
      </c>
      <c r="F3" s="1" t="inlineStr">
        <is>
          <t>31-07-2025</t>
        </is>
      </c>
      <c r="G3" s="1" t="inlineStr">
        <is>
          <t>ANK2526/DBN00005</t>
        </is>
      </c>
      <c r="H3" s="1" t="inlineStr">
        <is>
          <t>invoice</t>
        </is>
      </c>
      <c r="I3" s="1" t="inlineStr">
        <is>
          <t>MI</t>
        </is>
      </c>
      <c r="J3" s="15" t="n">
        <v>-254504.0</v>
      </c>
      <c r="K3" s="1"/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5" t="n">
        <v>0.0</v>
      </c>
      <c r="Q3" s="15" t="n">
        <v>-254504.0</v>
      </c>
      <c r="R3" s="1" t="inlineStr">
        <is>
          <t>7053032930</t>
        </is>
      </c>
      <c r="S3" s="1" t="inlineStr">
        <is>
          <t/>
        </is>
      </c>
      <c r="T3" s="15" t="n">
        <v>-4388.0</v>
      </c>
      <c r="U3" s="1" t="inlineStr">
        <is>
          <t/>
        </is>
      </c>
    </row>
    <row r="4">
      <c r="A4" s="1" t="inlineStr">
        <is>
          <t>e4d5a91a-46b4-4d2d-9502-565a9e772ded</t>
        </is>
      </c>
      <c r="B4" s="1" t="inlineStr">
        <is>
          <t/>
        </is>
      </c>
      <c r="C4" s="1" t="inlineStr">
        <is>
          <t>Invoice not booked by Party</t>
        </is>
      </c>
      <c r="D4" s="1" t="inlineStr">
        <is>
          <t>Unmatched</t>
        </is>
      </c>
      <c r="E4" s="1" t="inlineStr">
        <is>
          <t>ledger</t>
        </is>
      </c>
      <c r="F4" s="1" t="inlineStr">
        <is>
          <t>10-07-2025</t>
        </is>
      </c>
      <c r="G4" s="1" t="inlineStr">
        <is>
          <t>ANK2526/DNB00003</t>
        </is>
      </c>
      <c r="H4" s="1" t="inlineStr">
        <is>
          <t>invoice</t>
        </is>
      </c>
      <c r="I4" s="1" t="inlineStr">
        <is>
          <t>MI</t>
        </is>
      </c>
      <c r="J4" s="15" t="n">
        <v>-1555560.0</v>
      </c>
      <c r="K4" s="1"/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5" t="n">
        <v>0.0</v>
      </c>
      <c r="Q4" s="15" t="n">
        <v>-1555560.0</v>
      </c>
      <c r="R4" s="1" t="inlineStr">
        <is>
          <t>7053038636</t>
        </is>
      </c>
      <c r="S4" s="1" t="inlineStr">
        <is>
          <t/>
        </is>
      </c>
      <c r="T4" s="15" t="n">
        <v>-26820.0</v>
      </c>
      <c r="U4" s="1" t="inlineStr">
        <is>
          <t/>
        </is>
      </c>
    </row>
    <row r="5">
      <c r="A5" s="1" t="inlineStr">
        <is>
          <t>073c24a8-8d2a-4cc7-b7f7-698dd4cb4b5a</t>
        </is>
      </c>
      <c r="B5" s="1" t="inlineStr">
        <is>
          <t/>
        </is>
      </c>
      <c r="C5" s="1" t="inlineStr">
        <is>
          <t>Invoice not booked by Party</t>
        </is>
      </c>
      <c r="D5" s="1" t="inlineStr">
        <is>
          <t>Unmatched</t>
        </is>
      </c>
      <c r="E5" s="1" t="inlineStr">
        <is>
          <t>ledger</t>
        </is>
      </c>
      <c r="F5" s="1" t="inlineStr">
        <is>
          <t>27-11-2025</t>
        </is>
      </c>
      <c r="G5" s="1" t="inlineStr">
        <is>
          <t>ANK2526/DBN00008</t>
        </is>
      </c>
      <c r="H5" s="1" t="inlineStr">
        <is>
          <t>invoice</t>
        </is>
      </c>
      <c r="I5" s="1" t="inlineStr">
        <is>
          <t>MI</t>
        </is>
      </c>
      <c r="J5" s="15" t="n">
        <v>-594152.0</v>
      </c>
      <c r="K5" s="1"/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5" t="n">
        <v>0.0</v>
      </c>
      <c r="Q5" s="15" t="n">
        <v>-594152.0</v>
      </c>
      <c r="R5" s="1" t="inlineStr">
        <is>
          <t>7053053702</t>
        </is>
      </c>
      <c r="S5" s="1" t="inlineStr">
        <is>
          <t/>
        </is>
      </c>
      <c r="T5" s="15" t="n">
        <v>-10244.0</v>
      </c>
      <c r="U5" s="1" t="inlineStr">
        <is>
          <t/>
        </is>
      </c>
    </row>
    <row r="6">
      <c r="A6" s="1" t="inlineStr">
        <is>
          <t>b3110aad-4e00-47eb-98b4-53d6f61b7088</t>
        </is>
      </c>
      <c r="B6" s="1" t="inlineStr">
        <is>
          <t/>
        </is>
      </c>
      <c r="C6" s="1" t="inlineStr">
        <is>
          <t>Invoice not booked by Party</t>
        </is>
      </c>
      <c r="D6" s="1" t="inlineStr">
        <is>
          <t>Unmatched</t>
        </is>
      </c>
      <c r="E6" s="1" t="inlineStr">
        <is>
          <t>ledger</t>
        </is>
      </c>
      <c r="F6" s="1" t="inlineStr">
        <is>
          <t>06-10-2025</t>
        </is>
      </c>
      <c r="G6" s="1" t="inlineStr">
        <is>
          <t>ANK2526/DBN00006</t>
        </is>
      </c>
      <c r="H6" s="1" t="inlineStr">
        <is>
          <t>invoice</t>
        </is>
      </c>
      <c r="I6" s="1" t="inlineStr">
        <is>
          <t>MI</t>
        </is>
      </c>
      <c r="J6" s="15" t="n">
        <v>-228520.0</v>
      </c>
      <c r="K6" s="1"/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5" t="n">
        <v>0.0</v>
      </c>
      <c r="Q6" s="15" t="n">
        <v>-228520.0</v>
      </c>
      <c r="R6" s="1" t="inlineStr">
        <is>
          <t>7053052258</t>
        </is>
      </c>
      <c r="S6" s="1" t="inlineStr">
        <is>
          <t/>
        </is>
      </c>
      <c r="T6" s="15" t="n">
        <v>-3940.0</v>
      </c>
      <c r="U6" s="1" t="inlineStr">
        <is>
          <t/>
        </is>
      </c>
    </row>
    <row r="7">
      <c r="A7" s="1" t="inlineStr">
        <is>
          <t>c259686b-8169-4e00-a872-b4fa7f08123f</t>
        </is>
      </c>
      <c r="B7" s="1" t="inlineStr">
        <is>
          <t/>
        </is>
      </c>
      <c r="C7" s="1" t="inlineStr">
        <is>
          <t>Invoice not booked by Party</t>
        </is>
      </c>
      <c r="D7" s="1" t="inlineStr">
        <is>
          <t>Unmatched</t>
        </is>
      </c>
      <c r="E7" s="1" t="inlineStr">
        <is>
          <t>ledger</t>
        </is>
      </c>
      <c r="F7" s="1" t="inlineStr">
        <is>
          <t>30-04-2025</t>
        </is>
      </c>
      <c r="G7" s="1" t="inlineStr">
        <is>
          <t>ANK2526/DNB00001</t>
        </is>
      </c>
      <c r="H7" s="1" t="inlineStr">
        <is>
          <t>invoice</t>
        </is>
      </c>
      <c r="I7" s="1" t="inlineStr">
        <is>
          <t>MI</t>
        </is>
      </c>
      <c r="J7" s="15" t="n">
        <v>-14267.66</v>
      </c>
      <c r="K7" s="1"/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5" t="n">
        <v>0.0</v>
      </c>
      <c r="Q7" s="15" t="n">
        <v>-14267.66</v>
      </c>
      <c r="R7" s="1" t="inlineStr">
        <is>
          <t>7053015183</t>
        </is>
      </c>
      <c r="S7" s="1" t="inlineStr">
        <is>
          <t/>
        </is>
      </c>
      <c r="T7" s="15" t="n">
        <v>-246.0</v>
      </c>
      <c r="U7" s="1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Party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10" t="inlineStr">
        <is>
          <t>Party Clearing Document Number</t>
        </is>
      </c>
      <c r="S1" s="10" t="inlineStr">
        <is>
          <t>Party Clearing Date</t>
        </is>
      </c>
      <c r="T1" s="10" t="inlineStr">
        <is>
          <t>Party TDS Amount</t>
        </is>
      </c>
      <c r="U1" s="10" t="inlineStr">
        <is>
          <t>Party Posting Date</t>
        </is>
      </c>
    </row>
    <row r="2">
      <c r="A2" s="1" t="inlineStr">
        <is>
          <t>289ad3fb-1769-409a-909a-3cec95cef9d5</t>
        </is>
      </c>
      <c r="B2" s="1" t="inlineStr">
        <is>
          <t/>
        </is>
      </c>
      <c r="C2" s="1" t="inlineStr">
        <is>
          <t>Credit Note not booked by Company</t>
        </is>
      </c>
      <c r="D2" s="1" t="inlineStr">
        <is>
          <t>Unmatched</t>
        </is>
      </c>
      <c r="E2" s="1"/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5" t="n">
        <v>0.0</v>
      </c>
      <c r="K2" s="1" t="inlineStr">
        <is>
          <t>ledger</t>
        </is>
      </c>
      <c r="L2" s="1" t="inlineStr">
        <is>
          <t>10-07-2025</t>
        </is>
      </c>
      <c r="M2" s="1" t="inlineStr">
        <is>
          <t xml:space="preserve">DNB00011              </t>
        </is>
      </c>
      <c r="N2" s="1" t="inlineStr">
        <is>
          <t>creditNote</t>
        </is>
      </c>
      <c r="O2" s="1" t="inlineStr">
        <is>
          <t>CN</t>
        </is>
      </c>
      <c r="P2" s="15" t="n">
        <v>1582380.0</v>
      </c>
      <c r="Q2" s="15" t="n">
        <v>1582380.0</v>
      </c>
      <c r="R2" s="1" t="inlineStr">
        <is>
          <t/>
        </is>
      </c>
      <c r="S2" s="1" t="inlineStr">
        <is>
          <t/>
        </is>
      </c>
      <c r="T2" s="15" t="inlineStr">
        <is>
          <t/>
        </is>
      </c>
      <c r="U2" s="1" t="inlineStr">
        <is>
          <t/>
        </is>
      </c>
    </row>
    <row r="3">
      <c r="A3" s="1" t="inlineStr">
        <is>
          <t>51e03a91-560b-460b-b310-15e4b684e22e</t>
        </is>
      </c>
      <c r="B3" s="1" t="inlineStr">
        <is>
          <t/>
        </is>
      </c>
      <c r="C3" s="1" t="inlineStr">
        <is>
          <t>Credit Note not booked by Company</t>
        </is>
      </c>
      <c r="D3" s="1" t="inlineStr">
        <is>
          <t>Unmatched</t>
        </is>
      </c>
      <c r="E3" s="1"/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5" t="n">
        <v>0.0</v>
      </c>
      <c r="K3" s="1" t="inlineStr">
        <is>
          <t>ledger</t>
        </is>
      </c>
      <c r="L3" s="1" t="inlineStr">
        <is>
          <t>31-07-2025</t>
        </is>
      </c>
      <c r="M3" s="1" t="inlineStr">
        <is>
          <t xml:space="preserve">ANK2526/DBN00005      </t>
        </is>
      </c>
      <c r="N3" s="1" t="inlineStr">
        <is>
          <t>creditNote</t>
        </is>
      </c>
      <c r="O3" s="1" t="inlineStr">
        <is>
          <t>CN</t>
        </is>
      </c>
      <c r="P3" s="15" t="n">
        <v>258892.0</v>
      </c>
      <c r="Q3" s="15" t="n">
        <v>258892.0</v>
      </c>
      <c r="R3" s="1" t="inlineStr">
        <is>
          <t/>
        </is>
      </c>
      <c r="S3" s="1" t="inlineStr">
        <is>
          <t/>
        </is>
      </c>
      <c r="T3" s="15" t="inlineStr">
        <is>
          <t/>
        </is>
      </c>
      <c r="U3" s="1" t="inlineStr">
        <is>
          <t/>
        </is>
      </c>
    </row>
    <row r="4">
      <c r="A4" s="1" t="inlineStr">
        <is>
          <t>5f77d353-a5e7-40cc-a460-0d1a90be31dc</t>
        </is>
      </c>
      <c r="B4" s="1" t="inlineStr">
        <is>
          <t/>
        </is>
      </c>
      <c r="C4" s="1" t="inlineStr">
        <is>
          <t>Credit Note not booked by Company</t>
        </is>
      </c>
      <c r="D4" s="1" t="inlineStr">
        <is>
          <t>Unmatched</t>
        </is>
      </c>
      <c r="E4" s="1"/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5" t="n">
        <v>0.0</v>
      </c>
      <c r="K4" s="1" t="inlineStr">
        <is>
          <t>ledger</t>
        </is>
      </c>
      <c r="L4" s="1" t="inlineStr">
        <is>
          <t>27-11-2025</t>
        </is>
      </c>
      <c r="M4" s="1" t="inlineStr">
        <is>
          <t xml:space="preserve">ANK2526/DBN00008      </t>
        </is>
      </c>
      <c r="N4" s="1" t="inlineStr">
        <is>
          <t>creditNote</t>
        </is>
      </c>
      <c r="O4" s="1" t="inlineStr">
        <is>
          <t>CN</t>
        </is>
      </c>
      <c r="P4" s="15" t="n">
        <v>604396.0</v>
      </c>
      <c r="Q4" s="15" t="n">
        <v>604396.0</v>
      </c>
      <c r="R4" s="1" t="inlineStr">
        <is>
          <t/>
        </is>
      </c>
      <c r="S4" s="1" t="inlineStr">
        <is>
          <t/>
        </is>
      </c>
      <c r="T4" s="15" t="inlineStr">
        <is>
          <t/>
        </is>
      </c>
      <c r="U4" s="1" t="inlineStr">
        <is>
          <t/>
        </is>
      </c>
    </row>
    <row r="5">
      <c r="A5" s="1" t="inlineStr">
        <is>
          <t>7fd61a63-5c6f-4418-8e12-d7b417b9492a</t>
        </is>
      </c>
      <c r="B5" s="1" t="inlineStr">
        <is>
          <t/>
        </is>
      </c>
      <c r="C5" s="1" t="inlineStr">
        <is>
          <t>Credit Note not booked by Company</t>
        </is>
      </c>
      <c r="D5" s="1" t="inlineStr">
        <is>
          <t>Unmatched</t>
        </is>
      </c>
      <c r="E5" s="1"/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5" t="n">
        <v>0.0</v>
      </c>
      <c r="K5" s="1" t="inlineStr">
        <is>
          <t>ledger</t>
        </is>
      </c>
      <c r="L5" s="1" t="inlineStr">
        <is>
          <t>20-02-2026</t>
        </is>
      </c>
      <c r="M5" s="1" t="inlineStr">
        <is>
          <t xml:space="preserve">ANK2526/DBN00015      </t>
        </is>
      </c>
      <c r="N5" s="1" t="inlineStr">
        <is>
          <t>creditNote</t>
        </is>
      </c>
      <c r="O5" s="1" t="inlineStr">
        <is>
          <t>CN</t>
        </is>
      </c>
      <c r="P5" s="15" t="n">
        <v>388928.0</v>
      </c>
      <c r="Q5" s="15" t="n">
        <v>388928.0</v>
      </c>
      <c r="R5" s="1" t="inlineStr">
        <is>
          <t/>
        </is>
      </c>
      <c r="S5" s="1" t="inlineStr">
        <is>
          <t/>
        </is>
      </c>
      <c r="T5" s="15" t="inlineStr">
        <is>
          <t/>
        </is>
      </c>
      <c r="U5" s="1" t="inlineStr">
        <is>
          <t/>
        </is>
      </c>
    </row>
    <row r="6">
      <c r="A6" s="1" t="inlineStr">
        <is>
          <t>0ca58a7f-65da-4e3e-a0ec-1d98d9e3a5f4</t>
        </is>
      </c>
      <c r="B6" s="1" t="inlineStr">
        <is>
          <t/>
        </is>
      </c>
      <c r="C6" s="1" t="inlineStr">
        <is>
          <t>Credit Note not booked by Company</t>
        </is>
      </c>
      <c r="D6" s="1" t="inlineStr">
        <is>
          <t>Unmatched</t>
        </is>
      </c>
      <c r="E6" s="1"/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5" t="n">
        <v>0.0</v>
      </c>
      <c r="K6" s="1" t="inlineStr">
        <is>
          <t>ledger</t>
        </is>
      </c>
      <c r="L6" s="1" t="inlineStr">
        <is>
          <t>14-03-2026</t>
        </is>
      </c>
      <c r="M6" s="1" t="inlineStr">
        <is>
          <t xml:space="preserve">ANK2526/DBN00016      </t>
        </is>
      </c>
      <c r="N6" s="1" t="inlineStr">
        <is>
          <t>creditNote</t>
        </is>
      </c>
      <c r="O6" s="1" t="inlineStr">
        <is>
          <t>CN</t>
        </is>
      </c>
      <c r="P6" s="15" t="n">
        <v>283200.0</v>
      </c>
      <c r="Q6" s="15" t="n">
        <v>283200.0</v>
      </c>
      <c r="R6" s="1" t="inlineStr">
        <is>
          <t/>
        </is>
      </c>
      <c r="S6" s="1" t="inlineStr">
        <is>
          <t/>
        </is>
      </c>
      <c r="T6" s="15" t="inlineStr">
        <is>
          <t/>
        </is>
      </c>
      <c r="U6" s="1" t="inlineStr">
        <is>
          <t/>
        </is>
      </c>
    </row>
    <row r="7">
      <c r="A7" s="1" t="inlineStr">
        <is>
          <t>71edf8a4-9888-4518-bcac-ae43e5ea8193</t>
        </is>
      </c>
      <c r="B7" s="1" t="inlineStr">
        <is>
          <t/>
        </is>
      </c>
      <c r="C7" s="1" t="inlineStr">
        <is>
          <t>Credit Note not booked by Company</t>
        </is>
      </c>
      <c r="D7" s="1" t="inlineStr">
        <is>
          <t>Unmatched</t>
        </is>
      </c>
      <c r="E7" s="1"/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5" t="n">
        <v>0.0</v>
      </c>
      <c r="K7" s="1" t="inlineStr">
        <is>
          <t>ledger</t>
        </is>
      </c>
      <c r="L7" s="1" t="inlineStr">
        <is>
          <t>06-10-2025</t>
        </is>
      </c>
      <c r="M7" s="1" t="inlineStr">
        <is>
          <t xml:space="preserve">ANK2526/DBN00006      </t>
        </is>
      </c>
      <c r="N7" s="1" t="inlineStr">
        <is>
          <t>creditNote</t>
        </is>
      </c>
      <c r="O7" s="1" t="inlineStr">
        <is>
          <t>CN</t>
        </is>
      </c>
      <c r="P7" s="15" t="n">
        <v>232460.0</v>
      </c>
      <c r="Q7" s="15" t="n">
        <v>232460.0</v>
      </c>
      <c r="R7" s="1" t="inlineStr">
        <is>
          <t/>
        </is>
      </c>
      <c r="S7" s="1" t="inlineStr">
        <is>
          <t/>
        </is>
      </c>
      <c r="T7" s="15" t="inlineStr">
        <is>
          <t/>
        </is>
      </c>
      <c r="U7" s="1" t="inlineStr">
        <is>
          <t/>
        </is>
      </c>
    </row>
    <row r="8">
      <c r="A8" s="1" t="inlineStr">
        <is>
          <t>e13ee45f-1714-42a1-8a12-427f9993b620</t>
        </is>
      </c>
      <c r="B8" s="1" t="inlineStr">
        <is>
          <t/>
        </is>
      </c>
      <c r="C8" s="1" t="inlineStr">
        <is>
          <t>Credit Note not booked by Company</t>
        </is>
      </c>
      <c r="D8" s="1" t="inlineStr">
        <is>
          <t>Unmatched</t>
        </is>
      </c>
      <c r="E8" s="1"/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5" t="n">
        <v>0.0</v>
      </c>
      <c r="K8" s="1" t="inlineStr">
        <is>
          <t>ledger</t>
        </is>
      </c>
      <c r="L8" s="1" t="inlineStr">
        <is>
          <t>13-12-2025</t>
        </is>
      </c>
      <c r="M8" s="1" t="inlineStr">
        <is>
          <t xml:space="preserve">ANK2526/DBN00009      </t>
        </is>
      </c>
      <c r="N8" s="1" t="inlineStr">
        <is>
          <t>creditNote</t>
        </is>
      </c>
      <c r="O8" s="1" t="inlineStr">
        <is>
          <t>CN</t>
        </is>
      </c>
      <c r="P8" s="15" t="n">
        <v>215822.0</v>
      </c>
      <c r="Q8" s="15" t="n">
        <v>215822.0</v>
      </c>
      <c r="R8" s="1" t="inlineStr">
        <is>
          <t/>
        </is>
      </c>
      <c r="S8" s="1" t="inlineStr">
        <is>
          <t/>
        </is>
      </c>
      <c r="T8" s="15" t="inlineStr">
        <is>
          <t/>
        </is>
      </c>
      <c r="U8" s="1" t="inlineStr">
        <is>
          <t/>
        </is>
      </c>
    </row>
    <row r="9">
      <c r="A9" s="1" t="inlineStr">
        <is>
          <t>2b2ced9b-b480-4be7-a59a-1a5ae8f5bc89</t>
        </is>
      </c>
      <c r="B9" s="1" t="inlineStr">
        <is>
          <t/>
        </is>
      </c>
      <c r="C9" s="1" t="inlineStr">
        <is>
          <t>Credit Note not booked by Company</t>
        </is>
      </c>
      <c r="D9" s="1" t="inlineStr">
        <is>
          <t>Unmatched</t>
        </is>
      </c>
      <c r="E9" s="1"/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5" t="n">
        <v>0.0</v>
      </c>
      <c r="K9" s="1" t="inlineStr">
        <is>
          <t>ledger</t>
        </is>
      </c>
      <c r="L9" s="1" t="inlineStr">
        <is>
          <t>27-01-2026</t>
        </is>
      </c>
      <c r="M9" s="1" t="inlineStr">
        <is>
          <t xml:space="preserve">ANK2526/DBN00012      </t>
        </is>
      </c>
      <c r="N9" s="1" t="inlineStr">
        <is>
          <t>creditNote</t>
        </is>
      </c>
      <c r="O9" s="1" t="inlineStr">
        <is>
          <t>CN</t>
        </is>
      </c>
      <c r="P9" s="15" t="n">
        <v>481440.0</v>
      </c>
      <c r="Q9" s="15" t="n">
        <v>481440.0</v>
      </c>
      <c r="R9" s="1" t="inlineStr">
        <is>
          <t/>
        </is>
      </c>
      <c r="S9" s="1" t="inlineStr">
        <is>
          <t/>
        </is>
      </c>
      <c r="T9" s="15" t="inlineStr">
        <is>
          <t/>
        </is>
      </c>
      <c r="U9" s="1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Party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10" t="inlineStr">
        <is>
          <t>Party Clearing Document Number</t>
        </is>
      </c>
      <c r="S1" s="10" t="inlineStr">
        <is>
          <t>Party Clearing Date</t>
        </is>
      </c>
      <c r="T1" s="10" t="inlineStr">
        <is>
          <t>Party TDS Amount</t>
        </is>
      </c>
      <c r="U1" s="10" t="inlineStr">
        <is>
          <t>Party Posting Date</t>
        </is>
      </c>
    </row>
    <row r="2">
      <c r="A2" s="1" t="inlineStr">
        <is>
          <t>699bd5e5-b0b1-4afe-8de7-ca8f3322ccdd</t>
        </is>
      </c>
      <c r="B2" s="1" t="inlineStr">
        <is>
          <t/>
        </is>
      </c>
      <c r="C2" s="1" t="inlineStr">
        <is>
          <t>Payment not booked by Company</t>
        </is>
      </c>
      <c r="D2" s="1" t="inlineStr">
        <is>
          <t>Unmatched</t>
        </is>
      </c>
      <c r="E2" s="1"/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5" t="n">
        <v>0.0</v>
      </c>
      <c r="K2" s="1" t="inlineStr">
        <is>
          <t>ledger</t>
        </is>
      </c>
      <c r="L2" s="1" t="inlineStr">
        <is>
          <t>27-05-2025</t>
        </is>
      </c>
      <c r="M2" s="1" t="inlineStr">
        <is>
          <t xml:space="preserve">AXISCN0981979347      </t>
        </is>
      </c>
      <c r="N2" s="1" t="inlineStr">
        <is>
          <t>payment</t>
        </is>
      </c>
      <c r="O2" s="1" t="inlineStr">
        <is>
          <t>Receipt</t>
        </is>
      </c>
      <c r="P2" s="15" t="n">
        <v>-1814400.0</v>
      </c>
      <c r="Q2" s="15" t="n">
        <v>-1814400.0</v>
      </c>
      <c r="R2" s="1" t="inlineStr">
        <is>
          <t/>
        </is>
      </c>
      <c r="S2" s="1" t="inlineStr">
        <is>
          <t/>
        </is>
      </c>
      <c r="T2" s="15" t="inlineStr">
        <is>
          <t/>
        </is>
      </c>
      <c r="U2" s="1" t="inlineStr">
        <is>
          <t/>
        </is>
      </c>
    </row>
    <row r="3">
      <c r="A3" s="1" t="inlineStr">
        <is>
          <t>a9c1ac6e-0179-4c48-aa04-92b6534f0220</t>
        </is>
      </c>
      <c r="B3" s="1" t="inlineStr">
        <is>
          <t/>
        </is>
      </c>
      <c r="C3" s="1" t="inlineStr">
        <is>
          <t>Payment not booked by Company</t>
        </is>
      </c>
      <c r="D3" s="1" t="inlineStr">
        <is>
          <t>Unmatched</t>
        </is>
      </c>
      <c r="E3" s="1"/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5" t="n">
        <v>0.0</v>
      </c>
      <c r="K3" s="1" t="inlineStr">
        <is>
          <t>ledger</t>
        </is>
      </c>
      <c r="L3" s="1" t="inlineStr">
        <is>
          <t>11-04-2025</t>
        </is>
      </c>
      <c r="M3" s="1" t="inlineStr">
        <is>
          <t>UTIBN62025041155260266</t>
        </is>
      </c>
      <c r="N3" s="1" t="inlineStr">
        <is>
          <t>payment</t>
        </is>
      </c>
      <c r="O3" s="1" t="inlineStr">
        <is>
          <t>Receipt</t>
        </is>
      </c>
      <c r="P3" s="15" t="n">
        <v>-743400.0</v>
      </c>
      <c r="Q3" s="15" t="n">
        <v>-743400.0</v>
      </c>
      <c r="R3" s="1" t="inlineStr">
        <is>
          <t/>
        </is>
      </c>
      <c r="S3" s="1" t="inlineStr">
        <is>
          <t/>
        </is>
      </c>
      <c r="T3" s="15" t="inlineStr">
        <is>
          <t/>
        </is>
      </c>
      <c r="U3" s="1" t="inlineStr">
        <is>
          <t/>
        </is>
      </c>
    </row>
    <row r="4">
      <c r="A4" s="1" t="inlineStr">
        <is>
          <t>7c6c5123-ba1b-483a-b795-ac9d11e632ab</t>
        </is>
      </c>
      <c r="B4" s="1" t="inlineStr">
        <is>
          <t/>
        </is>
      </c>
      <c r="C4" s="1" t="inlineStr">
        <is>
          <t>Payment not booked by Company</t>
        </is>
      </c>
      <c r="D4" s="1" t="inlineStr">
        <is>
          <t>Unmatched</t>
        </is>
      </c>
      <c r="E4" s="1"/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5" t="n">
        <v>0.0</v>
      </c>
      <c r="K4" s="1" t="inlineStr">
        <is>
          <t>ledger</t>
        </is>
      </c>
      <c r="L4" s="1" t="inlineStr">
        <is>
          <t>13-05-2025</t>
        </is>
      </c>
      <c r="M4" s="1" t="inlineStr">
        <is>
          <t>UTIBN62025051387607677</t>
        </is>
      </c>
      <c r="N4" s="1" t="inlineStr">
        <is>
          <t>payment</t>
        </is>
      </c>
      <c r="O4" s="1" t="inlineStr">
        <is>
          <t>Receipt</t>
        </is>
      </c>
      <c r="P4" s="15" t="n">
        <v>-914457.6</v>
      </c>
      <c r="Q4" s="15" t="n">
        <v>-914457.6</v>
      </c>
      <c r="R4" s="1" t="inlineStr">
        <is>
          <t/>
        </is>
      </c>
      <c r="S4" s="1" t="inlineStr">
        <is>
          <t/>
        </is>
      </c>
      <c r="T4" s="15" t="inlineStr">
        <is>
          <t/>
        </is>
      </c>
      <c r="U4" s="1" t="inlineStr">
        <is>
          <t/>
        </is>
      </c>
    </row>
    <row r="5">
      <c r="A5" s="1" t="inlineStr">
        <is>
          <t>b7683659-9606-4d14-a006-f256e3cdadab</t>
        </is>
      </c>
      <c r="B5" s="1" t="inlineStr">
        <is>
          <t/>
        </is>
      </c>
      <c r="C5" s="1" t="inlineStr">
        <is>
          <t>Payment not booked by Company</t>
        </is>
      </c>
      <c r="D5" s="1" t="inlineStr">
        <is>
          <t>Unmatched</t>
        </is>
      </c>
      <c r="E5" s="1"/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5" t="n">
        <v>0.0</v>
      </c>
      <c r="K5" s="1" t="inlineStr">
        <is>
          <t>ledger</t>
        </is>
      </c>
      <c r="L5" s="1" t="inlineStr">
        <is>
          <t>11-04-2025</t>
        </is>
      </c>
      <c r="M5" s="1" t="inlineStr">
        <is>
          <t>UTIBN62025041155258988</t>
        </is>
      </c>
      <c r="N5" s="1" t="inlineStr">
        <is>
          <t>payment</t>
        </is>
      </c>
      <c r="O5" s="1" t="inlineStr">
        <is>
          <t>Receipt</t>
        </is>
      </c>
      <c r="P5" s="15" t="n">
        <v>-938407.68</v>
      </c>
      <c r="Q5" s="15" t="n">
        <v>-938407.68</v>
      </c>
      <c r="R5" s="1" t="inlineStr">
        <is>
          <t/>
        </is>
      </c>
      <c r="S5" s="1" t="inlineStr">
        <is>
          <t/>
        </is>
      </c>
      <c r="T5" s="15" t="inlineStr">
        <is>
          <t/>
        </is>
      </c>
      <c r="U5" s="1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Company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9" t="inlineStr">
        <is>
          <t>Company Clearing Document Number</t>
        </is>
      </c>
      <c r="S1" s="9" t="inlineStr">
        <is>
          <t>Company Clearing Date</t>
        </is>
      </c>
      <c r="T1" s="9" t="inlineStr">
        <is>
          <t>Company TDS Amount</t>
        </is>
      </c>
      <c r="U1" s="9" t="inlineStr">
        <is>
          <t>Company Posting Date</t>
        </is>
      </c>
    </row>
    <row r="2">
      <c r="A2" s="1" t="inlineStr">
        <is>
          <t>8a49aa96-c2ab-4471-89a5-2a3188aa2216</t>
        </is>
      </c>
      <c r="B2" s="1" t="inlineStr">
        <is>
          <t/>
        </is>
      </c>
      <c r="C2" s="1" t="inlineStr">
        <is>
          <t>Payment not booked by Party</t>
        </is>
      </c>
      <c r="D2" s="1" t="inlineStr">
        <is>
          <t>Unmatched</t>
        </is>
      </c>
      <c r="E2" s="1" t="inlineStr">
        <is>
          <t>ledger</t>
        </is>
      </c>
      <c r="F2" s="1" t="inlineStr">
        <is>
          <t>29-05-2025</t>
        </is>
      </c>
      <c r="G2" s="1" t="inlineStr">
        <is>
          <t>7053009822</t>
        </is>
      </c>
      <c r="H2" s="1" t="inlineStr">
        <is>
          <t>payment</t>
        </is>
      </c>
      <c r="I2" s="1" t="inlineStr">
        <is>
          <t>KZ</t>
        </is>
      </c>
      <c r="J2" s="15" t="n">
        <v>1784335.96</v>
      </c>
      <c r="K2" s="1"/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5" t="n">
        <v>0.0</v>
      </c>
      <c r="Q2" s="15" t="n">
        <v>1784335.96</v>
      </c>
      <c r="R2" s="1" t="inlineStr">
        <is>
          <t>7053009822</t>
        </is>
      </c>
      <c r="S2" s="1" t="inlineStr">
        <is>
          <t/>
        </is>
      </c>
      <c r="T2" s="15" t="n">
        <v>0.0</v>
      </c>
      <c r="U2" s="1" t="inlineStr">
        <is>
          <t/>
        </is>
      </c>
    </row>
    <row r="3">
      <c r="A3" s="1" t="inlineStr">
        <is>
          <t>f34a070e-e679-4049-80b8-68848063d92e</t>
        </is>
      </c>
      <c r="B3" s="1" t="inlineStr">
        <is>
          <t/>
        </is>
      </c>
      <c r="C3" s="1" t="inlineStr">
        <is>
          <t>Payment not booked by Party</t>
        </is>
      </c>
      <c r="D3" s="1" t="inlineStr">
        <is>
          <t>Unmatched</t>
        </is>
      </c>
      <c r="E3" s="1" t="inlineStr">
        <is>
          <t>ledger</t>
        </is>
      </c>
      <c r="F3" s="1" t="inlineStr">
        <is>
          <t>08-04-2025</t>
        </is>
      </c>
      <c r="G3" s="1" t="inlineStr">
        <is>
          <t>7053001045</t>
        </is>
      </c>
      <c r="H3" s="1" t="inlineStr">
        <is>
          <t>payment</t>
        </is>
      </c>
      <c r="I3" s="1" t="inlineStr">
        <is>
          <t>KZ</t>
        </is>
      </c>
      <c r="J3" s="15" t="n">
        <v>921650.0</v>
      </c>
      <c r="K3" s="1"/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5" t="n">
        <v>0.0</v>
      </c>
      <c r="Q3" s="15" t="n">
        <v>921650.0</v>
      </c>
      <c r="R3" s="1" t="inlineStr">
        <is>
          <t>7053001045</t>
        </is>
      </c>
      <c r="S3" s="1" t="inlineStr">
        <is>
          <t/>
        </is>
      </c>
      <c r="T3" s="15" t="n">
        <v>0.0</v>
      </c>
      <c r="U3" s="1" t="inlineStr">
        <is>
          <t/>
        </is>
      </c>
    </row>
    <row r="4">
      <c r="A4" s="1" t="inlineStr">
        <is>
          <t>d33cdc7d-5f77-4869-8028-863e1c13fa15</t>
        </is>
      </c>
      <c r="B4" s="1" t="inlineStr">
        <is>
          <t/>
        </is>
      </c>
      <c r="C4" s="1" t="inlineStr">
        <is>
          <t>Payment not booked by Party</t>
        </is>
      </c>
      <c r="D4" s="1" t="inlineStr">
        <is>
          <t>Unmatched</t>
        </is>
      </c>
      <c r="E4" s="1" t="inlineStr">
        <is>
          <t>ledger</t>
        </is>
      </c>
      <c r="F4" s="1" t="inlineStr">
        <is>
          <t>14-01-2026</t>
        </is>
      </c>
      <c r="G4" s="1" t="inlineStr">
        <is>
          <t>7053052258</t>
        </is>
      </c>
      <c r="H4" s="1" t="inlineStr">
        <is>
          <t>payment</t>
        </is>
      </c>
      <c r="I4" s="1" t="inlineStr">
        <is>
          <t>KZ</t>
        </is>
      </c>
      <c r="J4" s="15" t="n">
        <v>228520.0</v>
      </c>
      <c r="K4" s="1"/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5" t="n">
        <v>0.0</v>
      </c>
      <c r="Q4" s="15" t="n">
        <v>228520.0</v>
      </c>
      <c r="R4" s="1" t="inlineStr">
        <is>
          <t>7053052258</t>
        </is>
      </c>
      <c r="S4" s="1" t="inlineStr">
        <is>
          <t/>
        </is>
      </c>
      <c r="T4" s="15" t="n">
        <v>0.0</v>
      </c>
      <c r="U4" s="1" t="inlineStr">
        <is>
          <t/>
        </is>
      </c>
    </row>
    <row r="5">
      <c r="A5" s="1" t="inlineStr">
        <is>
          <t>39dbb1dc-74fc-4a82-81c0-d022eb6cf108</t>
        </is>
      </c>
      <c r="B5" s="1" t="inlineStr">
        <is>
          <t/>
        </is>
      </c>
      <c r="C5" s="1" t="inlineStr">
        <is>
          <t>Payment not booked by Party</t>
        </is>
      </c>
      <c r="D5" s="1" t="inlineStr">
        <is>
          <t>Unmatched</t>
        </is>
      </c>
      <c r="E5" s="1" t="inlineStr">
        <is>
          <t>ledger</t>
        </is>
      </c>
      <c r="F5" s="1" t="inlineStr">
        <is>
          <t>08-04-2025</t>
        </is>
      </c>
      <c r="G5" s="1" t="inlineStr">
        <is>
          <t>7053001046</t>
        </is>
      </c>
      <c r="H5" s="1" t="inlineStr">
        <is>
          <t>payment</t>
        </is>
      </c>
      <c r="I5" s="1" t="inlineStr">
        <is>
          <t>KZ</t>
        </is>
      </c>
      <c r="J5" s="15" t="n">
        <v>730800.0</v>
      </c>
      <c r="K5" s="1"/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5" t="n">
        <v>0.0</v>
      </c>
      <c r="Q5" s="15" t="n">
        <v>730800.0</v>
      </c>
      <c r="R5" s="1" t="inlineStr">
        <is>
          <t>7053001046</t>
        </is>
      </c>
      <c r="S5" s="1" t="inlineStr">
        <is>
          <t/>
        </is>
      </c>
      <c r="T5" s="15" t="n">
        <v>0.0</v>
      </c>
      <c r="U5" s="1" t="inlineStr">
        <is>
          <t/>
        </is>
      </c>
    </row>
    <row r="6">
      <c r="A6" s="1" t="inlineStr">
        <is>
          <t>3da2bcee-2cbd-4a91-8f1f-7fd7fbf27f05</t>
        </is>
      </c>
      <c r="B6" s="1" t="inlineStr">
        <is>
          <t/>
        </is>
      </c>
      <c r="C6" s="1" t="inlineStr">
        <is>
          <t>Payment not booked by Party</t>
        </is>
      </c>
      <c r="D6" s="1" t="inlineStr">
        <is>
          <t>Unmatched</t>
        </is>
      </c>
      <c r="E6" s="1" t="inlineStr">
        <is>
          <t>ledger</t>
        </is>
      </c>
      <c r="F6" s="1" t="inlineStr">
        <is>
          <t>31-03-2026</t>
        </is>
      </c>
      <c r="G6" s="1" t="inlineStr">
        <is>
          <t>7053068167</t>
        </is>
      </c>
      <c r="H6" s="1" t="inlineStr">
        <is>
          <t>payment</t>
        </is>
      </c>
      <c r="I6" s="1" t="inlineStr">
        <is>
          <t>KZ</t>
        </is>
      </c>
      <c r="J6" s="15" t="n">
        <v>473280.0</v>
      </c>
      <c r="K6" s="1"/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5" t="n">
        <v>0.0</v>
      </c>
      <c r="Q6" s="15" t="n">
        <v>473280.0</v>
      </c>
      <c r="R6" s="1" t="inlineStr">
        <is>
          <t>7053068167</t>
        </is>
      </c>
      <c r="S6" s="1" t="inlineStr">
        <is>
          <t/>
        </is>
      </c>
      <c r="T6" s="15" t="n">
        <v>0.0</v>
      </c>
      <c r="U6" s="1" t="inlineStr">
        <is>
          <t/>
        </is>
      </c>
    </row>
    <row r="7">
      <c r="A7" s="1" t="inlineStr">
        <is>
          <t>484c0899-5552-42fe-a29f-e62c7cb48391</t>
        </is>
      </c>
      <c r="B7" s="1" t="inlineStr">
        <is>
          <t/>
        </is>
      </c>
      <c r="C7" s="1" t="inlineStr">
        <is>
          <t>Payment not booked by Party</t>
        </is>
      </c>
      <c r="D7" s="1" t="inlineStr">
        <is>
          <t>Unmatched</t>
        </is>
      </c>
      <c r="E7" s="1" t="inlineStr">
        <is>
          <t>ledger</t>
        </is>
      </c>
      <c r="F7" s="1" t="inlineStr">
        <is>
          <t>29-05-2025</t>
        </is>
      </c>
      <c r="G7" s="1" t="inlineStr">
        <is>
          <t>7053009823</t>
        </is>
      </c>
      <c r="H7" s="1" t="inlineStr">
        <is>
          <t>payment</t>
        </is>
      </c>
      <c r="I7" s="1" t="inlineStr">
        <is>
          <t>KZ</t>
        </is>
      </c>
      <c r="J7" s="15" t="n">
        <v>613.96</v>
      </c>
      <c r="K7" s="1"/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5" t="n">
        <v>0.0</v>
      </c>
      <c r="Q7" s="15" t="n">
        <v>613.96</v>
      </c>
      <c r="R7" s="1" t="inlineStr">
        <is>
          <t>7053009823</t>
        </is>
      </c>
      <c r="S7" s="1" t="inlineStr">
        <is>
          <t/>
        </is>
      </c>
      <c r="T7" s="15" t="n">
        <v>0.0</v>
      </c>
      <c r="U7" s="1" t="inlineStr">
        <is>
          <t/>
        </is>
      </c>
    </row>
    <row r="8">
      <c r="A8" s="1" t="inlineStr">
        <is>
          <t>74d9080b-e369-46b4-9ccb-72f40b32f1a5</t>
        </is>
      </c>
      <c r="B8" s="1" t="inlineStr">
        <is>
          <t/>
        </is>
      </c>
      <c r="C8" s="1" t="inlineStr">
        <is>
          <t>Payment not booked by Party</t>
        </is>
      </c>
      <c r="D8" s="1" t="inlineStr">
        <is>
          <t>Unmatched</t>
        </is>
      </c>
      <c r="E8" s="1" t="inlineStr">
        <is>
          <t>ledger</t>
        </is>
      </c>
      <c r="F8" s="1" t="inlineStr">
        <is>
          <t>12-05-2025</t>
        </is>
      </c>
      <c r="G8" s="1" t="inlineStr">
        <is>
          <t>7053006480</t>
        </is>
      </c>
      <c r="H8" s="1" t="inlineStr">
        <is>
          <t>payment</t>
        </is>
      </c>
      <c r="I8" s="1" t="inlineStr">
        <is>
          <t>KZ</t>
        </is>
      </c>
      <c r="J8" s="15" t="n">
        <v>898127.0</v>
      </c>
      <c r="K8" s="1"/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5" t="n">
        <v>0.0</v>
      </c>
      <c r="Q8" s="15" t="n">
        <v>898127.0</v>
      </c>
      <c r="R8" s="1" t="inlineStr">
        <is>
          <t>7053006480</t>
        </is>
      </c>
      <c r="S8" s="1" t="inlineStr">
        <is>
          <t/>
        </is>
      </c>
      <c r="T8" s="15" t="n">
        <v>0.0</v>
      </c>
      <c r="U8" s="1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Party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10" t="inlineStr">
        <is>
          <t>Party Clearing Document Number</t>
        </is>
      </c>
      <c r="S1" s="10" t="inlineStr">
        <is>
          <t>Party Clearing Date</t>
        </is>
      </c>
      <c r="T1" s="10" t="inlineStr">
        <is>
          <t>Party TDS Amount</t>
        </is>
      </c>
      <c r="U1" s="10" t="inlineStr">
        <is>
          <t>Party Posting Date</t>
        </is>
      </c>
    </row>
    <row r="2">
      <c r="A2" s="1" t="inlineStr">
        <is>
          <t>647bee11-a5ff-4a23-870f-f583d6cf62b8</t>
        </is>
      </c>
      <c r="B2" s="1" t="inlineStr">
        <is>
          <t/>
        </is>
      </c>
      <c r="C2" s="1" t="inlineStr">
        <is>
          <t>Other entry not booked by Company</t>
        </is>
      </c>
      <c r="D2" s="1" t="inlineStr">
        <is>
          <t>Unmatched</t>
        </is>
      </c>
      <c r="E2" s="1"/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5" t="n">
        <v>0.0</v>
      </c>
      <c r="K2" s="1" t="inlineStr">
        <is>
          <t>ledger</t>
        </is>
      </c>
      <c r="L2" s="1" t="inlineStr">
        <is>
          <t>30-09-2025</t>
        </is>
      </c>
      <c r="M2" s="1" t="inlineStr">
        <is>
          <t xml:space="preserve">DEBTORS WRITE OFF     </t>
        </is>
      </c>
      <c r="N2" s="1" t="inlineStr">
        <is>
          <t>journal</t>
        </is>
      </c>
      <c r="O2" s="1" t="inlineStr">
        <is>
          <t>Journal</t>
        </is>
      </c>
      <c r="P2" s="15" t="n">
        <v>25440.0</v>
      </c>
      <c r="Q2" s="15" t="n">
        <v>25440.0</v>
      </c>
      <c r="R2" s="1" t="inlineStr">
        <is>
          <t/>
        </is>
      </c>
      <c r="S2" s="1" t="inlineStr">
        <is>
          <t/>
        </is>
      </c>
      <c r="T2" s="15" t="inlineStr">
        <is>
          <t/>
        </is>
      </c>
      <c r="U2" s="1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8" t="inlineStr">
        <is>
          <t>Company Id</t>
        </is>
      </c>
      <c r="B1" s="8" t="inlineStr">
        <is>
          <t>Matched Id</t>
        </is>
      </c>
      <c r="C1" s="8" t="inlineStr">
        <is>
          <t>Status</t>
        </is>
      </c>
      <c r="D1" s="8" t="inlineStr">
        <is>
          <t>Classification</t>
        </is>
      </c>
      <c r="E1" s="9" t="inlineStr">
        <is>
          <t>Company Statement Type</t>
        </is>
      </c>
      <c r="F1" s="9" t="inlineStr">
        <is>
          <t>Company Invoice Date</t>
        </is>
      </c>
      <c r="G1" s="9" t="inlineStr">
        <is>
          <t>Company Invoice Number</t>
        </is>
      </c>
      <c r="H1" s="9" t="inlineStr">
        <is>
          <t>Company DocType</t>
        </is>
      </c>
      <c r="I1" s="9" t="inlineStr">
        <is>
          <t>Company Original DocType</t>
        </is>
      </c>
      <c r="J1" s="9" t="inlineStr">
        <is>
          <t>Company Amount</t>
        </is>
      </c>
      <c r="K1" s="10" t="inlineStr">
        <is>
          <t>Party Statement Type</t>
        </is>
      </c>
      <c r="L1" s="10" t="inlineStr">
        <is>
          <t>Party Invoice Date</t>
        </is>
      </c>
      <c r="M1" s="10" t="inlineStr">
        <is>
          <t>Party Invoice Number</t>
        </is>
      </c>
      <c r="N1" s="10" t="inlineStr">
        <is>
          <t>Party DocType</t>
        </is>
      </c>
      <c r="O1" s="10" t="inlineStr">
        <is>
          <t>Party Original DocType</t>
        </is>
      </c>
      <c r="P1" s="10" t="inlineStr">
        <is>
          <t>Party Amount</t>
        </is>
      </c>
      <c r="Q1" s="12" t="inlineStr">
        <is>
          <t>Difference</t>
        </is>
      </c>
      <c r="R1" s="9" t="inlineStr">
        <is>
          <t>Company Clearing Document Number</t>
        </is>
      </c>
      <c r="S1" s="9" t="inlineStr">
        <is>
          <t>Company Clearing Date</t>
        </is>
      </c>
      <c r="T1" s="9" t="inlineStr">
        <is>
          <t>Company TDS Amount</t>
        </is>
      </c>
      <c r="U1" s="9" t="inlineStr">
        <is>
          <t>Company Posting Date</t>
        </is>
      </c>
    </row>
    <row r="2">
      <c r="A2" s="1" t="inlineStr">
        <is>
          <t>66848aa3-8721-45f9-8f07-7fcdafb4f510</t>
        </is>
      </c>
      <c r="B2" s="1" t="inlineStr">
        <is>
          <t/>
        </is>
      </c>
      <c r="C2" s="1" t="inlineStr">
        <is>
          <t>Other entry not booked by Party</t>
        </is>
      </c>
      <c r="D2" s="1" t="inlineStr">
        <is>
          <t>Unmatched</t>
        </is>
      </c>
      <c r="E2" s="1" t="inlineStr">
        <is>
          <t>ledger</t>
        </is>
      </c>
      <c r="F2" s="1" t="inlineStr">
        <is>
          <t>31-03-2026</t>
        </is>
      </c>
      <c r="G2" s="1"/>
      <c r="H2" s="1" t="inlineStr">
        <is>
          <t>journal</t>
        </is>
      </c>
      <c r="I2" s="1" t="inlineStr">
        <is>
          <t>SA</t>
        </is>
      </c>
      <c r="J2" s="15" t="n">
        <v>-179242.0</v>
      </c>
      <c r="K2" s="1"/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5" t="n">
        <v>0.0</v>
      </c>
      <c r="Q2" s="15" t="n">
        <v>-179242.0</v>
      </c>
      <c r="R2" s="1" t="inlineStr">
        <is>
          <t>7001002085</t>
        </is>
      </c>
      <c r="S2" s="1" t="inlineStr">
        <is>
          <t/>
        </is>
      </c>
      <c r="T2" s="15" t="n">
        <v>-3658.0</v>
      </c>
      <c r="U2" s="1" t="inlineStr">
        <is>
          <t/>
        </is>
      </c>
    </row>
    <row r="3">
      <c r="A3" s="1" t="inlineStr">
        <is>
          <t>da1f6ac3-73fd-4107-8171-cf14d6b7bbb0</t>
        </is>
      </c>
      <c r="B3" s="1" t="inlineStr">
        <is>
          <t/>
        </is>
      </c>
      <c r="C3" s="1" t="inlineStr">
        <is>
          <t>Other entry not booked by Party</t>
        </is>
      </c>
      <c r="D3" s="1" t="inlineStr">
        <is>
          <t>Unmatched</t>
        </is>
      </c>
      <c r="E3" s="1" t="inlineStr">
        <is>
          <t>ledger</t>
        </is>
      </c>
      <c r="F3" s="1" t="inlineStr">
        <is>
          <t>31-03-2026</t>
        </is>
      </c>
      <c r="G3" s="1"/>
      <c r="H3" s="1" t="inlineStr">
        <is>
          <t>journal</t>
        </is>
      </c>
      <c r="I3" s="1" t="inlineStr">
        <is>
          <t>SA</t>
        </is>
      </c>
      <c r="J3" s="15" t="n">
        <v>-235200.0</v>
      </c>
      <c r="K3" s="1"/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5" t="n">
        <v>0.0</v>
      </c>
      <c r="Q3" s="15" t="n">
        <v>-235200.0</v>
      </c>
      <c r="R3" s="1" t="inlineStr">
        <is>
          <t>7001002096</t>
        </is>
      </c>
      <c r="S3" s="1" t="inlineStr">
        <is>
          <t/>
        </is>
      </c>
      <c r="T3" s="15" t="n">
        <v>-4800.0</v>
      </c>
      <c r="U3" s="1" t="inlineStr">
        <is>
          <t/>
        </is>
      </c>
    </row>
    <row r="4">
      <c r="A4" s="1" t="inlineStr">
        <is>
          <t>a394fbd0-1313-4234-b850-d30ff082d74b</t>
        </is>
      </c>
      <c r="B4" s="1" t="inlineStr">
        <is>
          <t/>
        </is>
      </c>
      <c r="C4" s="1" t="inlineStr">
        <is>
          <t>Other entry not booked by Party</t>
        </is>
      </c>
      <c r="D4" s="1" t="inlineStr">
        <is>
          <t>Unmatched</t>
        </is>
      </c>
      <c r="E4" s="1" t="inlineStr">
        <is>
          <t>ledger</t>
        </is>
      </c>
      <c r="F4" s="1" t="inlineStr">
        <is>
          <t>31-03-2026</t>
        </is>
      </c>
      <c r="G4" s="1"/>
      <c r="H4" s="1" t="inlineStr">
        <is>
          <t>journal</t>
        </is>
      </c>
      <c r="I4" s="1" t="inlineStr">
        <is>
          <t>SA</t>
        </is>
      </c>
      <c r="J4" s="15" t="n">
        <v>-520360.0</v>
      </c>
      <c r="K4" s="1"/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5" t="n">
        <v>0.0</v>
      </c>
      <c r="Q4" s="15" t="n">
        <v>-520360.0</v>
      </c>
      <c r="R4" s="1" t="inlineStr">
        <is>
          <t>7001008009</t>
        </is>
      </c>
      <c r="S4" s="1" t="inlineStr">
        <is>
          <t/>
        </is>
      </c>
      <c r="T4" s="15" t="n">
        <v>-10620.0</v>
      </c>
      <c r="U4" s="1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</cols>
  <sheetData>
    <row r="1">
      <c r="A1" s="8" t="inlineStr">
        <is>
          <t>Company Id</t>
        </is>
      </c>
      <c r="B1" s="8" t="inlineStr">
        <is>
          <t>Party Id</t>
        </is>
      </c>
      <c r="C1" s="8" t="inlineStr">
        <is>
          <t>Matched Id</t>
        </is>
      </c>
      <c r="D1" s="8" t="inlineStr">
        <is>
          <t>Status</t>
        </is>
      </c>
      <c r="E1" s="8" t="inlineStr">
        <is>
          <t>Classification</t>
        </is>
      </c>
      <c r="F1" s="9" t="inlineStr">
        <is>
          <t>Company Statement Type</t>
        </is>
      </c>
      <c r="G1" s="9" t="inlineStr">
        <is>
          <t>Company Invoice Date</t>
        </is>
      </c>
      <c r="H1" s="9" t="inlineStr">
        <is>
          <t>Company Invoice Number</t>
        </is>
      </c>
      <c r="I1" s="9" t="inlineStr">
        <is>
          <t>Company DocType</t>
        </is>
      </c>
      <c r="J1" s="9" t="inlineStr">
        <is>
          <t>Company Original DocType</t>
        </is>
      </c>
      <c r="K1" s="9" t="inlineStr">
        <is>
          <t>Company Narration</t>
        </is>
      </c>
      <c r="L1" s="9" t="inlineStr">
        <is>
          <t>Company Amount</t>
        </is>
      </c>
      <c r="M1" s="10" t="inlineStr">
        <is>
          <t>Party Statement Type</t>
        </is>
      </c>
      <c r="N1" s="10" t="inlineStr">
        <is>
          <t>Party Invoice Date</t>
        </is>
      </c>
      <c r="O1" s="10" t="inlineStr">
        <is>
          <t>Party Invoice Number</t>
        </is>
      </c>
      <c r="P1" s="10" t="inlineStr">
        <is>
          <t>Party DocType</t>
        </is>
      </c>
      <c r="Q1" s="10" t="inlineStr">
        <is>
          <t>Party Original DocType</t>
        </is>
      </c>
      <c r="R1" s="10" t="inlineStr">
        <is>
          <t>Party Narration</t>
        </is>
      </c>
      <c r="S1" s="10" t="inlineStr">
        <is>
          <t>Party Amount</t>
        </is>
      </c>
      <c r="T1" s="12" t="inlineStr">
        <is>
          <t>Difference</t>
        </is>
      </c>
    </row>
    <row r="2">
      <c r="A2" s="1" t="inlineStr">
        <is>
          <t>274e1989-5f2e-4316-bc94-97976325e7fc</t>
        </is>
      </c>
      <c r="B2" s="1" t="inlineStr">
        <is>
          <t>00367562-24a4-4f8f-80ff-9f982a2591e7</t>
        </is>
      </c>
      <c r="C2" s="1" t="inlineStr">
        <is>
          <t>aa3c61b5-9854-3fe2-9fd7-381cdb7a3021</t>
        </is>
      </c>
      <c r="D2" s="1" t="inlineStr">
        <is>
          <t>TDS Booked by Company</t>
        </is>
      </c>
      <c r="E2" s="1" t="inlineStr">
        <is>
          <t>Invoice Number Matched</t>
        </is>
      </c>
      <c r="F2" s="1" t="inlineStr">
        <is>
          <t>ledger</t>
        </is>
      </c>
      <c r="G2" s="1" t="inlineStr">
        <is>
          <t>27-11-2025</t>
        </is>
      </c>
      <c r="H2" s="1" t="inlineStr">
        <is>
          <t>ANK2526/GIS00787</t>
        </is>
      </c>
      <c r="I2" s="1" t="inlineStr">
        <is>
          <t>invoice</t>
        </is>
      </c>
      <c r="J2" s="1" t="inlineStr">
        <is>
          <t>MF</t>
        </is>
      </c>
      <c r="K2" s="1" t="inlineStr">
        <is>
          <t>EMTIG INJECTION [P TO P]</t>
        </is>
      </c>
      <c r="L2" s="15" t="n">
        <v>-1691223.0</v>
      </c>
      <c r="M2" s="1" t="inlineStr">
        <is>
          <t>ledger</t>
        </is>
      </c>
      <c r="N2" s="1" t="inlineStr">
        <is>
          <t>27-11-2025</t>
        </is>
      </c>
      <c r="O2" s="1" t="inlineStr">
        <is>
          <t xml:space="preserve">ANK2526/GIS00787      </t>
        </is>
      </c>
      <c r="P2" s="1" t="inlineStr">
        <is>
          <t>invoice</t>
        </is>
      </c>
      <c r="Q2" s="1" t="inlineStr">
        <is>
          <t>Sale</t>
        </is>
      </c>
      <c r="R2" s="1" t="inlineStr">
        <is>
          <t/>
        </is>
      </c>
      <c r="S2" s="15" t="n">
        <v>1692835.0</v>
      </c>
      <c r="T2" s="15" t="n">
        <v>1612.0</v>
      </c>
    </row>
    <row r="3">
      <c r="A3" s="1" t="inlineStr">
        <is>
          <t>4496d1c4-1e8a-4d2d-968c-d797ac14155c</t>
        </is>
      </c>
      <c r="B3" s="1" t="inlineStr">
        <is>
          <t>03c26d9f-6c72-4e5f-bfec-675ae5dc3ecd</t>
        </is>
      </c>
      <c r="C3" s="1" t="inlineStr">
        <is>
          <t>2399b5aa-899a-3e44-8e5f-4d09a538a2c3</t>
        </is>
      </c>
      <c r="D3" s="1" t="inlineStr">
        <is>
          <t>TDS Booked by Company</t>
        </is>
      </c>
      <c r="E3" s="1" t="inlineStr">
        <is>
          <t>Invoice Number Matched</t>
        </is>
      </c>
      <c r="F3" s="1" t="inlineStr">
        <is>
          <t>ledger</t>
        </is>
      </c>
      <c r="G3" s="1" t="inlineStr">
        <is>
          <t>21-04-2025</t>
        </is>
      </c>
      <c r="H3" s="1" t="inlineStr">
        <is>
          <t>ANK2526/SER00001</t>
        </is>
      </c>
      <c r="I3" s="1" t="inlineStr">
        <is>
          <t>invoice</t>
        </is>
      </c>
      <c r="J3" s="1" t="inlineStr">
        <is>
          <t>MI</t>
        </is>
      </c>
      <c r="K3" s="1" t="inlineStr">
        <is>
          <t>421111714  MATERNA - HCG 5000 IU</t>
        </is>
      </c>
      <c r="L3" s="15" t="n">
        <v>-1860607.0</v>
      </c>
      <c r="M3" s="1" t="inlineStr">
        <is>
          <t>ledger</t>
        </is>
      </c>
      <c r="N3" s="1" t="inlineStr">
        <is>
          <t>21-04-2025</t>
        </is>
      </c>
      <c r="O3" s="1" t="inlineStr">
        <is>
          <t xml:space="preserve">ANK2526/SER00001      </t>
        </is>
      </c>
      <c r="P3" s="1" t="inlineStr">
        <is>
          <t>invoice</t>
        </is>
      </c>
      <c r="Q3" s="1" t="inlineStr">
        <is>
          <t>Other</t>
        </is>
      </c>
      <c r="R3" s="1" t="inlineStr">
        <is>
          <t/>
        </is>
      </c>
      <c r="S3" s="15" t="n">
        <v>1894233.6</v>
      </c>
      <c r="T3" s="15" t="n">
        <v>33626.60000000009</v>
      </c>
    </row>
    <row r="4">
      <c r="A4" s="1" t="inlineStr">
        <is>
          <t>450bd921-1a8d-4845-b2ae-bf1216fd9198</t>
        </is>
      </c>
      <c r="B4" s="1" t="inlineStr">
        <is>
          <t>2eff2df9-aac2-4397-a9c7-638e6ac9253a</t>
        </is>
      </c>
      <c r="C4" s="1" t="inlineStr">
        <is>
          <t>2a78bd4d-795a-39e0-b2e2-25d82ab37a71</t>
        </is>
      </c>
      <c r="D4" s="1" t="inlineStr">
        <is>
          <t>TDS Booked by Company</t>
        </is>
      </c>
      <c r="E4" s="1" t="inlineStr">
        <is>
          <t>Invoice Number Matched</t>
        </is>
      </c>
      <c r="F4" s="1" t="inlineStr">
        <is>
          <t>ledger</t>
        </is>
      </c>
      <c r="G4" s="1" t="inlineStr">
        <is>
          <t>16-03-2026</t>
        </is>
      </c>
      <c r="H4" s="1" t="inlineStr">
        <is>
          <t>ANK2526/SER00080</t>
        </is>
      </c>
      <c r="I4" s="1" t="inlineStr">
        <is>
          <t>invoice</t>
        </is>
      </c>
      <c r="J4" s="1" t="inlineStr">
        <is>
          <t>MI</t>
        </is>
      </c>
      <c r="K4" s="1" t="inlineStr">
        <is>
          <t>421111716  MATERNA - HMG 75 IU</t>
        </is>
      </c>
      <c r="L4" s="15" t="n">
        <v>-1372125.0</v>
      </c>
      <c r="M4" s="1" t="inlineStr">
        <is>
          <t>ledger</t>
        </is>
      </c>
      <c r="N4" s="1" t="inlineStr">
        <is>
          <t>16-03-2026</t>
        </is>
      </c>
      <c r="O4" s="1" t="inlineStr">
        <is>
          <t xml:space="preserve">ANK2526/SER00080      </t>
        </is>
      </c>
      <c r="P4" s="1" t="inlineStr">
        <is>
          <t>invoice</t>
        </is>
      </c>
      <c r="Q4" s="1" t="inlineStr">
        <is>
          <t>Other</t>
        </is>
      </c>
      <c r="R4" s="1" t="inlineStr">
        <is>
          <t/>
        </is>
      </c>
      <c r="S4" s="15" t="n">
        <v>1398768.0</v>
      </c>
      <c r="T4" s="15" t="n">
        <v>26643.0</v>
      </c>
    </row>
    <row r="5">
      <c r="A5" s="1" t="inlineStr">
        <is>
          <t>19cf0320-a7d6-4632-93f9-3aa8ebabefda</t>
        </is>
      </c>
      <c r="B5" s="1" t="inlineStr">
        <is>
          <t>356677a1-0763-4f5f-b67d-9fa67464a66e</t>
        </is>
      </c>
      <c r="C5" s="1" t="inlineStr">
        <is>
          <t>33b8f008-c93f-3a19-a5a5-37851b94ef77</t>
        </is>
      </c>
      <c r="D5" s="1" t="inlineStr">
        <is>
          <t>TDS Booked by Company</t>
        </is>
      </c>
      <c r="E5" s="1" t="inlineStr">
        <is>
          <t>Invoice Number Matched</t>
        </is>
      </c>
      <c r="F5" s="1" t="inlineStr">
        <is>
          <t>ledger</t>
        </is>
      </c>
      <c r="G5" s="1" t="inlineStr">
        <is>
          <t>10-12-2025</t>
        </is>
      </c>
      <c r="H5" s="1" t="inlineStr">
        <is>
          <t>ANK2526/GIS00839</t>
        </is>
      </c>
      <c r="I5" s="1" t="inlineStr">
        <is>
          <t>invoice</t>
        </is>
      </c>
      <c r="J5" s="1" t="inlineStr">
        <is>
          <t>MF</t>
        </is>
      </c>
      <c r="K5" s="1" t="inlineStr">
        <is>
          <t>REBEZ  IV INJECTION [P TO P]</t>
        </is>
      </c>
      <c r="L5" s="15" t="n">
        <v>-1666450.0</v>
      </c>
      <c r="M5" s="1" t="inlineStr">
        <is>
          <t>ledger</t>
        </is>
      </c>
      <c r="N5" s="1" t="inlineStr">
        <is>
          <t>10-12-2025</t>
        </is>
      </c>
      <c r="O5" s="1" t="inlineStr">
        <is>
          <t xml:space="preserve">ANK2526/GIS00839      </t>
        </is>
      </c>
      <c r="P5" s="1" t="inlineStr">
        <is>
          <t>invoice</t>
        </is>
      </c>
      <c r="Q5" s="1" t="inlineStr">
        <is>
          <t>Sale</t>
        </is>
      </c>
      <c r="R5" s="1" t="inlineStr">
        <is>
          <t/>
        </is>
      </c>
      <c r="S5" s="15" t="n">
        <v>1668039.0</v>
      </c>
      <c r="T5" s="15" t="n">
        <v>1589.0</v>
      </c>
    </row>
    <row r="6">
      <c r="A6" s="1" t="inlineStr">
        <is>
          <t>70d5264b-d33f-4983-93dd-ef6ff1535b45</t>
        </is>
      </c>
      <c r="B6" s="1" t="inlineStr">
        <is>
          <t>363f9169-6096-452e-9b08-14f89e80ab75</t>
        </is>
      </c>
      <c r="C6" s="1" t="inlineStr">
        <is>
          <t>96ca066f-f3dd-31d1-8565-a73b4c76be09</t>
        </is>
      </c>
      <c r="D6" s="1" t="inlineStr">
        <is>
          <t>TDS Booked by Company</t>
        </is>
      </c>
      <c r="E6" s="1" t="inlineStr">
        <is>
          <t>Invoice Number Matched</t>
        </is>
      </c>
      <c r="F6" s="1" t="inlineStr">
        <is>
          <t>ledger</t>
        </is>
      </c>
      <c r="G6" s="1" t="inlineStr">
        <is>
          <t>02-08-2025</t>
        </is>
      </c>
      <c r="H6" s="1" t="inlineStr">
        <is>
          <t>ANK2526/SER00045</t>
        </is>
      </c>
      <c r="I6" s="1" t="inlineStr">
        <is>
          <t>invoice</t>
        </is>
      </c>
      <c r="J6" s="1" t="inlineStr">
        <is>
          <t>MI</t>
        </is>
      </c>
      <c r="K6" s="1" t="inlineStr">
        <is>
          <t>Job Work Charge - AUG 2025</t>
        </is>
      </c>
      <c r="L6" s="15" t="n">
        <v>-1227.92</v>
      </c>
      <c r="M6" s="1" t="inlineStr">
        <is>
          <t>ledger</t>
        </is>
      </c>
      <c r="N6" s="1" t="inlineStr">
        <is>
          <t>02-08-2025</t>
        </is>
      </c>
      <c r="O6" s="1" t="inlineStr">
        <is>
          <t xml:space="preserve">ANK2526/SER00045      </t>
        </is>
      </c>
      <c r="P6" s="1" t="inlineStr">
        <is>
          <t>invoice</t>
        </is>
      </c>
      <c r="Q6" s="1" t="inlineStr">
        <is>
          <t>Other</t>
        </is>
      </c>
      <c r="R6" s="1" t="inlineStr">
        <is>
          <t/>
        </is>
      </c>
      <c r="S6" s="15" t="n">
        <v>1249.92</v>
      </c>
      <c r="T6" s="15" t="n">
        <v>22.0</v>
      </c>
    </row>
    <row r="7">
      <c r="A7" s="1" t="inlineStr">
        <is>
          <t>1bdafe07-41ec-47b3-baed-36acb746303a</t>
        </is>
      </c>
      <c r="B7" s="1" t="inlineStr">
        <is>
          <t>3c3607e3-b64d-4e2d-8c7c-98b4f01adbac</t>
        </is>
      </c>
      <c r="C7" s="1" t="inlineStr">
        <is>
          <t>252dae23-d549-3aa6-a82d-35d32098b55f</t>
        </is>
      </c>
      <c r="D7" s="1" t="inlineStr">
        <is>
          <t>TDS Booked by Company</t>
        </is>
      </c>
      <c r="E7" s="1" t="inlineStr">
        <is>
          <t>Invoice Number Matched</t>
        </is>
      </c>
      <c r="F7" s="1" t="inlineStr">
        <is>
          <t>ledger</t>
        </is>
      </c>
      <c r="G7" s="1" t="inlineStr">
        <is>
          <t>29-01-2026</t>
        </is>
      </c>
      <c r="H7" s="1" t="inlineStr">
        <is>
          <t>ANK2526/GIS00934</t>
        </is>
      </c>
      <c r="I7" s="1" t="inlineStr">
        <is>
          <t>invoice</t>
        </is>
      </c>
      <c r="J7" s="1" t="inlineStr">
        <is>
          <t>MF</t>
        </is>
      </c>
      <c r="K7" s="1" t="inlineStr">
        <is>
          <t>REBEZ  IV INJECTION [P TO P]</t>
        </is>
      </c>
      <c r="L7" s="15" t="n">
        <v>-1370813.0</v>
      </c>
      <c r="M7" s="1" t="inlineStr">
        <is>
          <t>ledger</t>
        </is>
      </c>
      <c r="N7" s="1" t="inlineStr">
        <is>
          <t>29-01-2026</t>
        </is>
      </c>
      <c r="O7" s="1" t="inlineStr">
        <is>
          <t xml:space="preserve">ANK2526/GIS00934      </t>
        </is>
      </c>
      <c r="P7" s="1" t="inlineStr">
        <is>
          <t>invoice</t>
        </is>
      </c>
      <c r="Q7" s="1" t="inlineStr">
        <is>
          <t>Sale</t>
        </is>
      </c>
      <c r="R7" s="1" t="inlineStr">
        <is>
          <t/>
        </is>
      </c>
      <c r="S7" s="15" t="n">
        <v>1372120.0</v>
      </c>
      <c r="T7" s="15" t="n">
        <v>1307.0</v>
      </c>
    </row>
    <row r="8">
      <c r="A8" s="1" t="inlineStr">
        <is>
          <t>e88999b1-05ec-4268-bbbc-5119f6a8b867</t>
        </is>
      </c>
      <c r="B8" s="1" t="inlineStr">
        <is>
          <t>3df3999c-3eae-447e-86eb-ace45ffe1656</t>
        </is>
      </c>
      <c r="C8" s="1" t="inlineStr">
        <is>
          <t>7969e88d-93c3-3ac6-a71b-a5a023490392</t>
        </is>
      </c>
      <c r="D8" s="1" t="inlineStr">
        <is>
          <t>TDS Booked by Company</t>
        </is>
      </c>
      <c r="E8" s="1" t="inlineStr">
        <is>
          <t>Invoice Number Matched</t>
        </is>
      </c>
      <c r="F8" s="1" t="inlineStr">
        <is>
          <t>ledger</t>
        </is>
      </c>
      <c r="G8" s="1" t="inlineStr">
        <is>
          <t>31-10-2025</t>
        </is>
      </c>
      <c r="H8" s="1" t="inlineStr">
        <is>
          <t>ANK2526/GIS00697</t>
        </is>
      </c>
      <c r="I8" s="1" t="inlineStr">
        <is>
          <t>invoice</t>
        </is>
      </c>
      <c r="J8" s="1" t="inlineStr">
        <is>
          <t>MF</t>
        </is>
      </c>
      <c r="K8" s="1" t="inlineStr">
        <is>
          <t>EMTIG INJECTION [P TO P]</t>
        </is>
      </c>
      <c r="L8" s="15" t="n">
        <v>-3480330.0</v>
      </c>
      <c r="M8" s="1" t="inlineStr">
        <is>
          <t>ledger</t>
        </is>
      </c>
      <c r="N8" s="1" t="inlineStr">
        <is>
          <t>31-10-2025</t>
        </is>
      </c>
      <c r="O8" s="1" t="inlineStr">
        <is>
          <t xml:space="preserve">ANK2526/GIS00697      </t>
        </is>
      </c>
      <c r="P8" s="1" t="inlineStr">
        <is>
          <t>invoice</t>
        </is>
      </c>
      <c r="Q8" s="1" t="inlineStr">
        <is>
          <t>Sale</t>
        </is>
      </c>
      <c r="R8" s="1" t="inlineStr">
        <is>
          <t/>
        </is>
      </c>
      <c r="S8" s="15" t="n">
        <v>3483648.0</v>
      </c>
      <c r="T8" s="15" t="n">
        <v>3318.0</v>
      </c>
    </row>
    <row r="9">
      <c r="A9" s="1" t="inlineStr">
        <is>
          <t>40a85208-dcf4-496e-bfaa-a1aa50d87efd</t>
        </is>
      </c>
      <c r="B9" s="1" t="inlineStr">
        <is>
          <t>412b0cf1-2b9a-4f3d-b552-fb96018b8efd</t>
        </is>
      </c>
      <c r="C9" s="1" t="inlineStr">
        <is>
          <t>5e3d74eb-1238-31a5-b9ea-68850a0ee4b8</t>
        </is>
      </c>
      <c r="D9" s="1" t="inlineStr">
        <is>
          <t>TDS Booked by Company</t>
        </is>
      </c>
      <c r="E9" s="1" t="inlineStr">
        <is>
          <t>Invoice Number Matched</t>
        </is>
      </c>
      <c r="F9" s="1" t="inlineStr">
        <is>
          <t>ledger</t>
        </is>
      </c>
      <c r="G9" s="1" t="inlineStr">
        <is>
          <t>21-08-2025</t>
        </is>
      </c>
      <c r="H9" s="1" t="inlineStr">
        <is>
          <t>ANK2526/SER00049</t>
        </is>
      </c>
      <c r="I9" s="1" t="inlineStr">
        <is>
          <t>invoice</t>
        </is>
      </c>
      <c r="J9" s="1" t="inlineStr">
        <is>
          <t>KR</t>
        </is>
      </c>
      <c r="K9" s="1" t="inlineStr">
        <is>
          <t>LYKA RATE DIFFERENCE</t>
        </is>
      </c>
      <c r="L9" s="15" t="n">
        <v>-99742.0</v>
      </c>
      <c r="M9" s="1" t="inlineStr">
        <is>
          <t>ledger</t>
        </is>
      </c>
      <c r="N9" s="1" t="inlineStr">
        <is>
          <t>21-08-2025</t>
        </is>
      </c>
      <c r="O9" s="1" t="inlineStr">
        <is>
          <t xml:space="preserve">ANK2526/SER00049      </t>
        </is>
      </c>
      <c r="P9" s="1" t="inlineStr">
        <is>
          <t>invoice</t>
        </is>
      </c>
      <c r="Q9" s="1" t="inlineStr">
        <is>
          <t>Other</t>
        </is>
      </c>
      <c r="R9" s="1" t="inlineStr">
        <is>
          <t/>
        </is>
      </c>
      <c r="S9" s="15" t="n">
        <v>101556.0</v>
      </c>
      <c r="T9" s="15" t="n">
        <v>1814.0</v>
      </c>
    </row>
    <row r="10">
      <c r="A10" s="1" t="inlineStr">
        <is>
          <t>168a257c-6f08-46b6-9608-0725e376ecba</t>
        </is>
      </c>
      <c r="B10" s="1" t="inlineStr">
        <is>
          <t>4cabb64d-c453-46f4-808e-9156760af86e</t>
        </is>
      </c>
      <c r="C10" s="1" t="inlineStr">
        <is>
          <t>5a843abf-e9ca-324c-afd1-0dedba4227f0</t>
        </is>
      </c>
      <c r="D10" s="1" t="inlineStr">
        <is>
          <t>TDS Booked by Company</t>
        </is>
      </c>
      <c r="E10" s="1" t="inlineStr">
        <is>
          <t>Invoice Number Matched</t>
        </is>
      </c>
      <c r="F10" s="1" t="inlineStr">
        <is>
          <t>ledger</t>
        </is>
      </c>
      <c r="G10" s="1" t="inlineStr">
        <is>
          <t>26-11-2025</t>
        </is>
      </c>
      <c r="H10" s="1" t="inlineStr">
        <is>
          <t>ANK2526/GIS00781</t>
        </is>
      </c>
      <c r="I10" s="1" t="inlineStr">
        <is>
          <t>invoice</t>
        </is>
      </c>
      <c r="J10" s="1" t="inlineStr">
        <is>
          <t>MF</t>
        </is>
      </c>
      <c r="K10" s="1" t="inlineStr">
        <is>
          <t>REBEZ  IV INJECTION [P TO P]</t>
        </is>
      </c>
      <c r="L10" s="15" t="n">
        <v>-292718.0</v>
      </c>
      <c r="M10" s="1" t="inlineStr">
        <is>
          <t>ledger</t>
        </is>
      </c>
      <c r="N10" s="1" t="inlineStr">
        <is>
          <t>26-11-2025</t>
        </is>
      </c>
      <c r="O10" s="1" t="inlineStr">
        <is>
          <t xml:space="preserve">ANK2526/GIS00781      </t>
        </is>
      </c>
      <c r="P10" s="1" t="inlineStr">
        <is>
          <t>invoice</t>
        </is>
      </c>
      <c r="Q10" s="1" t="inlineStr">
        <is>
          <t>Sale</t>
        </is>
      </c>
      <c r="R10" s="1" t="inlineStr">
        <is>
          <t/>
        </is>
      </c>
      <c r="S10" s="15" t="n">
        <v>292997.0</v>
      </c>
      <c r="T10" s="15" t="n">
        <v>279.0</v>
      </c>
    </row>
    <row r="11">
      <c r="A11" s="1" t="inlineStr">
        <is>
          <t>5f10247c-e587-427f-949f-e2e1ffaa410d</t>
        </is>
      </c>
      <c r="B11" s="1" t="inlineStr">
        <is>
          <t>50e3b35b-9047-4be7-af36-0db993f961e8</t>
        </is>
      </c>
      <c r="C11" s="1" t="inlineStr">
        <is>
          <t>c11d5c55-e4a0-3b4f-8aaa-7a1cd55e7744</t>
        </is>
      </c>
      <c r="D11" s="1" t="inlineStr">
        <is>
          <t>TDS Booked by Company</t>
        </is>
      </c>
      <c r="E11" s="1" t="inlineStr">
        <is>
          <t>Invoice Number Matched</t>
        </is>
      </c>
      <c r="F11" s="1" t="inlineStr">
        <is>
          <t>ledger</t>
        </is>
      </c>
      <c r="G11" s="1" t="inlineStr">
        <is>
          <t>31-07-2025</t>
        </is>
      </c>
      <c r="H11" s="1" t="inlineStr">
        <is>
          <t>ANK2526/SER00044</t>
        </is>
      </c>
      <c r="I11" s="1" t="inlineStr">
        <is>
          <t>invoice</t>
        </is>
      </c>
      <c r="J11" s="1" t="inlineStr">
        <is>
          <t>MI</t>
        </is>
      </c>
      <c r="K11" s="1" t="inlineStr">
        <is>
          <t>420005883  SOPRAPEN I.V. 20 MG G</t>
        </is>
      </c>
      <c r="L11" s="15" t="n">
        <v>-86526.2</v>
      </c>
      <c r="M11" s="1" t="inlineStr">
        <is>
          <t>ledger</t>
        </is>
      </c>
      <c r="N11" s="1" t="inlineStr">
        <is>
          <t>31-07-2025</t>
        </is>
      </c>
      <c r="O11" s="1" t="inlineStr">
        <is>
          <t xml:space="preserve">ANK2526/SER00044      </t>
        </is>
      </c>
      <c r="P11" s="1" t="inlineStr">
        <is>
          <t>invoice</t>
        </is>
      </c>
      <c r="Q11" s="1" t="inlineStr">
        <is>
          <t>Other</t>
        </is>
      </c>
      <c r="R11" s="1" t="inlineStr">
        <is>
          <t/>
        </is>
      </c>
      <c r="S11" s="15" t="n">
        <v>88099.2</v>
      </c>
      <c r="T11" s="15" t="n">
        <v>1573.0</v>
      </c>
    </row>
    <row r="12">
      <c r="A12" s="1" t="inlineStr">
        <is>
          <t>5d4248ec-7a4e-4fcd-bcc9-3fa3cbd79825</t>
        </is>
      </c>
      <c r="B12" s="1" t="inlineStr">
        <is>
          <t>80f49ab0-4efa-4eda-b1aa-723f9a2e2702</t>
        </is>
      </c>
      <c r="C12" s="1" t="inlineStr">
        <is>
          <t>7515671b-9a76-3276-8caa-36e894b60403</t>
        </is>
      </c>
      <c r="D12" s="1" t="inlineStr">
        <is>
          <t>TDS Booked by Company</t>
        </is>
      </c>
      <c r="E12" s="1" t="inlineStr">
        <is>
          <t>Invoice Number Matched</t>
        </is>
      </c>
      <c r="F12" s="1" t="inlineStr">
        <is>
          <t>ledger</t>
        </is>
      </c>
      <c r="G12" s="1" t="inlineStr">
        <is>
          <t>30-11-2025</t>
        </is>
      </c>
      <c r="H12" s="1" t="inlineStr">
        <is>
          <t>ANK2526/GIS00823</t>
        </is>
      </c>
      <c r="I12" s="1" t="inlineStr">
        <is>
          <t>invoice</t>
        </is>
      </c>
      <c r="J12" s="1" t="inlineStr">
        <is>
          <t>MF</t>
        </is>
      </c>
      <c r="K12" s="1" t="inlineStr">
        <is>
          <t>REBEZ  IV INJECTION [P TO P]</t>
        </is>
      </c>
      <c r="L12" s="15" t="n">
        <v>-834164.0</v>
      </c>
      <c r="M12" s="1" t="inlineStr">
        <is>
          <t>ledger</t>
        </is>
      </c>
      <c r="N12" s="1" t="inlineStr">
        <is>
          <t>30-11-2025</t>
        </is>
      </c>
      <c r="O12" s="1" t="inlineStr">
        <is>
          <t xml:space="preserve">ANK2526/GIS00823      </t>
        </is>
      </c>
      <c r="P12" s="1" t="inlineStr">
        <is>
          <t>invoice</t>
        </is>
      </c>
      <c r="Q12" s="1" t="inlineStr">
        <is>
          <t>Sale</t>
        </is>
      </c>
      <c r="R12" s="1" t="inlineStr">
        <is>
          <t/>
        </is>
      </c>
      <c r="S12" s="15" t="n">
        <v>834959.0</v>
      </c>
      <c r="T12" s="15" t="n">
        <v>795.0</v>
      </c>
    </row>
    <row r="13">
      <c r="A13" s="1" t="inlineStr">
        <is>
          <t>31bbc752-4579-4f0a-8c60-93d9f4763baa</t>
        </is>
      </c>
      <c r="B13" s="1" t="inlineStr">
        <is>
          <t>81bba397-4096-40c8-b7e2-b7017396a2d5</t>
        </is>
      </c>
      <c r="C13" s="1" t="inlineStr">
        <is>
          <t>4121dcea-21e1-39ea-b2ae-617ac8d404e6</t>
        </is>
      </c>
      <c r="D13" s="1" t="inlineStr">
        <is>
          <t>TDS Booked by Company</t>
        </is>
      </c>
      <c r="E13" s="1" t="inlineStr">
        <is>
          <t>Invoice Number Matched</t>
        </is>
      </c>
      <c r="F13" s="1" t="inlineStr">
        <is>
          <t>ledger</t>
        </is>
      </c>
      <c r="G13" s="1" t="inlineStr">
        <is>
          <t>27-11-2025</t>
        </is>
      </c>
      <c r="H13" s="1" t="inlineStr">
        <is>
          <t>ANK2526/GIS00786</t>
        </is>
      </c>
      <c r="I13" s="1" t="inlineStr">
        <is>
          <t>invoice</t>
        </is>
      </c>
      <c r="J13" s="1" t="inlineStr">
        <is>
          <t>MF</t>
        </is>
      </c>
      <c r="K13" s="1" t="inlineStr">
        <is>
          <t>EMTIG INJECTION [P TO P]</t>
        </is>
      </c>
      <c r="L13" s="15" t="n">
        <v>-1707537.0</v>
      </c>
      <c r="M13" s="1" t="inlineStr">
        <is>
          <t>ledger</t>
        </is>
      </c>
      <c r="N13" s="1" t="inlineStr">
        <is>
          <t>27-11-2025</t>
        </is>
      </c>
      <c r="O13" s="1" t="inlineStr">
        <is>
          <t xml:space="preserve">ANK2526/GIS00786      </t>
        </is>
      </c>
      <c r="P13" s="1" t="inlineStr">
        <is>
          <t>invoice</t>
        </is>
      </c>
      <c r="Q13" s="1" t="inlineStr">
        <is>
          <t>Sale</t>
        </is>
      </c>
      <c r="R13" s="1" t="inlineStr">
        <is>
          <t/>
        </is>
      </c>
      <c r="S13" s="15" t="n">
        <v>1709165.0</v>
      </c>
      <c r="T13" s="15" t="n">
        <v>1628.0</v>
      </c>
    </row>
    <row r="14">
      <c r="A14" s="1" t="inlineStr">
        <is>
          <t>0f9f61f7-2b34-4dfe-aee8-d2dc688d3fa6</t>
        </is>
      </c>
      <c r="B14" s="1" t="inlineStr">
        <is>
          <t>83d8b82f-3094-49cf-9377-fc9d3deeb24d</t>
        </is>
      </c>
      <c r="C14" s="1" t="inlineStr">
        <is>
          <t>f7bbdf7e-4187-3925-a070-e1e08ff0b17d</t>
        </is>
      </c>
      <c r="D14" s="1" t="inlineStr">
        <is>
          <t>TDS Booked by Company</t>
        </is>
      </c>
      <c r="E14" s="1" t="inlineStr">
        <is>
          <t>Invoice Number Matched</t>
        </is>
      </c>
      <c r="F14" s="1" t="inlineStr">
        <is>
          <t>ledger</t>
        </is>
      </c>
      <c r="G14" s="1" t="inlineStr">
        <is>
          <t>03-07-2025</t>
        </is>
      </c>
      <c r="H14" s="1" t="inlineStr">
        <is>
          <t>ANK2526/SER00028</t>
        </is>
      </c>
      <c r="I14" s="1" t="inlineStr">
        <is>
          <t>invoice</t>
        </is>
      </c>
      <c r="J14" s="1" t="inlineStr">
        <is>
          <t>MI</t>
        </is>
      </c>
      <c r="K14" s="1" t="inlineStr">
        <is>
          <t>Job Work Charge - JULY 2025</t>
        </is>
      </c>
      <c r="L14" s="15" t="n">
        <v>-1841.88</v>
      </c>
      <c r="M14" s="1" t="inlineStr">
        <is>
          <t>ledger</t>
        </is>
      </c>
      <c r="N14" s="1" t="inlineStr">
        <is>
          <t>03-07-2025</t>
        </is>
      </c>
      <c r="O14" s="1" t="inlineStr">
        <is>
          <t xml:space="preserve">ANK2526/SER00028      </t>
        </is>
      </c>
      <c r="P14" s="1" t="inlineStr">
        <is>
          <t>invoice</t>
        </is>
      </c>
      <c r="Q14" s="1" t="inlineStr">
        <is>
          <t>Other</t>
        </is>
      </c>
      <c r="R14" s="1" t="inlineStr">
        <is>
          <t/>
        </is>
      </c>
      <c r="S14" s="15" t="n">
        <v>1874.88</v>
      </c>
      <c r="T14" s="15" t="n">
        <v>33.0</v>
      </c>
    </row>
    <row r="15">
      <c r="A15" s="1" t="inlineStr">
        <is>
          <t>2543a07b-06f5-4707-8f6b-ea16f5988c18</t>
        </is>
      </c>
      <c r="B15" s="1" t="inlineStr">
        <is>
          <t>8578df19-94dc-4a2a-bedc-d18320afb9d5</t>
        </is>
      </c>
      <c r="C15" s="1" t="inlineStr">
        <is>
          <t>ebc65537-cc7d-3651-8d18-ac57f49ee624</t>
        </is>
      </c>
      <c r="D15" s="1" t="inlineStr">
        <is>
          <t>TDS Booked by Company</t>
        </is>
      </c>
      <c r="E15" s="1" t="inlineStr">
        <is>
          <t>Invoice Number Matched</t>
        </is>
      </c>
      <c r="F15" s="1" t="inlineStr">
        <is>
          <t>ledger</t>
        </is>
      </c>
      <c r="G15" s="1" t="inlineStr">
        <is>
          <t>31-07-2025</t>
        </is>
      </c>
      <c r="H15" s="1" t="inlineStr">
        <is>
          <t>ANK2526/SER00043</t>
        </is>
      </c>
      <c r="I15" s="1" t="inlineStr">
        <is>
          <t>invoice</t>
        </is>
      </c>
      <c r="J15" s="1" t="inlineStr">
        <is>
          <t>MI</t>
        </is>
      </c>
      <c r="K15" s="1" t="inlineStr">
        <is>
          <t>421111717  MATERNA - HMG 150 IU</t>
        </is>
      </c>
      <c r="L15" s="15" t="n">
        <v>-937569.32</v>
      </c>
      <c r="M15" s="1" t="inlineStr">
        <is>
          <t>ledger</t>
        </is>
      </c>
      <c r="N15" s="1" t="inlineStr">
        <is>
          <t>31-07-2025</t>
        </is>
      </c>
      <c r="O15" s="1" t="inlineStr">
        <is>
          <t xml:space="preserve">ANK2526/SER00043      </t>
        </is>
      </c>
      <c r="P15" s="1" t="inlineStr">
        <is>
          <t>invoice</t>
        </is>
      </c>
      <c r="Q15" s="1" t="inlineStr">
        <is>
          <t>Other</t>
        </is>
      </c>
      <c r="R15" s="1" t="inlineStr">
        <is>
          <t/>
        </is>
      </c>
      <c r="S15" s="15" t="n">
        <v>954616.32</v>
      </c>
      <c r="T15" s="15" t="n">
        <v>17047.0</v>
      </c>
    </row>
    <row r="16">
      <c r="A16" s="1" t="inlineStr">
        <is>
          <t>626097b2-3743-4a8b-96db-a3f8c3a8fabf</t>
        </is>
      </c>
      <c r="B16" s="1" t="inlineStr">
        <is>
          <t>90df11c7-89a9-4ada-bf91-5bcbc9c0d2c8</t>
        </is>
      </c>
      <c r="C16" s="1" t="inlineStr">
        <is>
          <t>d844a4c4-df8d-3fb4-a542-9b3262225213</t>
        </is>
      </c>
      <c r="D16" s="1" t="inlineStr">
        <is>
          <t>TDS Booked by Company</t>
        </is>
      </c>
      <c r="E16" s="1" t="inlineStr">
        <is>
          <t>Invoice Number Matched</t>
        </is>
      </c>
      <c r="F16" s="1" t="inlineStr">
        <is>
          <t>ledger</t>
        </is>
      </c>
      <c r="G16" s="1" t="inlineStr">
        <is>
          <t>22-01-2026</t>
        </is>
      </c>
      <c r="H16" s="1" t="inlineStr">
        <is>
          <t>ANK2526/GIS00923</t>
        </is>
      </c>
      <c r="I16" s="1" t="inlineStr">
        <is>
          <t>invoice</t>
        </is>
      </c>
      <c r="J16" s="1" t="inlineStr">
        <is>
          <t>MF</t>
        </is>
      </c>
      <c r="K16" s="1" t="inlineStr">
        <is>
          <t>EMTIG INJECTION [P TO P]</t>
        </is>
      </c>
      <c r="L16" s="15" t="n">
        <v>-3422325.0</v>
      </c>
      <c r="M16" s="1" t="inlineStr">
        <is>
          <t>ledger</t>
        </is>
      </c>
      <c r="N16" s="1" t="inlineStr">
        <is>
          <t>22-01-2026</t>
        </is>
      </c>
      <c r="O16" s="1" t="inlineStr">
        <is>
          <t xml:space="preserve">ANK2526/GIS00923      </t>
        </is>
      </c>
      <c r="P16" s="1" t="inlineStr">
        <is>
          <t>invoice</t>
        </is>
      </c>
      <c r="Q16" s="1" t="inlineStr">
        <is>
          <t>Sale</t>
        </is>
      </c>
      <c r="R16" s="1" t="inlineStr">
        <is>
          <t/>
        </is>
      </c>
      <c r="S16" s="15" t="n">
        <v>3425587.0</v>
      </c>
      <c r="T16" s="15" t="n">
        <v>3262.0</v>
      </c>
    </row>
    <row r="17">
      <c r="A17" s="1" t="inlineStr">
        <is>
          <t>3bc802fe-64c7-4942-bdfb-ab0ec16fcfda</t>
        </is>
      </c>
      <c r="B17" s="1" t="inlineStr">
        <is>
          <t>9782919a-be50-4cfb-864f-ab41855d5646</t>
        </is>
      </c>
      <c r="C17" s="1" t="inlineStr">
        <is>
          <t>ee43bf8d-99e2-31e1-ad3a-20c1cb03a504</t>
        </is>
      </c>
      <c r="D17" s="1" t="inlineStr">
        <is>
          <t>TDS Booked by Company</t>
        </is>
      </c>
      <c r="E17" s="1" t="inlineStr">
        <is>
          <t>Invoice Number Matched</t>
        </is>
      </c>
      <c r="F17" s="1" t="inlineStr">
        <is>
          <t>ledger</t>
        </is>
      </c>
      <c r="G17" s="1" t="inlineStr">
        <is>
          <t>23-01-2026</t>
        </is>
      </c>
      <c r="H17" s="1" t="inlineStr">
        <is>
          <t>ANK2526/GIS00926</t>
        </is>
      </c>
      <c r="I17" s="1" t="inlineStr">
        <is>
          <t>invoice</t>
        </is>
      </c>
      <c r="J17" s="1" t="inlineStr">
        <is>
          <t>MF</t>
        </is>
      </c>
      <c r="K17" s="1" t="inlineStr">
        <is>
          <t>REBEZ  IV INJECTION [P TO P]</t>
        </is>
      </c>
      <c r="L17" s="15" t="n">
        <v>-1612661.0</v>
      </c>
      <c r="M17" s="1" t="inlineStr">
        <is>
          <t>ledger</t>
        </is>
      </c>
      <c r="N17" s="1" t="inlineStr">
        <is>
          <t>23-01-2026</t>
        </is>
      </c>
      <c r="O17" s="1" t="inlineStr">
        <is>
          <t xml:space="preserve">ANK2526/GIS00926      </t>
        </is>
      </c>
      <c r="P17" s="1" t="inlineStr">
        <is>
          <t>invoice</t>
        </is>
      </c>
      <c r="Q17" s="1" t="inlineStr">
        <is>
          <t>Sale</t>
        </is>
      </c>
      <c r="R17" s="1" t="inlineStr">
        <is>
          <t/>
        </is>
      </c>
      <c r="S17" s="15" t="n">
        <v>1614198.0</v>
      </c>
      <c r="T17" s="15" t="n">
        <v>1537.0</v>
      </c>
    </row>
    <row r="18">
      <c r="A18" s="1" t="inlineStr">
        <is>
          <t>74df1aa3-bc82-40e6-b13c-9ad2dd46ec10</t>
        </is>
      </c>
      <c r="B18" s="1" t="inlineStr">
        <is>
          <t>d151a706-c557-4177-ace4-ad6f0c530f1d</t>
        </is>
      </c>
      <c r="C18" s="1" t="inlineStr">
        <is>
          <t>7f4b4023-d438-3660-b28b-f92d110c9b33</t>
        </is>
      </c>
      <c r="D18" s="1" t="inlineStr">
        <is>
          <t>TDS Booked by Company</t>
        </is>
      </c>
      <c r="E18" s="1" t="inlineStr">
        <is>
          <t>Invoice Number Matched</t>
        </is>
      </c>
      <c r="F18" s="1" t="inlineStr">
        <is>
          <t>ledger</t>
        </is>
      </c>
      <c r="G18" s="1" t="inlineStr">
        <is>
          <t>19-07-2025</t>
        </is>
      </c>
      <c r="H18" s="1" t="inlineStr">
        <is>
          <t>ANK2526/SER00034</t>
        </is>
      </c>
      <c r="I18" s="1" t="inlineStr">
        <is>
          <t>invoice</t>
        </is>
      </c>
      <c r="J18" s="1" t="inlineStr">
        <is>
          <t>MI</t>
        </is>
      </c>
      <c r="K18" s="1" t="inlineStr">
        <is>
          <t>421111715  MATERNA - HCG 10000</t>
        </is>
      </c>
      <c r="L18" s="15" t="n">
        <v>-561527.0</v>
      </c>
      <c r="M18" s="1" t="inlineStr">
        <is>
          <t>ledger</t>
        </is>
      </c>
      <c r="N18" s="1" t="inlineStr">
        <is>
          <t>19-07-2025</t>
        </is>
      </c>
      <c r="O18" s="1" t="inlineStr">
        <is>
          <t xml:space="preserve">ANK2526/SER00034      </t>
        </is>
      </c>
      <c r="P18" s="1" t="inlineStr">
        <is>
          <t>invoice</t>
        </is>
      </c>
      <c r="Q18" s="1" t="inlineStr">
        <is>
          <t>Other</t>
        </is>
      </c>
      <c r="R18" s="1" t="inlineStr">
        <is>
          <t/>
        </is>
      </c>
      <c r="S18" s="15" t="n">
        <v>571737.6</v>
      </c>
      <c r="T18" s="15" t="n">
        <v>10210.599999999977</v>
      </c>
    </row>
    <row r="19">
      <c r="A19" s="1" t="inlineStr">
        <is>
          <t>215b6c63-0821-4a1d-9607-b462e3341c7b</t>
        </is>
      </c>
      <c r="B19" s="1" t="inlineStr">
        <is>
          <t>d1d4383f-e165-4af5-886e-e48c124cc044</t>
        </is>
      </c>
      <c r="C19" s="1" t="inlineStr">
        <is>
          <t>c873a8dd-4fbf-3f48-98a8-4474546891b4</t>
        </is>
      </c>
      <c r="D19" s="1" t="inlineStr">
        <is>
          <t>TDS Booked by Company</t>
        </is>
      </c>
      <c r="E19" s="1" t="inlineStr">
        <is>
          <t>Invoice Number Matched</t>
        </is>
      </c>
      <c r="F19" s="1" t="inlineStr">
        <is>
          <t>ledger</t>
        </is>
      </c>
      <c r="G19" s="1" t="inlineStr">
        <is>
          <t>31-08-2025</t>
        </is>
      </c>
      <c r="H19" s="1" t="inlineStr">
        <is>
          <t>ANK2526/GIS00545</t>
        </is>
      </c>
      <c r="I19" s="1" t="inlineStr">
        <is>
          <t>invoice</t>
        </is>
      </c>
      <c r="J19" s="1" t="inlineStr">
        <is>
          <t>MF</t>
        </is>
      </c>
      <c r="K19" s="1" t="inlineStr">
        <is>
          <t>MATERNA DEPOT 3.75 MG INJ.[P2P]NSCH-ONCO</t>
        </is>
      </c>
      <c r="L19" s="15" t="n">
        <v>-3917289.0</v>
      </c>
      <c r="M19" s="1" t="inlineStr">
        <is>
          <t>ledger</t>
        </is>
      </c>
      <c r="N19" s="1" t="inlineStr">
        <is>
          <t>31-08-2025</t>
        </is>
      </c>
      <c r="O19" s="1" t="inlineStr">
        <is>
          <t xml:space="preserve">ANK2526/GIS00545      </t>
        </is>
      </c>
      <c r="P19" s="1" t="inlineStr">
        <is>
          <t>invoice</t>
        </is>
      </c>
      <c r="Q19" s="1" t="inlineStr">
        <is>
          <t>Sale</t>
        </is>
      </c>
      <c r="R19" s="1" t="inlineStr">
        <is>
          <t/>
        </is>
      </c>
      <c r="S19" s="15" t="n">
        <v>3920000.0</v>
      </c>
      <c r="T19" s="15" t="n">
        <v>2711.0</v>
      </c>
    </row>
    <row r="20">
      <c r="A20" s="1" t="inlineStr">
        <is>
          <t>bfacda10-298a-45fb-a0b8-561ea38f192b</t>
        </is>
      </c>
      <c r="B20" s="1" t="inlineStr">
        <is>
          <t>d7ed3f6c-6931-4855-85b0-e1359d7f45cc</t>
        </is>
      </c>
      <c r="C20" s="1" t="inlineStr">
        <is>
          <t>2f904425-1935-38d4-b518-fd53aca1c625</t>
        </is>
      </c>
      <c r="D20" s="1" t="inlineStr">
        <is>
          <t>TDS Booked by Company</t>
        </is>
      </c>
      <c r="E20" s="1" t="inlineStr">
        <is>
          <t>Invoice Number Matched</t>
        </is>
      </c>
      <c r="F20" s="1" t="inlineStr">
        <is>
          <t>ledger</t>
        </is>
      </c>
      <c r="G20" s="1" t="inlineStr">
        <is>
          <t>26-06-2025</t>
        </is>
      </c>
      <c r="H20" s="1" t="inlineStr">
        <is>
          <t>ANK2526/SER00025</t>
        </is>
      </c>
      <c r="I20" s="1" t="inlineStr">
        <is>
          <t>invoice</t>
        </is>
      </c>
      <c r="J20" s="1" t="inlineStr">
        <is>
          <t>MI</t>
        </is>
      </c>
      <c r="K20" s="1" t="inlineStr">
        <is>
          <t>420002214  PANPURE I.V. 20 MG DO</t>
        </is>
      </c>
      <c r="L20" s="15" t="n">
        <v>-508860.0</v>
      </c>
      <c r="M20" s="1" t="inlineStr">
        <is>
          <t>ledger</t>
        </is>
      </c>
      <c r="N20" s="1" t="inlineStr">
        <is>
          <t>26-06-2025</t>
        </is>
      </c>
      <c r="O20" s="1" t="inlineStr">
        <is>
          <t xml:space="preserve">ANK2526/SER00025      </t>
        </is>
      </c>
      <c r="P20" s="1" t="inlineStr">
        <is>
          <t>invoice</t>
        </is>
      </c>
      <c r="Q20" s="1" t="inlineStr">
        <is>
          <t>Other</t>
        </is>
      </c>
      <c r="R20" s="1" t="inlineStr">
        <is>
          <t/>
        </is>
      </c>
      <c r="S20" s="15" t="n">
        <v>518112.0</v>
      </c>
      <c r="T20" s="15" t="n">
        <v>9252.0</v>
      </c>
    </row>
    <row r="21">
      <c r="A21" s="1" t="inlineStr">
        <is>
          <t>ee2df619-aa96-4c09-9f21-aa502ad154b7</t>
        </is>
      </c>
      <c r="B21" s="1" t="inlineStr">
        <is>
          <t>ee94a38b-95f5-497b-9848-3949e3dc4007</t>
        </is>
      </c>
      <c r="C21" s="1" t="inlineStr">
        <is>
          <t>cc26e4c9-ecf9-33ca-a270-2d0bb50578bc</t>
        </is>
      </c>
      <c r="D21" s="1" t="inlineStr">
        <is>
          <t>TDS Booked by Company</t>
        </is>
      </c>
      <c r="E21" s="1" t="inlineStr">
        <is>
          <t>Invoice Number Matched</t>
        </is>
      </c>
      <c r="F21" s="1" t="inlineStr">
        <is>
          <t>ledger</t>
        </is>
      </c>
      <c r="G21" s="1" t="inlineStr">
        <is>
          <t>21-08-2025</t>
        </is>
      </c>
      <c r="H21" s="1" t="inlineStr">
        <is>
          <t>ANK2526/SER00050</t>
        </is>
      </c>
      <c r="I21" s="1" t="inlineStr">
        <is>
          <t>invoice</t>
        </is>
      </c>
      <c r="J21" s="1" t="inlineStr">
        <is>
          <t>MI</t>
        </is>
      </c>
      <c r="K21" s="1" t="inlineStr">
        <is>
          <t>421111714  MATERNA - HCG 5000 IU</t>
        </is>
      </c>
      <c r="L21" s="15" t="n">
        <v>-2460902.0</v>
      </c>
      <c r="M21" s="1" t="inlineStr">
        <is>
          <t>ledger</t>
        </is>
      </c>
      <c r="N21" s="1" t="inlineStr">
        <is>
          <t>21-08-2025</t>
        </is>
      </c>
      <c r="O21" s="1" t="inlineStr">
        <is>
          <t xml:space="preserve">ANK2526/SER00050      </t>
        </is>
      </c>
      <c r="P21" s="1" t="inlineStr">
        <is>
          <t>invoice</t>
        </is>
      </c>
      <c r="Q21" s="1" t="inlineStr">
        <is>
          <t>Other</t>
        </is>
      </c>
      <c r="R21" s="1" t="inlineStr">
        <is>
          <t/>
        </is>
      </c>
      <c r="S21" s="15" t="n">
        <v>2505646.08</v>
      </c>
      <c r="T21" s="15" t="n">
        <v>44744.080000000075</v>
      </c>
    </row>
    <row r="22">
      <c r="A22" s="1" t="inlineStr">
        <is>
          <t>feffc451-9eb3-4171-8faf-000859405a38</t>
        </is>
      </c>
      <c r="B22" s="1" t="inlineStr">
        <is>
          <t>fad17af0-baf0-4352-a9e7-25d790de30fe</t>
        </is>
      </c>
      <c r="C22" s="1" t="inlineStr">
        <is>
          <t>80ae845c-e9fa-33be-bd86-890140fe421e</t>
        </is>
      </c>
      <c r="D22" s="1" t="inlineStr">
        <is>
          <t>TDS Booked by Company</t>
        </is>
      </c>
      <c r="E22" s="1" t="inlineStr">
        <is>
          <t>Invoice Number Matched</t>
        </is>
      </c>
      <c r="F22" s="1" t="inlineStr">
        <is>
          <t>ledger</t>
        </is>
      </c>
      <c r="G22" s="1" t="inlineStr">
        <is>
          <t>26-11-2025</t>
        </is>
      </c>
      <c r="H22" s="1" t="inlineStr">
        <is>
          <t>ANK2526/GIS00782</t>
        </is>
      </c>
      <c r="I22" s="1" t="inlineStr">
        <is>
          <t>invoice</t>
        </is>
      </c>
      <c r="J22" s="1" t="inlineStr">
        <is>
          <t>MF</t>
        </is>
      </c>
      <c r="K22" s="1" t="inlineStr">
        <is>
          <t>REBEZ  IV INJECTION [P TO P]</t>
        </is>
      </c>
      <c r="L22" s="15" t="n">
        <v>-120715.0</v>
      </c>
      <c r="M22" s="1" t="inlineStr">
        <is>
          <t>ledger</t>
        </is>
      </c>
      <c r="N22" s="1" t="inlineStr">
        <is>
          <t>26-11-2025</t>
        </is>
      </c>
      <c r="O22" s="1" t="inlineStr">
        <is>
          <t xml:space="preserve">ANK2526/GIS00782      </t>
        </is>
      </c>
      <c r="P22" s="1" t="inlineStr">
        <is>
          <t>invoice</t>
        </is>
      </c>
      <c r="Q22" s="1" t="inlineStr">
        <is>
          <t>Sale</t>
        </is>
      </c>
      <c r="R22" s="1" t="inlineStr">
        <is>
          <t/>
        </is>
      </c>
      <c r="S22" s="15" t="n">
        <v>120830.0</v>
      </c>
      <c r="T22" s="15" t="n">
        <v>115.0</v>
      </c>
    </row>
    <row r="23">
      <c r="A23" s="1" t="inlineStr">
        <is>
          <t>524bc8e0-a4a8-42e8-b23d-c1f23686de5a</t>
        </is>
      </c>
      <c r="B23" s="1" t="inlineStr">
        <is>
          <t>186ecf5a-6b8f-46dc-affc-8da4ff6898d7</t>
        </is>
      </c>
      <c r="C23" s="1" t="inlineStr">
        <is>
          <t>23202ed6-9dcb-4c15-beab-145bc4a547de</t>
        </is>
      </c>
      <c r="D23" s="1" t="inlineStr">
        <is>
          <t>TDS Booked by Party</t>
        </is>
      </c>
      <c r="E23" s="1" t="inlineStr">
        <is>
          <t>Payment Matched - Recommended</t>
        </is>
      </c>
      <c r="F23" s="1" t="inlineStr">
        <is>
          <t>ledger</t>
        </is>
      </c>
      <c r="G23" s="1" t="inlineStr">
        <is>
          <t>22-01-2026</t>
        </is>
      </c>
      <c r="H23" s="1" t="inlineStr">
        <is>
          <t>7053054141</t>
        </is>
      </c>
      <c r="I23" s="1" t="inlineStr">
        <is>
          <t>payment</t>
        </is>
      </c>
      <c r="J23" s="1" t="inlineStr">
        <is>
          <t>KZ</t>
        </is>
      </c>
      <c r="K23" s="1" t="inlineStr">
        <is>
          <t/>
        </is>
      </c>
      <c r="L23" s="15" t="n">
        <v>413433.0</v>
      </c>
      <c r="M23" s="1" t="inlineStr">
        <is>
          <t>ledger</t>
        </is>
      </c>
      <c r="N23" s="1" t="inlineStr">
        <is>
          <t>23-01-2026</t>
        </is>
      </c>
      <c r="O23" s="1" t="inlineStr">
        <is>
          <t>UTIBR72026012300040395</t>
        </is>
      </c>
      <c r="P23" s="1" t="inlineStr">
        <is>
          <t>payment</t>
        </is>
      </c>
      <c r="Q23" s="1" t="inlineStr">
        <is>
          <t>Receipt</t>
        </is>
      </c>
      <c r="R23" s="1" t="inlineStr">
        <is>
          <t/>
        </is>
      </c>
      <c r="S23" s="15" t="n">
        <v>-413827.0</v>
      </c>
      <c r="T23" s="15" t="n">
        <v>-394.0</v>
      </c>
    </row>
    <row r="24">
      <c r="A24" s="1" t="inlineStr">
        <is>
          <t>01b0bfca-76c7-41e4-b373-b8f58d7c5a86</t>
        </is>
      </c>
      <c r="B24" s="1" t="inlineStr">
        <is>
          <t>1e1bce79-95dd-4cc6-8b1b-ff4d93cc6372</t>
        </is>
      </c>
      <c r="C24" s="1" t="inlineStr">
        <is>
          <t>4d6f23b7-dd76-3d73-b15f-1e43a867c178</t>
        </is>
      </c>
      <c r="D24" s="1" t="inlineStr">
        <is>
          <t>TDS Booked by Party</t>
        </is>
      </c>
      <c r="E24" s="1" t="inlineStr">
        <is>
          <t>Date and Amount Matched - Recommended</t>
        </is>
      </c>
      <c r="F24" s="1" t="inlineStr">
        <is>
          <t>ledger</t>
        </is>
      </c>
      <c r="G24" s="1" t="inlineStr">
        <is>
          <t>17-04-2025</t>
        </is>
      </c>
      <c r="H24" s="1" t="inlineStr">
        <is>
          <t>7053002545</t>
        </is>
      </c>
      <c r="I24" s="1" t="inlineStr">
        <is>
          <t>payment</t>
        </is>
      </c>
      <c r="J24" s="1" t="inlineStr">
        <is>
          <t>KZ</t>
        </is>
      </c>
      <c r="K24" s="1" t="inlineStr">
        <is>
          <t/>
        </is>
      </c>
      <c r="L24" s="15" t="n">
        <v>7298494.0</v>
      </c>
      <c r="M24" s="1" t="inlineStr">
        <is>
          <t>ledger</t>
        </is>
      </c>
      <c r="N24" s="1" t="inlineStr">
        <is>
          <t>17-04-2025</t>
        </is>
      </c>
      <c r="O24" s="1" t="inlineStr">
        <is>
          <t>UTIBR72025041700038257</t>
        </is>
      </c>
      <c r="P24" s="1" t="inlineStr">
        <is>
          <t>payment</t>
        </is>
      </c>
      <c r="Q24" s="1" t="inlineStr">
        <is>
          <t>Receipt</t>
        </is>
      </c>
      <c r="R24" s="1" t="inlineStr">
        <is>
          <t/>
        </is>
      </c>
      <c r="S24" s="15" t="n">
        <v>-7305016.0</v>
      </c>
      <c r="T24" s="15" t="n">
        <v>-6522.0</v>
      </c>
    </row>
    <row r="25">
      <c r="A25" s="1" t="inlineStr">
        <is>
          <t>06b4cbc1-df7c-4dc2-a5e5-e3ed11468e91</t>
        </is>
      </c>
      <c r="B25" s="1" t="inlineStr">
        <is>
          <t>45a5cece-d771-4b25-a062-d0c539fffa26</t>
        </is>
      </c>
      <c r="C25" s="1" t="inlineStr">
        <is>
          <t>1395c5ae-873f-3f8b-ae53-ab71616636e5</t>
        </is>
      </c>
      <c r="D25" s="1" t="inlineStr">
        <is>
          <t>TDS Booked by Party</t>
        </is>
      </c>
      <c r="E25" s="1" t="inlineStr">
        <is>
          <t>Multiple Based on Date</t>
        </is>
      </c>
      <c r="F25" s="1" t="inlineStr">
        <is>
          <t>ledger</t>
        </is>
      </c>
      <c r="G25" s="1" t="inlineStr">
        <is>
          <t>08-10-2025</t>
        </is>
      </c>
      <c r="H25" s="1" t="inlineStr">
        <is>
          <t>7053032927</t>
        </is>
      </c>
      <c r="I25" s="1" t="inlineStr">
        <is>
          <t>payment</t>
        </is>
      </c>
      <c r="J25" s="1" t="inlineStr">
        <is>
          <t>KZ</t>
        </is>
      </c>
      <c r="K25" s="1" t="inlineStr">
        <is>
          <t/>
        </is>
      </c>
      <c r="L25" s="15" t="n">
        <v>99742.0</v>
      </c>
      <c r="M25" s="1" t="inlineStr">
        <is>
          <t>ledger</t>
        </is>
      </c>
      <c r="N25" s="1" t="inlineStr">
        <is>
          <t>08-10-2025</t>
        </is>
      </c>
      <c r="O25" s="1" t="inlineStr">
        <is>
          <t>UTIBR72025100800060307</t>
        </is>
      </c>
      <c r="P25" s="1" t="inlineStr">
        <is>
          <t>payment</t>
        </is>
      </c>
      <c r="Q25" s="1" t="inlineStr">
        <is>
          <t>Receipt</t>
        </is>
      </c>
      <c r="R25" s="1" t="inlineStr">
        <is>
          <t/>
        </is>
      </c>
      <c r="S25" s="15" t="n">
        <v>0.0</v>
      </c>
      <c r="T25" s="15" t="n">
        <v>0.0</v>
      </c>
    </row>
    <row r="26">
      <c r="A26" s="1" t="inlineStr">
        <is>
          <t>c9413937-a0a2-440e-afed-243116b6bb39</t>
        </is>
      </c>
      <c r="B26" s="1" t="inlineStr">
        <is>
          <t>c0ac7d01-7b9c-40c6-abca-c0fdf6d3a1c1</t>
        </is>
      </c>
      <c r="C26" s="1" t="inlineStr">
        <is>
          <t>1395c5ae-873f-3f8b-ae53-ab71616636e5</t>
        </is>
      </c>
      <c r="D26" s="1" t="inlineStr">
        <is>
          <t>TDS Booked by Party</t>
        </is>
      </c>
      <c r="E26" s="1" t="inlineStr">
        <is>
          <t>Multiple Based on Date</t>
        </is>
      </c>
      <c r="F26" s="1" t="inlineStr">
        <is>
          <t>ledger</t>
        </is>
      </c>
      <c r="G26" s="1" t="inlineStr">
        <is>
          <t>08-10-2025</t>
        </is>
      </c>
      <c r="H26" s="1" t="inlineStr">
        <is>
          <t>7053033057</t>
        </is>
      </c>
      <c r="I26" s="1" t="inlineStr">
        <is>
          <t>payment</t>
        </is>
      </c>
      <c r="J26" s="1" t="inlineStr">
        <is>
          <t>KZ</t>
        </is>
      </c>
      <c r="K26" s="1" t="inlineStr">
        <is>
          <t/>
        </is>
      </c>
      <c r="L26" s="15" t="n">
        <v>817740.0</v>
      </c>
      <c r="M26" s="1" t="inlineStr">
        <is>
          <t>ledger</t>
        </is>
      </c>
      <c r="N26" s="1" t="inlineStr">
        <is>
          <t>08-10-2025</t>
        </is>
      </c>
      <c r="O26" s="1" t="inlineStr">
        <is>
          <t xml:space="preserve">AXISCN1112025593      </t>
        </is>
      </c>
      <c r="P26" s="1" t="inlineStr">
        <is>
          <t>payment</t>
        </is>
      </c>
      <c r="Q26" s="1" t="inlineStr">
        <is>
          <t>Receipt</t>
        </is>
      </c>
      <c r="R26" s="1" t="inlineStr">
        <is>
          <t/>
        </is>
      </c>
      <c r="S26" s="15" t="n">
        <v>0.0</v>
      </c>
      <c r="T26" s="15" t="n">
        <v>0.0</v>
      </c>
    </row>
    <row r="27">
      <c r="A27" s="1" t="inlineStr">
        <is>
          <t>77c42784-11ca-4039-a04e-9fc050e211d9</t>
        </is>
      </c>
      <c r="B27" s="1" t="inlineStr">
        <is>
          <t>e052f7df-7a34-409c-820d-426b4b035581</t>
        </is>
      </c>
      <c r="C27" s="1" t="inlineStr">
        <is>
          <t>1395c5ae-873f-3f8b-ae53-ab71616636e5</t>
        </is>
      </c>
      <c r="D27" s="1" t="inlineStr">
        <is>
          <t>TDS Booked by Party</t>
        </is>
      </c>
      <c r="E27" s="1" t="inlineStr">
        <is>
          <t>Multiple Based on Date</t>
        </is>
      </c>
      <c r="F27" s="1" t="inlineStr">
        <is>
          <t>ledger</t>
        </is>
      </c>
      <c r="G27" s="1" t="inlineStr">
        <is>
          <t>08-10-2025</t>
        </is>
      </c>
      <c r="H27" s="1" t="inlineStr">
        <is>
          <t>7053032930</t>
        </is>
      </c>
      <c r="I27" s="1" t="inlineStr">
        <is>
          <t>payment</t>
        </is>
      </c>
      <c r="J27" s="1" t="inlineStr">
        <is>
          <t>KZ</t>
        </is>
      </c>
      <c r="K27" s="1" t="inlineStr">
        <is>
          <t/>
        </is>
      </c>
      <c r="L27" s="15" t="n">
        <v>257573.8</v>
      </c>
      <c r="M27" s="1" t="inlineStr">
        <is>
          <t>ledger</t>
        </is>
      </c>
      <c r="N27" s="1" t="inlineStr">
        <is>
          <t>08-10-2025</t>
        </is>
      </c>
      <c r="O27" s="1" t="inlineStr">
        <is>
          <t xml:space="preserve">AXISCN1112157656      </t>
        </is>
      </c>
      <c r="P27" s="1" t="inlineStr">
        <is>
          <t>payment</t>
        </is>
      </c>
      <c r="Q27" s="1" t="inlineStr">
        <is>
          <t>Receipt</t>
        </is>
      </c>
      <c r="R27" s="1" t="inlineStr">
        <is>
          <t/>
        </is>
      </c>
      <c r="S27" s="15" t="n">
        <v>-1178188.0</v>
      </c>
      <c r="T27" s="15" t="n">
        <v>-3132.1999999999534</v>
      </c>
    </row>
    <row r="28">
      <c r="A28" s="1" t="inlineStr">
        <is>
          <t>a0968703-cc23-44af-b031-f718ce9e84ce</t>
        </is>
      </c>
      <c r="B28" s="1" t="inlineStr">
        <is>
          <t>4b5709cd-1408-4b7e-8e81-53c786fe9b81</t>
        </is>
      </c>
      <c r="C28" s="1" t="inlineStr">
        <is>
          <t>e817c417-e8ce-344a-9cf1-b855d2c82a41</t>
        </is>
      </c>
      <c r="D28" s="1" t="inlineStr">
        <is>
          <t>TDS Booked by Party</t>
        </is>
      </c>
      <c r="E28" s="1" t="inlineStr">
        <is>
          <t>Date and Amount Matched - Recommended</t>
        </is>
      </c>
      <c r="F28" s="1" t="inlineStr">
        <is>
          <t>ledger</t>
        </is>
      </c>
      <c r="G28" s="1" t="inlineStr">
        <is>
          <t>01-07-2025</t>
        </is>
      </c>
      <c r="H28" s="1" t="inlineStr">
        <is>
          <t>7053015183</t>
        </is>
      </c>
      <c r="I28" s="1" t="inlineStr">
        <is>
          <t>payment</t>
        </is>
      </c>
      <c r="J28" s="1" t="inlineStr">
        <is>
          <t>KZ</t>
        </is>
      </c>
      <c r="K28" s="1" t="inlineStr">
        <is>
          <t/>
        </is>
      </c>
      <c r="L28" s="15" t="n">
        <v>14267.66</v>
      </c>
      <c r="M28" s="1" t="inlineStr">
        <is>
          <t>ledger</t>
        </is>
      </c>
      <c r="N28" s="1" t="inlineStr">
        <is>
          <t>01-07-2025</t>
        </is>
      </c>
      <c r="O28" s="1" t="inlineStr">
        <is>
          <t xml:space="preserve">AXISCN1007743339      </t>
        </is>
      </c>
      <c r="P28" s="1" t="inlineStr">
        <is>
          <t>payment</t>
        </is>
      </c>
      <c r="Q28" s="1" t="inlineStr">
        <is>
          <t>Receipt</t>
        </is>
      </c>
      <c r="R28" s="1" t="inlineStr">
        <is>
          <t/>
        </is>
      </c>
      <c r="S28" s="15" t="n">
        <v>-14514.0</v>
      </c>
      <c r="T28" s="15" t="n">
        <v>-246.34000000000015</v>
      </c>
    </row>
    <row r="29">
      <c r="A29" s="1" t="inlineStr">
        <is>
          <t>e3064d9b-36d2-47c3-b614-7a93582dac31</t>
        </is>
      </c>
      <c r="B29" s="1" t="inlineStr">
        <is>
          <t>4bf4f1e8-4ea0-4ebd-a461-51858d4a1d59</t>
        </is>
      </c>
      <c r="C29" s="1" t="inlineStr">
        <is>
          <t>05f4488d-878f-3ab2-a045-a82fee6d3bcb</t>
        </is>
      </c>
      <c r="D29" s="1" t="inlineStr">
        <is>
          <t>TDS Booked by Party</t>
        </is>
      </c>
      <c r="E29" s="1" t="inlineStr">
        <is>
          <t>Date and Amount Matched - Recommended</t>
        </is>
      </c>
      <c r="F29" s="1" t="inlineStr">
        <is>
          <t>ledger</t>
        </is>
      </c>
      <c r="G29" s="1" t="inlineStr">
        <is>
          <t>16-05-2025</t>
        </is>
      </c>
      <c r="H29" s="1" t="inlineStr">
        <is>
          <t>7053007500</t>
        </is>
      </c>
      <c r="I29" s="1" t="inlineStr">
        <is>
          <t>payment</t>
        </is>
      </c>
      <c r="J29" s="1" t="inlineStr">
        <is>
          <t>KZ</t>
        </is>
      </c>
      <c r="K29" s="1" t="inlineStr">
        <is>
          <t/>
        </is>
      </c>
      <c r="L29" s="15" t="n">
        <v>1359585.0</v>
      </c>
      <c r="M29" s="1" t="inlineStr">
        <is>
          <t>ledger</t>
        </is>
      </c>
      <c r="N29" s="1" t="inlineStr">
        <is>
          <t>16-05-2025</t>
        </is>
      </c>
      <c r="O29" s="1" t="inlineStr">
        <is>
          <t>UTIBN62025051618331475</t>
        </is>
      </c>
      <c r="P29" s="1" t="inlineStr">
        <is>
          <t>payment</t>
        </is>
      </c>
      <c r="Q29" s="1" t="inlineStr">
        <is>
          <t>Receipt</t>
        </is>
      </c>
      <c r="R29" s="1" t="inlineStr">
        <is>
          <t/>
        </is>
      </c>
      <c r="S29" s="15" t="n">
        <v>-1360800.0</v>
      </c>
      <c r="T29" s="15" t="n">
        <v>-1215.0</v>
      </c>
    </row>
    <row r="30">
      <c r="A30" s="1" t="inlineStr">
        <is>
          <t>eb499910-3892-42be-97e6-0ca5eb6ab8ee</t>
        </is>
      </c>
      <c r="B30" s="1" t="inlineStr">
        <is>
          <t>51022052-eebc-4fbc-a428-096361b8a8c3</t>
        </is>
      </c>
      <c r="C30" s="1" t="inlineStr">
        <is>
          <t>d770e8f0-576e-355f-b490-2555388f5d28</t>
        </is>
      </c>
      <c r="D30" s="1" t="inlineStr">
        <is>
          <t>TDS Booked by Party</t>
        </is>
      </c>
      <c r="E30" s="1" t="inlineStr">
        <is>
          <t>Date and Amount Matched - Recommended</t>
        </is>
      </c>
      <c r="F30" s="1" t="inlineStr">
        <is>
          <t>ledger</t>
        </is>
      </c>
      <c r="G30" s="1" t="inlineStr">
        <is>
          <t>06-11-2025</t>
        </is>
      </c>
      <c r="H30" s="1" t="inlineStr">
        <is>
          <t>7053038636</t>
        </is>
      </c>
      <c r="I30" s="1" t="inlineStr">
        <is>
          <t>payment</t>
        </is>
      </c>
      <c r="J30" s="1" t="inlineStr">
        <is>
          <t>KZ</t>
        </is>
      </c>
      <c r="K30" s="1" t="inlineStr">
        <is>
          <t/>
        </is>
      </c>
      <c r="L30" s="15" t="n">
        <v>1555560.0</v>
      </c>
      <c r="M30" s="1" t="inlineStr">
        <is>
          <t>ledger</t>
        </is>
      </c>
      <c r="N30" s="1" t="inlineStr">
        <is>
          <t>06-11-2025</t>
        </is>
      </c>
      <c r="O30" s="1" t="inlineStr">
        <is>
          <t>UTIBR72025110600053262</t>
        </is>
      </c>
      <c r="P30" s="1" t="inlineStr">
        <is>
          <t>payment</t>
        </is>
      </c>
      <c r="Q30" s="1" t="inlineStr">
        <is>
          <t>Receipt</t>
        </is>
      </c>
      <c r="R30" s="1" t="inlineStr">
        <is>
          <t/>
        </is>
      </c>
      <c r="S30" s="15" t="n">
        <v>-1582380.0</v>
      </c>
      <c r="T30" s="15" t="n">
        <v>-26820.0</v>
      </c>
    </row>
    <row r="31">
      <c r="A31" s="1" t="inlineStr">
        <is>
          <t>ffb7e322-b11e-418d-8624-0c78428ff4bc</t>
        </is>
      </c>
      <c r="B31" s="1" t="inlineStr">
        <is>
          <t>5ce800c0-06e5-4125-a988-a782f27d2933</t>
        </is>
      </c>
      <c r="C31" s="1" t="inlineStr">
        <is>
          <t>30c02a2c-73e5-4135-843c-26b6c22ef8ec</t>
        </is>
      </c>
      <c r="D31" s="1" t="inlineStr">
        <is>
          <t>TDS Booked by Party</t>
        </is>
      </c>
      <c r="E31" s="1" t="inlineStr">
        <is>
          <t>Multiple Based on Invoice Number and Date Range</t>
        </is>
      </c>
      <c r="F31" s="1" t="inlineStr">
        <is>
          <t>ledger</t>
        </is>
      </c>
      <c r="G31" s="1" t="inlineStr">
        <is>
          <t>26-05-2025</t>
        </is>
      </c>
      <c r="H31" s="1" t="inlineStr">
        <is>
          <t>7053009079</t>
        </is>
      </c>
      <c r="I31" s="1" t="inlineStr">
        <is>
          <t>payment</t>
        </is>
      </c>
      <c r="J31" s="1" t="inlineStr">
        <is>
          <t>KZ</t>
        </is>
      </c>
      <c r="K31" s="1" t="inlineStr">
        <is>
          <t/>
        </is>
      </c>
      <c r="L31" s="15" t="n">
        <v>1812780.0</v>
      </c>
      <c r="M31" s="1" t="inlineStr">
        <is>
          <t>ledger</t>
        </is>
      </c>
      <c r="N31" s="1" t="inlineStr">
        <is>
          <t>30-05-2025</t>
        </is>
      </c>
      <c r="O31" s="1" t="inlineStr">
        <is>
          <t xml:space="preserve">AXISCN0983739554      </t>
        </is>
      </c>
      <c r="P31" s="1" t="inlineStr">
        <is>
          <t>payment</t>
        </is>
      </c>
      <c r="Q31" s="1" t="inlineStr">
        <is>
          <t>Receipt</t>
        </is>
      </c>
      <c r="R31" s="1" t="inlineStr">
        <is>
          <t/>
        </is>
      </c>
      <c r="S31" s="15" t="n">
        <v>-1817403.8399999999</v>
      </c>
      <c r="T31" s="15" t="n">
        <v>-4623.839999999851</v>
      </c>
    </row>
    <row r="32">
      <c r="A32" s="1" t="inlineStr">
        <is>
          <t>16064676-ddc3-4045-a068-cd796accf406</t>
        </is>
      </c>
      <c r="B32" s="1" t="inlineStr">
        <is>
          <t>6483bfe6-60a2-48ca-a5d3-f39bda2b6cfb</t>
        </is>
      </c>
      <c r="C32" s="1" t="inlineStr">
        <is>
          <t>c8f17e1c-3a7a-39ec-8269-5746cfc5a4f8</t>
        </is>
      </c>
      <c r="D32" s="1" t="inlineStr">
        <is>
          <t>TDS Booked by Party</t>
        </is>
      </c>
      <c r="E32" s="1" t="inlineStr">
        <is>
          <t>Date and Amount Matched - Recommended</t>
        </is>
      </c>
      <c r="F32" s="1" t="inlineStr">
        <is>
          <t>ledger</t>
        </is>
      </c>
      <c r="G32" s="1" t="inlineStr">
        <is>
          <t>17-06-2025</t>
        </is>
      </c>
      <c r="H32" s="1" t="inlineStr">
        <is>
          <t>7053012813</t>
        </is>
      </c>
      <c r="I32" s="1" t="inlineStr">
        <is>
          <t>payment</t>
        </is>
      </c>
      <c r="J32" s="1" t="inlineStr">
        <is>
          <t>KZ</t>
        </is>
      </c>
      <c r="K32" s="1" t="inlineStr">
        <is>
          <t/>
        </is>
      </c>
      <c r="L32" s="15" t="n">
        <v>1860607.0</v>
      </c>
      <c r="M32" s="1" t="inlineStr">
        <is>
          <t>ledger</t>
        </is>
      </c>
      <c r="N32" s="1" t="inlineStr">
        <is>
          <t>17-06-2025</t>
        </is>
      </c>
      <c r="O32" s="1" t="inlineStr">
        <is>
          <t xml:space="preserve">AXISCN0994733294      </t>
        </is>
      </c>
      <c r="P32" s="1" t="inlineStr">
        <is>
          <t>payment</t>
        </is>
      </c>
      <c r="Q32" s="1" t="inlineStr">
        <is>
          <t>Receipt</t>
        </is>
      </c>
      <c r="R32" s="1" t="inlineStr">
        <is>
          <t/>
        </is>
      </c>
      <c r="S32" s="15" t="n">
        <v>-1894233.6</v>
      </c>
      <c r="T32" s="15" t="n">
        <v>-33626.60000000009</v>
      </c>
    </row>
    <row r="33">
      <c r="A33" s="1" t="inlineStr">
        <is>
          <t>7c3db2b5-709b-419a-9fee-1ff7747aea8a</t>
        </is>
      </c>
      <c r="B33" s="1" t="inlineStr">
        <is>
          <t>6a61b6ee-0eba-480f-ba9a-db85633f5e91</t>
        </is>
      </c>
      <c r="C33" s="1" t="inlineStr">
        <is>
          <t>5c4816a8-ac14-3e72-9090-a3b72bad22e7</t>
        </is>
      </c>
      <c r="D33" s="1" t="inlineStr">
        <is>
          <t>TDS Booked by Party</t>
        </is>
      </c>
      <c r="E33" s="1" t="inlineStr">
        <is>
          <t>Date and Amount Matched - Recommended</t>
        </is>
      </c>
      <c r="F33" s="1" t="inlineStr">
        <is>
          <t>ledger</t>
        </is>
      </c>
      <c r="G33" s="1" t="inlineStr">
        <is>
          <t>01-10-2025</t>
        </is>
      </c>
      <c r="H33" s="1" t="inlineStr">
        <is>
          <t>7053031634</t>
        </is>
      </c>
      <c r="I33" s="1" t="inlineStr">
        <is>
          <t>payment</t>
        </is>
      </c>
      <c r="J33" s="1" t="inlineStr">
        <is>
          <t>KZ</t>
        </is>
      </c>
      <c r="K33" s="1" t="inlineStr">
        <is>
          <t/>
        </is>
      </c>
      <c r="L33" s="15" t="n">
        <v>1070387.0</v>
      </c>
      <c r="M33" s="1" t="inlineStr">
        <is>
          <t>ledger</t>
        </is>
      </c>
      <c r="N33" s="1" t="inlineStr">
        <is>
          <t>01-10-2025</t>
        </is>
      </c>
      <c r="O33" s="1" t="inlineStr">
        <is>
          <t xml:space="preserve">AXISCN1103265077      </t>
        </is>
      </c>
      <c r="P33" s="1" t="inlineStr">
        <is>
          <t>payment</t>
        </is>
      </c>
      <c r="Q33" s="1" t="inlineStr">
        <is>
          <t>Receipt</t>
        </is>
      </c>
      <c r="R33" s="1" t="inlineStr">
        <is>
          <t/>
        </is>
      </c>
      <c r="S33" s="15" t="n">
        <v>-1089849.6</v>
      </c>
      <c r="T33" s="15" t="n">
        <v>-19462.600000000093</v>
      </c>
    </row>
    <row r="34">
      <c r="A34" s="1" t="inlineStr">
        <is>
          <t>823a6688-4523-4a8e-9948-a9933e848717</t>
        </is>
      </c>
      <c r="B34" s="1" t="inlineStr">
        <is>
          <t>8c1a1eab-34db-4f50-8dd1-f0029d456470</t>
        </is>
      </c>
      <c r="C34" s="1" t="inlineStr">
        <is>
          <t>272317a6-3e17-325e-9f62-8625bbbb07c3</t>
        </is>
      </c>
      <c r="D34" s="1" t="inlineStr">
        <is>
          <t>TDS Booked by Party</t>
        </is>
      </c>
      <c r="E34" s="1" t="inlineStr">
        <is>
          <t>Multiple Based on Date</t>
        </is>
      </c>
      <c r="F34" s="1" t="inlineStr">
        <is>
          <t>ledger</t>
        </is>
      </c>
      <c r="G34" s="1" t="inlineStr">
        <is>
          <t>21-01-2026</t>
        </is>
      </c>
      <c r="H34" s="1" t="inlineStr">
        <is>
          <t>7053053702</t>
        </is>
      </c>
      <c r="I34" s="1" t="inlineStr">
        <is>
          <t>payment</t>
        </is>
      </c>
      <c r="J34" s="1" t="inlineStr">
        <is>
          <t>KZ</t>
        </is>
      </c>
      <c r="K34" s="1" t="inlineStr">
        <is>
          <t/>
        </is>
      </c>
      <c r="L34" s="15" t="n">
        <v>594152.0</v>
      </c>
      <c r="M34" s="1" t="inlineStr">
        <is>
          <t>ledger</t>
        </is>
      </c>
      <c r="N34" s="1" t="inlineStr">
        <is>
          <t>21-01-2026</t>
        </is>
      </c>
      <c r="O34" s="1" t="inlineStr">
        <is>
          <t>UTIBR72026012100004817</t>
        </is>
      </c>
      <c r="P34" s="1" t="inlineStr">
        <is>
          <t>payment</t>
        </is>
      </c>
      <c r="Q34" s="1" t="inlineStr">
        <is>
          <t>Receipt</t>
        </is>
      </c>
      <c r="R34" s="1" t="inlineStr">
        <is>
          <t/>
        </is>
      </c>
      <c r="S34" s="15" t="n">
        <v>0.0</v>
      </c>
      <c r="T34" s="15" t="n">
        <v>0.0</v>
      </c>
    </row>
    <row r="35">
      <c r="A35" s="1" t="inlineStr">
        <is>
          <t>af58096c-cbad-44b4-b5a8-a14cd3630f2b</t>
        </is>
      </c>
      <c r="B35" s="1" t="inlineStr">
        <is>
          <t>95c1917c-7ae0-4de2-b5f4-d43cd30002ab</t>
        </is>
      </c>
      <c r="C35" s="1" t="inlineStr">
        <is>
          <t>272317a6-3e17-325e-9f62-8625bbbb07c3</t>
        </is>
      </c>
      <c r="D35" s="1" t="inlineStr">
        <is>
          <t>TDS Booked by Party</t>
        </is>
      </c>
      <c r="E35" s="1" t="inlineStr">
        <is>
          <t>Multiple Based on Date</t>
        </is>
      </c>
      <c r="F35" s="1" t="inlineStr">
        <is>
          <t>ledger</t>
        </is>
      </c>
      <c r="G35" s="1" t="inlineStr">
        <is>
          <t>21-01-2026</t>
        </is>
      </c>
      <c r="H35" s="1" t="inlineStr">
        <is>
          <t>7053053708</t>
        </is>
      </c>
      <c r="I35" s="1" t="inlineStr">
        <is>
          <t>payment</t>
        </is>
      </c>
      <c r="J35" s="1" t="inlineStr">
        <is>
          <t>KZ</t>
        </is>
      </c>
      <c r="K35" s="1" t="inlineStr">
        <is>
          <t/>
        </is>
      </c>
      <c r="L35" s="15" t="n">
        <v>3398760.0</v>
      </c>
      <c r="M35" s="1" t="inlineStr">
        <is>
          <t>ledger</t>
        </is>
      </c>
      <c r="N35" s="1" t="inlineStr">
        <is>
          <t>21-01-2026</t>
        </is>
      </c>
      <c r="O35" s="1" t="inlineStr">
        <is>
          <t>UTIBR72026012100004816</t>
        </is>
      </c>
      <c r="P35" s="1" t="inlineStr">
        <is>
          <t>payment</t>
        </is>
      </c>
      <c r="Q35" s="1" t="inlineStr">
        <is>
          <t>Receipt</t>
        </is>
      </c>
      <c r="R35" s="1" t="inlineStr">
        <is>
          <t/>
        </is>
      </c>
      <c r="S35" s="15" t="n">
        <v>-4006396.0</v>
      </c>
      <c r="T35" s="15" t="n">
        <v>-13484.0</v>
      </c>
    </row>
    <row r="36">
      <c r="A36" s="1" t="inlineStr">
        <is>
          <t>017f564b-f905-4d5a-9000-0baf92ea446c</t>
        </is>
      </c>
      <c r="B36" s="1" t="inlineStr">
        <is>
          <t>9a50f4c0-c21a-4aad-960a-713d5c03e0b6</t>
        </is>
      </c>
      <c r="C36" s="1" t="inlineStr">
        <is>
          <t>1991f216-b6cf-4890-8202-8b48ceaa8400</t>
        </is>
      </c>
      <c r="D36" s="1" t="inlineStr">
        <is>
          <t>TDS Booked by Party</t>
        </is>
      </c>
      <c r="E36" s="1" t="inlineStr">
        <is>
          <t>Payment Matched - Recommended</t>
        </is>
      </c>
      <c r="F36" s="1" t="inlineStr">
        <is>
          <t>ledger</t>
        </is>
      </c>
      <c r="G36" s="1" t="inlineStr">
        <is>
          <t>24-09-2025</t>
        </is>
      </c>
      <c r="H36" s="1" t="inlineStr">
        <is>
          <t>7053030340</t>
        </is>
      </c>
      <c r="I36" s="1" t="inlineStr">
        <is>
          <t>payment</t>
        </is>
      </c>
      <c r="J36" s="1" t="inlineStr">
        <is>
          <t>KZ</t>
        </is>
      </c>
      <c r="K36" s="1" t="inlineStr">
        <is>
          <t/>
        </is>
      </c>
      <c r="L36" s="15" t="n">
        <v>1024095.52</v>
      </c>
      <c r="M36" s="1" t="inlineStr">
        <is>
          <t>ledger</t>
        </is>
      </c>
      <c r="N36" s="1" t="inlineStr">
        <is>
          <t>25-09-2025</t>
        </is>
      </c>
      <c r="O36" s="1" t="inlineStr">
        <is>
          <t xml:space="preserve">AXISCN1096036481      </t>
        </is>
      </c>
      <c r="P36" s="1" t="inlineStr">
        <is>
          <t>payment</t>
        </is>
      </c>
      <c r="Q36" s="1" t="inlineStr">
        <is>
          <t>Receipt</t>
        </is>
      </c>
      <c r="R36" s="1" t="inlineStr">
        <is>
          <t/>
        </is>
      </c>
      <c r="S36" s="15" t="n">
        <v>-1042715.52</v>
      </c>
      <c r="T36" s="15" t="n">
        <v>-18620.0</v>
      </c>
    </row>
    <row r="37">
      <c r="A37" s="1" t="inlineStr">
        <is>
          <t>bc391e80-a6e0-453d-a423-c7da6adc84f0</t>
        </is>
      </c>
      <c r="B37" s="1" t="inlineStr">
        <is>
          <t>c81bf6c0-b64d-488b-bee6-59e4ad1faaec</t>
        </is>
      </c>
      <c r="C37" s="1" t="inlineStr">
        <is>
          <t>9286c9af-9bb2-3567-b2b7-fdf0c45b4115</t>
        </is>
      </c>
      <c r="D37" s="1" t="inlineStr">
        <is>
          <t>TDS Booked by Party</t>
        </is>
      </c>
      <c r="E37" s="1" t="inlineStr">
        <is>
          <t>Multiple Based on Invoice Number</t>
        </is>
      </c>
      <c r="F37" s="1" t="inlineStr">
        <is>
          <t>ledger</t>
        </is>
      </c>
      <c r="G37" s="1" t="inlineStr">
        <is>
          <t>14-01-2026</t>
        </is>
      </c>
      <c r="H37" s="1" t="inlineStr">
        <is>
          <t>7053052271</t>
        </is>
      </c>
      <c r="I37" s="1" t="inlineStr">
        <is>
          <t>payment</t>
        </is>
      </c>
      <c r="J37" s="1" t="inlineStr">
        <is>
          <t>KZ</t>
        </is>
      </c>
      <c r="K37" s="1" t="inlineStr">
        <is>
          <t/>
        </is>
      </c>
      <c r="L37" s="15" t="n">
        <v>3480330.0</v>
      </c>
      <c r="M37" s="1" t="inlineStr">
        <is>
          <t>ledger</t>
        </is>
      </c>
      <c r="N37" s="1" t="inlineStr">
        <is>
          <t>14-01-2026</t>
        </is>
      </c>
      <c r="O37" s="1" t="inlineStr">
        <is>
          <t>UTIBR72026011400000543</t>
        </is>
      </c>
      <c r="P37" s="1" t="inlineStr">
        <is>
          <t>payment</t>
        </is>
      </c>
      <c r="Q37" s="1" t="inlineStr">
        <is>
          <t>Receipt</t>
        </is>
      </c>
      <c r="R37" s="1" t="inlineStr">
        <is>
          <t/>
        </is>
      </c>
      <c r="S37" s="15" t="n">
        <v>-3716108.0</v>
      </c>
      <c r="T37" s="15" t="n">
        <v>-235778.0</v>
      </c>
    </row>
    <row r="38">
      <c r="A38" s="1" t="inlineStr">
        <is>
          <t>e2c99a70-4d15-48ef-b920-e2e1303ed043</t>
        </is>
      </c>
      <c r="B38" s="1" t="inlineStr">
        <is>
          <t>dfa78401-46da-4c19-8814-55f73efb5a9d</t>
        </is>
      </c>
      <c r="C38" s="1" t="inlineStr">
        <is>
          <t>3a6a07f5-c8d0-3111-8209-202a899a258e</t>
        </is>
      </c>
      <c r="D38" s="1" t="inlineStr">
        <is>
          <t>TDS Booked by Party</t>
        </is>
      </c>
      <c r="E38" s="1" t="inlineStr">
        <is>
          <t>Date and Amount Matched - Recommended</t>
        </is>
      </c>
      <c r="F38" s="1" t="inlineStr">
        <is>
          <t>ledger</t>
        </is>
      </c>
      <c r="G38" s="1" t="inlineStr">
        <is>
          <t>12-02-2026</t>
        </is>
      </c>
      <c r="H38" s="1" t="inlineStr">
        <is>
          <t>7053058597</t>
        </is>
      </c>
      <c r="I38" s="1" t="inlineStr">
        <is>
          <t>payment</t>
        </is>
      </c>
      <c r="J38" s="1" t="inlineStr">
        <is>
          <t>KZ</t>
        </is>
      </c>
      <c r="K38" s="1" t="inlineStr">
        <is>
          <t/>
        </is>
      </c>
      <c r="L38" s="15" t="n">
        <v>1666450.0</v>
      </c>
      <c r="M38" s="1" t="inlineStr">
        <is>
          <t>ledger</t>
        </is>
      </c>
      <c r="N38" s="1" t="inlineStr">
        <is>
          <t>12-02-2026</t>
        </is>
      </c>
      <c r="O38" s="1" t="inlineStr">
        <is>
          <t>UTIBR72026021200092359</t>
        </is>
      </c>
      <c r="P38" s="1" t="inlineStr">
        <is>
          <t>payment</t>
        </is>
      </c>
      <c r="Q38" s="1" t="inlineStr">
        <is>
          <t>Receipt</t>
        </is>
      </c>
      <c r="R38" s="1" t="inlineStr">
        <is>
          <t/>
        </is>
      </c>
      <c r="S38" s="15" t="n">
        <v>-1668039.0</v>
      </c>
      <c r="T38" s="15" t="n">
        <v>-1589.0</v>
      </c>
    </row>
    <row r="39">
      <c r="A39" s="1" t="inlineStr">
        <is>
          <t>25c35bca-1693-4cb9-90b0-065e84c3251d</t>
        </is>
      </c>
      <c r="B39" s="1" t="inlineStr">
        <is>
          <t>e2f002de-023e-4431-af63-6f673f3fc3cb</t>
        </is>
      </c>
      <c r="C39" s="1" t="inlineStr">
        <is>
          <t>61a89e37-90ac-4087-8224-63e799811c06</t>
        </is>
      </c>
      <c r="D39" s="1" t="inlineStr">
        <is>
          <t>TDS Booked by Party</t>
        </is>
      </c>
      <c r="E39" s="1" t="inlineStr">
        <is>
          <t>Payment Matched - Recommended</t>
        </is>
      </c>
      <c r="F39" s="1" t="inlineStr">
        <is>
          <t>ledger</t>
        </is>
      </c>
      <c r="G39" s="1" t="inlineStr">
        <is>
          <t>17-10-2025</t>
        </is>
      </c>
      <c r="H39" s="1" t="inlineStr">
        <is>
          <t>7053036126</t>
        </is>
      </c>
      <c r="I39" s="1" t="inlineStr">
        <is>
          <t>payment</t>
        </is>
      </c>
      <c r="J39" s="1" t="inlineStr">
        <is>
          <t>KZ</t>
        </is>
      </c>
      <c r="K39" s="1" t="inlineStr">
        <is>
          <t/>
        </is>
      </c>
      <c r="L39" s="15" t="n">
        <v>3917289.0</v>
      </c>
      <c r="M39" s="1" t="inlineStr">
        <is>
          <t>ledger</t>
        </is>
      </c>
      <c r="N39" s="1" t="inlineStr">
        <is>
          <t>18-10-2025</t>
        </is>
      </c>
      <c r="O39" s="1" t="inlineStr">
        <is>
          <t xml:space="preserve">AXISCN1122982304      </t>
        </is>
      </c>
      <c r="P39" s="1" t="inlineStr">
        <is>
          <t>payment</t>
        </is>
      </c>
      <c r="Q39" s="1" t="inlineStr">
        <is>
          <t>Receipt</t>
        </is>
      </c>
      <c r="R39" s="1" t="inlineStr">
        <is>
          <t/>
        </is>
      </c>
      <c r="S39" s="15" t="n">
        <v>-3920000.0</v>
      </c>
      <c r="T39" s="15" t="n">
        <v>-2711.0</v>
      </c>
    </row>
    <row r="40">
      <c r="A40" s="1" t="inlineStr">
        <is>
          <t>d1150970-655c-4d2c-b033-cd90711105ce</t>
        </is>
      </c>
      <c r="B40" s="1" t="inlineStr">
        <is>
          <t>e95e28a5-d3f0-4f82-9ff8-0b8b5698664d</t>
        </is>
      </c>
      <c r="C40" s="1" t="inlineStr">
        <is>
          <t>60345083-22dc-399c-9caf-fadd92d4175f</t>
        </is>
      </c>
      <c r="D40" s="1" t="inlineStr">
        <is>
          <t>TDS Booked by Party</t>
        </is>
      </c>
      <c r="E40" s="1" t="inlineStr">
        <is>
          <t>Date and Amount Matched - Recommended</t>
        </is>
      </c>
      <c r="F40" s="1" t="inlineStr">
        <is>
          <t>ledger</t>
        </is>
      </c>
      <c r="G40" s="1" t="inlineStr">
        <is>
          <t>10-10-2025</t>
        </is>
      </c>
      <c r="H40" s="1" t="inlineStr">
        <is>
          <t>7053033678</t>
        </is>
      </c>
      <c r="I40" s="1" t="inlineStr">
        <is>
          <t>payment</t>
        </is>
      </c>
      <c r="J40" s="1" t="inlineStr">
        <is>
          <t>KZ</t>
        </is>
      </c>
      <c r="K40" s="1" t="inlineStr">
        <is>
          <t/>
        </is>
      </c>
      <c r="L40" s="15" t="n">
        <v>2460902.0</v>
      </c>
      <c r="M40" s="1" t="inlineStr">
        <is>
          <t>ledger</t>
        </is>
      </c>
      <c r="N40" s="1" t="inlineStr">
        <is>
          <t>10-10-2025</t>
        </is>
      </c>
      <c r="O40" s="1" t="inlineStr">
        <is>
          <t xml:space="preserve">AXISCN1114230662      </t>
        </is>
      </c>
      <c r="P40" s="1" t="inlineStr">
        <is>
          <t>payment</t>
        </is>
      </c>
      <c r="Q40" s="1" t="inlineStr">
        <is>
          <t>Receipt</t>
        </is>
      </c>
      <c r="R40" s="1" t="inlineStr">
        <is>
          <t/>
        </is>
      </c>
      <c r="S40" s="15" t="n">
        <v>-2505646.08</v>
      </c>
      <c r="T40" s="15" t="n">
        <v>-44744.080000000075</v>
      </c>
    </row>
    <row r="41">
      <c r="A41" s="1" t="inlineStr">
        <is>
          <t>72d032ec-9e10-4e0c-9d88-adf0df871a90</t>
        </is>
      </c>
      <c r="B41" s="1" t="inlineStr">
        <is>
          <t>f3934940-c201-4051-9bf2-3ce66b5a27b5</t>
        </is>
      </c>
      <c r="C41" s="1" t="inlineStr">
        <is>
          <t>9b7b3f14-1268-37bd-8f97-a800357d4974</t>
        </is>
      </c>
      <c r="D41" s="1" t="inlineStr">
        <is>
          <t>TDS Booked by Party</t>
        </is>
      </c>
      <c r="E41" s="1" t="inlineStr">
        <is>
          <t>Date and Amount Matched - Recommended</t>
        </is>
      </c>
      <c r="F41" s="1" t="inlineStr">
        <is>
          <t>ledger</t>
        </is>
      </c>
      <c r="G41" s="1" t="inlineStr">
        <is>
          <t>30-01-2026</t>
        </is>
      </c>
      <c r="H41" s="1" t="inlineStr">
        <is>
          <t>7053055928</t>
        </is>
      </c>
      <c r="I41" s="1" t="inlineStr">
        <is>
          <t>payment</t>
        </is>
      </c>
      <c r="J41" s="1" t="inlineStr">
        <is>
          <t>KZ</t>
        </is>
      </c>
      <c r="K41" s="1" t="inlineStr">
        <is>
          <t/>
        </is>
      </c>
      <c r="L41" s="15" t="n">
        <v>834164.0</v>
      </c>
      <c r="M41" s="1" t="inlineStr">
        <is>
          <t>ledger</t>
        </is>
      </c>
      <c r="N41" s="1" t="inlineStr">
        <is>
          <t>30-01-2026</t>
        </is>
      </c>
      <c r="O41" s="1" t="inlineStr">
        <is>
          <t xml:space="preserve">AXISCN1235469725      </t>
        </is>
      </c>
      <c r="P41" s="1" t="inlineStr">
        <is>
          <t>payment</t>
        </is>
      </c>
      <c r="Q41" s="1" t="inlineStr">
        <is>
          <t>Receipt</t>
        </is>
      </c>
      <c r="R41" s="1" t="inlineStr">
        <is>
          <t/>
        </is>
      </c>
      <c r="S41" s="15" t="n">
        <v>-834959.0</v>
      </c>
      <c r="T41" s="15" t="n">
        <v>-795.0</v>
      </c>
    </row>
    <row r="42">
      <c r="A42" s="1" t="inlineStr">
        <is>
          <t>b2e347ad-12a7-49e8-b77b-8588201eb191</t>
        </is>
      </c>
      <c r="B42" s="1" t="inlineStr">
        <is>
          <t>f8ecbfc7-0224-4122-8ad2-06231f412d43</t>
        </is>
      </c>
      <c r="C42" s="1" t="inlineStr">
        <is>
          <t>e2732d49-1980-36ce-9173-91c7827c949c</t>
        </is>
      </c>
      <c r="D42" s="1" t="inlineStr">
        <is>
          <t>TDS Booked by Party</t>
        </is>
      </c>
      <c r="E42" s="1" t="inlineStr">
        <is>
          <t>Date and Amount Matched - Recommended</t>
        </is>
      </c>
      <c r="F42" s="1" t="inlineStr">
        <is>
          <t>ledger</t>
        </is>
      </c>
      <c r="G42" s="1" t="inlineStr">
        <is>
          <t>21-05-2025</t>
        </is>
      </c>
      <c r="H42" s="1" t="inlineStr">
        <is>
          <t>7053008353</t>
        </is>
      </c>
      <c r="I42" s="1" t="inlineStr">
        <is>
          <t>payment</t>
        </is>
      </c>
      <c r="J42" s="1" t="inlineStr">
        <is>
          <t>KZ</t>
        </is>
      </c>
      <c r="K42" s="1" t="inlineStr">
        <is>
          <t/>
        </is>
      </c>
      <c r="L42" s="15" t="n">
        <v>1066852.0</v>
      </c>
      <c r="M42" s="1" t="inlineStr">
        <is>
          <t>ledger</t>
        </is>
      </c>
      <c r="N42" s="1" t="inlineStr">
        <is>
          <t>21-05-2025</t>
        </is>
      </c>
      <c r="O42" s="1" t="inlineStr">
        <is>
          <t xml:space="preserve">AXISCN0979676342      </t>
        </is>
      </c>
      <c r="P42" s="1" t="inlineStr">
        <is>
          <t>payment</t>
        </is>
      </c>
      <c r="Q42" s="1" t="inlineStr">
        <is>
          <t>Receipt</t>
        </is>
      </c>
      <c r="R42" s="1" t="inlineStr">
        <is>
          <t/>
        </is>
      </c>
      <c r="S42" s="15" t="n">
        <v>-1085246.0</v>
      </c>
      <c r="T42" s="15" t="n">
        <v>-18394.0</v>
      </c>
    </row>
    <row r="43">
      <c r="A43" s="1" t="inlineStr">
        <is>
          <t/>
        </is>
      </c>
      <c r="B43" s="1" t="inlineStr">
        <is>
          <t>54c64096-ea61-4f44-9146-bd38fc6090d0</t>
        </is>
      </c>
      <c r="C43" s="1" t="inlineStr">
        <is>
          <t/>
        </is>
      </c>
      <c r="D43" s="1" t="inlineStr">
        <is>
          <t>TDS Booked by Party</t>
        </is>
      </c>
      <c r="E43" s="1" t="inlineStr">
        <is>
          <t>TDS Booked by Party</t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5" t="n">
        <v>0.0</v>
      </c>
      <c r="M43" s="1" t="inlineStr">
        <is>
          <t>ledger</t>
        </is>
      </c>
      <c r="N43" s="1" t="inlineStr">
        <is>
          <t>31-03-2026</t>
        </is>
      </c>
      <c r="O43" s="1" t="inlineStr">
        <is>
          <t xml:space="preserve">TDS ANK2526/GIS00926  </t>
        </is>
      </c>
      <c r="P43" s="1" t="inlineStr">
        <is>
          <t>tds</t>
        </is>
      </c>
      <c r="Q43" s="1" t="inlineStr">
        <is>
          <t>TDS</t>
        </is>
      </c>
      <c r="R43" s="1" t="inlineStr">
        <is>
          <t/>
        </is>
      </c>
      <c r="S43" s="15" t="n">
        <v>-1537.0</v>
      </c>
      <c r="T43" s="15" t="n">
        <v>-1537.0</v>
      </c>
    </row>
    <row r="44">
      <c r="A44" s="1" t="inlineStr">
        <is>
          <t/>
        </is>
      </c>
      <c r="B44" s="1" t="inlineStr">
        <is>
          <t>b9dcae01-168d-49d8-a84f-53ecc4177168</t>
        </is>
      </c>
      <c r="C44" s="1" t="inlineStr">
        <is>
          <t/>
        </is>
      </c>
      <c r="D44" s="1" t="inlineStr">
        <is>
          <t>TDS Booked by Party</t>
        </is>
      </c>
      <c r="E44" s="1" t="inlineStr">
        <is>
          <t>TDS Booked by Party</t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5" t="n">
        <v>0.0</v>
      </c>
      <c r="M44" s="1" t="inlineStr">
        <is>
          <t>ledger</t>
        </is>
      </c>
      <c r="N44" s="1" t="inlineStr">
        <is>
          <t>31-03-2026</t>
        </is>
      </c>
      <c r="O44" s="1" t="inlineStr">
        <is>
          <t xml:space="preserve">TDS ANK2526/GIS00923  </t>
        </is>
      </c>
      <c r="P44" s="1" t="inlineStr">
        <is>
          <t>tds</t>
        </is>
      </c>
      <c r="Q44" s="1" t="inlineStr">
        <is>
          <t>TDS</t>
        </is>
      </c>
      <c r="R44" s="1" t="inlineStr">
        <is>
          <t/>
        </is>
      </c>
      <c r="S44" s="15" t="n">
        <v>-3262.46</v>
      </c>
      <c r="T44" s="15" t="n">
        <v>-3262.46</v>
      </c>
    </row>
    <row r="45">
      <c r="A45" s="1" t="inlineStr">
        <is>
          <t/>
        </is>
      </c>
      <c r="B45" s="1" t="inlineStr">
        <is>
          <t>df1331d7-652e-411d-9518-195aafb24082</t>
        </is>
      </c>
      <c r="C45" s="1" t="inlineStr">
        <is>
          <t/>
        </is>
      </c>
      <c r="D45" s="1" t="inlineStr">
        <is>
          <t>TDS Booked by Party</t>
        </is>
      </c>
      <c r="E45" s="1" t="inlineStr">
        <is>
          <t>TDS Booked by Party</t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5" t="n">
        <v>0.0</v>
      </c>
      <c r="M45" s="1" t="inlineStr">
        <is>
          <t>ledger</t>
        </is>
      </c>
      <c r="N45" s="1" t="inlineStr">
        <is>
          <t>31-03-2026</t>
        </is>
      </c>
      <c r="O45" s="1" t="inlineStr">
        <is>
          <t xml:space="preserve">TDS DEDUCTED          </t>
        </is>
      </c>
      <c r="P45" s="1" t="inlineStr">
        <is>
          <t>tds</t>
        </is>
      </c>
      <c r="Q45" s="1" t="inlineStr">
        <is>
          <t>TDS</t>
        </is>
      </c>
      <c r="R45" s="1" t="inlineStr">
        <is>
          <t/>
        </is>
      </c>
      <c r="S45" s="15" t="n">
        <v>-8458.0</v>
      </c>
      <c r="T45" s="15" t="n">
        <v>-8458.0</v>
      </c>
    </row>
    <row r="46">
      <c r="A46" s="1" t="inlineStr">
        <is>
          <t/>
        </is>
      </c>
      <c r="B46" s="1" t="inlineStr">
        <is>
          <t>9870be35-0fc7-442d-866b-dec7a75ddd57</t>
        </is>
      </c>
      <c r="C46" s="1" t="inlineStr">
        <is>
          <t/>
        </is>
      </c>
      <c r="D46" s="1" t="inlineStr">
        <is>
          <t>TDS Booked by Party</t>
        </is>
      </c>
      <c r="E46" s="1" t="inlineStr">
        <is>
          <t>TDS Booked by Party</t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5" t="n">
        <v>0.0</v>
      </c>
      <c r="M46" s="1" t="inlineStr">
        <is>
          <t>ledger</t>
        </is>
      </c>
      <c r="N46" s="1" t="inlineStr">
        <is>
          <t>31-03-2026</t>
        </is>
      </c>
      <c r="O46" s="1" t="inlineStr">
        <is>
          <t xml:space="preserve">TDS ANK2526/GIS00934  </t>
        </is>
      </c>
      <c r="P46" s="1" t="inlineStr">
        <is>
          <t>tds</t>
        </is>
      </c>
      <c r="Q46" s="1" t="inlineStr">
        <is>
          <t>TDS</t>
        </is>
      </c>
      <c r="R46" s="1" t="inlineStr">
        <is>
          <t/>
        </is>
      </c>
      <c r="S46" s="15" t="n">
        <v>-1307.0</v>
      </c>
      <c r="T46" s="15" t="n">
        <v>-1307.0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60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2" t="inlineStr">
        <is>
          <t>Party Name</t>
        </is>
      </c>
      <c r="B1" s="3" t="inlineStr">
        <is>
          <t>LYKA LABORATORIES LTD.</t>
        </is>
      </c>
      <c r="C1" s="2" t="inlineStr">
        <is>
          <t>Date Tolerance</t>
        </is>
      </c>
      <c r="D1" s="3" t="inlineStr">
        <is>
          <t>0 - 15</t>
        </is>
      </c>
    </row>
    <row r="2">
      <c r="A2" s="2" t="inlineStr">
        <is>
          <t>Reconciliation Period</t>
        </is>
      </c>
      <c r="B2" s="3" t="inlineStr">
        <is>
          <t>01-Apr-2025 to 31-Mar-2026</t>
        </is>
      </c>
      <c r="C2" s="2" t="inlineStr">
        <is>
          <t>TDS Percentage</t>
        </is>
      </c>
      <c r="D2" s="3" t="inlineStr">
        <is>
          <t>0.0 - 10.0</t>
        </is>
      </c>
    </row>
    <row r="3">
      <c r="A3" s="2" t="inlineStr">
        <is>
          <t>Statement Type</t>
        </is>
      </c>
      <c r="B3" s="3" t="inlineStr">
        <is>
          <t>Ledger</t>
        </is>
      </c>
      <c r="C3" s="2" t="inlineStr">
        <is>
          <t>Amount Tolerance</t>
        </is>
      </c>
      <c r="D3" s="3" t="inlineStr">
        <is>
          <t>1.0 Rs</t>
        </is>
      </c>
    </row>
    <row r="4">
      <c r="A4" s="2" t="inlineStr">
        <is>
          <t>Party Type</t>
        </is>
      </c>
      <c r="B4" s="3" t="inlineStr">
        <is>
          <t>Vendor</t>
        </is>
      </c>
    </row>
    <row r="5">
      <c r="A5" s="2" t="inlineStr">
        <is>
          <t>Reconciliation Date</t>
        </is>
      </c>
      <c r="B5" s="3" t="inlineStr">
        <is>
          <t>19-Jun-26 10:16 AM</t>
        </is>
      </c>
    </row>
    <row r="7">
      <c r="A7" s="4" t="inlineStr">
        <is>
          <t xml:space="preserve"> Reconciliation Statement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4" t="inlineStr">
        <is>
          <t/>
        </is>
      </c>
    </row>
    <row r="8">
      <c r="A8" s="4" t="inlineStr">
        <is>
          <t>Particulars</t>
        </is>
      </c>
      <c r="B8" s="4" t="inlineStr">
        <is>
          <t>Annexure</t>
        </is>
      </c>
      <c r="C8" s="4" t="inlineStr">
        <is>
          <t>Amount</t>
        </is>
      </c>
      <c r="D8" s="4" t="inlineStr">
        <is>
          <t>No. of Entries</t>
        </is>
      </c>
      <c r="E8" s="4" t="inlineStr">
        <is>
          <t>Action Required</t>
        </is>
      </c>
    </row>
    <row r="9">
      <c r="A9" s="5" t="inlineStr">
        <is>
          <t>Closing Balance Difference</t>
        </is>
      </c>
      <c r="B9" s="5" t="inlineStr">
        <is>
          <t/>
        </is>
      </c>
      <c r="C9" s="5" t="n">
        <f>SUM(C10:C11)</f>
        <v>0.0</v>
      </c>
      <c r="D9" s="5" t="n">
        <f>SUM(D10:D11)</f>
        <v>0.0</v>
      </c>
      <c r="E9" s="5" t="inlineStr">
        <is>
          <t/>
        </is>
      </c>
    </row>
    <row r="10">
      <c r="A10" s="1" t="inlineStr">
        <is>
          <t>Closing Balance as per Company</t>
        </is>
      </c>
      <c r="B10" s="15" t="inlineStr">
        <is>
          <t/>
        </is>
      </c>
      <c r="C10" s="15" t="n">
        <f>-(SUMIFS(Reconciliation!L:L,Reconciliation!D:D,A10,Reconciliation!F:F,"ledger")
+SUMIFS(Reconciliation!S:S,Reconciliation!D:D,A10,Reconciliation!M:M,"ledger"))
</f>
        <v>0.0</v>
      </c>
      <c r="D10" s="1" t="n">
        <f>COUNTIFS(Reconciliation!D:D,A10,Reconciliation!F:F,"ledger")
+COUNTIFS(Reconciliation!D:D,A10,Reconciliation!M:M,"ledger")
</f>
        <v>0.0</v>
      </c>
      <c r="E10" s="1" t="inlineStr">
        <is>
          <t/>
        </is>
      </c>
    </row>
    <row r="11">
      <c r="A11" s="1" t="inlineStr">
        <is>
          <t>Closing Balance as per Party</t>
        </is>
      </c>
      <c r="B11" s="15" t="inlineStr">
        <is>
          <t/>
        </is>
      </c>
      <c r="C11" s="15" t="n">
        <f>-(SUMIFS(Reconciliation!L:L,Reconciliation!D:D,A11,Reconciliation!F:F,"ledger")
+SUMIFS(Reconciliation!S:S,Reconciliation!D:D,A11,Reconciliation!M:M,"ledger"))
</f>
        <v>0.0</v>
      </c>
      <c r="D11" s="1" t="n">
        <f>COUNTIFS(Reconciliation!D:D,A11,Reconciliation!F:F,"ledger")
+COUNTIFS(Reconciliation!D:D,A11,Reconciliation!M:M,"ledger")
</f>
        <v>0.0</v>
      </c>
      <c r="E11" s="1" t="inlineStr">
        <is>
          <t/>
        </is>
      </c>
    </row>
    <row r="12">
      <c r="A12" s="1"/>
      <c r="B12" s="1"/>
      <c r="C12" s="1"/>
      <c r="D12" s="1"/>
      <c r="E12" s="1"/>
    </row>
    <row r="13">
      <c r="A13" s="5" t="inlineStr">
        <is>
          <t>Invoice Difference</t>
        </is>
      </c>
      <c r="B13" s="5" t="inlineStr">
        <is>
          <t/>
        </is>
      </c>
      <c r="C13" s="5" t="n">
        <f>SUM(C14:C15)</f>
        <v>0.0</v>
      </c>
      <c r="D13" s="5" t="n">
        <f>SUM(D14:D15)</f>
        <v>0.0</v>
      </c>
      <c r="E13" s="5" t="inlineStr">
        <is>
          <t/>
        </is>
      </c>
    </row>
    <row r="14">
      <c r="A14" s="1" t="inlineStr">
        <is>
          <t>Invoice not booked by Company</t>
        </is>
      </c>
      <c r="B14" s="1" t="n">
        <v>1.0</v>
      </c>
      <c r="C14" s="15" t="n">
        <f>SUMIFS(Reconciliation!L:L,Reconciliation!D:D,A14,Reconciliation!F:F,"ledger")
+SUMIFS(Reconciliation!S:S,Reconciliation!D:D,A14,Reconciliation!M:M,"ledger")
</f>
        <v>0.0</v>
      </c>
      <c r="D14" s="1" t="n">
        <f>COUNTIFS(Reconciliation!D:D,A14,Reconciliation!F:F,"ledger")
+COUNTIFS(Reconciliation!D:D,A14,Reconciliation!M:M,"ledger")
</f>
        <v>0.0</v>
      </c>
      <c r="E14" s="15" t="inlineStr">
        <is>
          <t>Vendor to provide the invoice copies</t>
        </is>
      </c>
      <c r="F14"/>
    </row>
    <row r="15">
      <c r="A15" s="1" t="inlineStr">
        <is>
          <t>Invoice not booked by Party</t>
        </is>
      </c>
      <c r="B15" s="1" t="n">
        <v>10.0</v>
      </c>
      <c r="C15" s="15" t="n">
        <f>SUMIFS(Reconciliation!L:L,Reconciliation!D:D,A15,Reconciliation!F:F,"ledger")
+SUMIFS(Reconciliation!S:S,Reconciliation!D:D,A15,Reconciliation!M:M,"ledger")
</f>
        <v>0.0</v>
      </c>
      <c r="D15" s="1" t="n">
        <f>COUNTIFS(Reconciliation!D:D,A15,Reconciliation!F:F,"ledger")
+COUNTIFS(Reconciliation!D:D,A15,Reconciliation!M:M,"ledger")
</f>
        <v>0.0</v>
      </c>
      <c r="E15" s="15" t="inlineStr">
        <is>
          <t>Vendor to check the reason for invoice not appearing</t>
        </is>
      </c>
      <c r="F15"/>
    </row>
    <row r="16">
      <c r="A16" s="5" t="inlineStr">
        <is>
          <t>Debit Note / Credit Note Difference</t>
        </is>
      </c>
      <c r="B16" s="5" t="inlineStr">
        <is>
          <t/>
        </is>
      </c>
      <c r="C16" s="5" t="n">
        <f>SUM(C17:C17)</f>
        <v>0.0</v>
      </c>
      <c r="D16" s="5" t="n">
        <f>SUM(D17:D17)</f>
        <v>0.0</v>
      </c>
      <c r="E16" s="5" t="inlineStr">
        <is>
          <t/>
        </is>
      </c>
    </row>
    <row r="17">
      <c r="A17" s="1" t="inlineStr">
        <is>
          <t>Credit Note not booked by Company</t>
        </is>
      </c>
      <c r="B17" s="1" t="n">
        <v>23.0</v>
      </c>
      <c r="C17" s="15" t="n">
        <f>SUMIFS(Reconciliation!L:L,Reconciliation!D:D,A17,Reconciliation!F:F,"ledger")
+SUMIFS(Reconciliation!S:S,Reconciliation!D:D,A17,Reconciliation!M:M,"ledger")
</f>
        <v>0.0</v>
      </c>
      <c r="D17" s="1" t="n">
        <f>COUNTIFS(Reconciliation!D:D,A17,Reconciliation!F:F,"ledger")
+COUNTIFS(Reconciliation!D:D,A17,Reconciliation!M:M,"ledger")
</f>
        <v>0.0</v>
      </c>
      <c r="E17" s="15" t="inlineStr">
        <is>
          <t>Company to book the Debit Note and recover from Vendor</t>
        </is>
      </c>
      <c r="F17"/>
    </row>
    <row r="18">
      <c r="A18" s="5" t="inlineStr">
        <is>
          <t>Payment / receipt Difference</t>
        </is>
      </c>
      <c r="B18" s="5" t="inlineStr">
        <is>
          <t/>
        </is>
      </c>
      <c r="C18" s="5" t="n">
        <f>SUM(C19:C20)</f>
        <v>0.0</v>
      </c>
      <c r="D18" s="5" t="n">
        <f>SUM(D19:D20)</f>
        <v>0.0</v>
      </c>
      <c r="E18" s="5" t="inlineStr">
        <is>
          <t/>
        </is>
      </c>
    </row>
    <row r="19">
      <c r="A19" s="1" t="inlineStr">
        <is>
          <t>Payment not booked by Company</t>
        </is>
      </c>
      <c r="B19" s="1" t="n">
        <v>55.0</v>
      </c>
      <c r="C19" s="15" t="n">
        <f>SUMIFS(Reconciliation!L:L,Reconciliation!D:D,A19,Reconciliation!F:F,"ledger")
+SUMIFS(Reconciliation!S:S,Reconciliation!D:D,A19,Reconciliation!M:M,"ledger")
</f>
        <v>0.0</v>
      </c>
      <c r="D19" s="1" t="n">
        <f>COUNTIFS(Reconciliation!D:D,A19,Reconciliation!F:F,"ledger")
+COUNTIFS(Reconciliation!D:D,A19,Reconciliation!M:M,"ledger")
</f>
        <v>0.0</v>
      </c>
      <c r="E19" s="15" t="inlineStr">
        <is>
          <t>Company to book the payment entries</t>
        </is>
      </c>
      <c r="F19"/>
    </row>
    <row r="20">
      <c r="A20" s="1" t="inlineStr">
        <is>
          <t>Payment not booked by Party</t>
        </is>
      </c>
      <c r="B20" s="1" t="n">
        <v>61.0</v>
      </c>
      <c r="C20" s="15" t="n">
        <f>SUMIFS(Reconciliation!L:L,Reconciliation!D:D,A20,Reconciliation!F:F,"ledger")
+SUMIFS(Reconciliation!S:S,Reconciliation!D:D,A20,Reconciliation!M:M,"ledger")
</f>
        <v>0.0</v>
      </c>
      <c r="D20" s="1" t="n">
        <f>COUNTIFS(Reconciliation!D:D,A20,Reconciliation!F:F,"ledger")
+COUNTIFS(Reconciliation!D:D,A20,Reconciliation!M:M,"ledger")
</f>
        <v>0.0</v>
      </c>
      <c r="E20" s="15" t="inlineStr">
        <is>
          <t>Vendor to check the payment details</t>
        </is>
      </c>
      <c r="F20"/>
    </row>
    <row r="21">
      <c r="A21" s="5" t="inlineStr">
        <is>
          <t>Other Differences</t>
        </is>
      </c>
      <c r="B21" s="5" t="inlineStr">
        <is>
          <t/>
        </is>
      </c>
      <c r="C21" s="5" t="n">
        <f>SUM(C22:C23)</f>
        <v>0.0</v>
      </c>
      <c r="D21" s="5" t="n">
        <f>SUM(D22:D23)</f>
        <v>0.0</v>
      </c>
      <c r="E21" s="5" t="inlineStr">
        <is>
          <t/>
        </is>
      </c>
    </row>
    <row r="22">
      <c r="A22" s="1" t="inlineStr">
        <is>
          <t>Other entry not booked by Company</t>
        </is>
      </c>
      <c r="B22" s="1" t="n">
        <v>74.0</v>
      </c>
      <c r="C22" s="15" t="n">
        <f>SUMIFS(Reconciliation!L:L,Reconciliation!D:D,A22,Reconciliation!F:F,"ledger")
+SUMIFS(Reconciliation!S:S,Reconciliation!D:D,A22,Reconciliation!M:M,"ledger")
</f>
        <v>0.0</v>
      </c>
      <c r="D22" s="1" t="n">
        <f>COUNTIFS(Reconciliation!D:D,A22,Reconciliation!F:F,"ledger")
+COUNTIFS(Reconciliation!D:D,A22,Reconciliation!M:M,"ledger")
</f>
        <v>0.0</v>
      </c>
      <c r="E22" s="15" t="inlineStr">
        <is>
          <t/>
        </is>
      </c>
      <c r="F22"/>
    </row>
    <row r="23">
      <c r="A23" s="1" t="inlineStr">
        <is>
          <t>Other entry not booked by Party</t>
        </is>
      </c>
      <c r="B23" s="1" t="n">
        <v>79.0</v>
      </c>
      <c r="C23" s="15" t="n">
        <f>SUMIFS(Reconciliation!L:L,Reconciliation!D:D,A23,Reconciliation!F:F,"ledger")
+SUMIFS(Reconciliation!S:S,Reconciliation!D:D,A23,Reconciliation!M:M,"ledger")
</f>
        <v>0.0</v>
      </c>
      <c r="D23" s="1" t="n">
        <f>COUNTIFS(Reconciliation!D:D,A23,Reconciliation!F:F,"ledger")
+COUNTIFS(Reconciliation!D:D,A23,Reconciliation!M:M,"ledger")
</f>
        <v>0.0</v>
      </c>
      <c r="E23" s="15" t="inlineStr">
        <is>
          <t/>
        </is>
      </c>
      <c r="F23"/>
    </row>
    <row r="24">
      <c r="A24" s="5" t="inlineStr">
        <is>
          <t>TDS / TCS Difference</t>
        </is>
      </c>
      <c r="B24" s="5" t="inlineStr">
        <is>
          <t/>
        </is>
      </c>
      <c r="C24" s="5" t="n">
        <f>SUM(C25:C26)</f>
        <v>0.0</v>
      </c>
      <c r="D24" s="5" t="n">
        <f>SUM(D25:D26)</f>
        <v>0.0</v>
      </c>
      <c r="E24" s="5" t="inlineStr">
        <is>
          <t/>
        </is>
      </c>
    </row>
    <row r="25">
      <c r="A25" s="1" t="inlineStr">
        <is>
          <t>TDS Booked by Company</t>
        </is>
      </c>
      <c r="B25" s="1" t="n">
        <v>94.0</v>
      </c>
      <c r="C25" s="15" t="n">
        <f>SUMIFS(Reconciliation!T:T,Reconciliation!D:D,A25)
-SUMIFS(Reconciliation!T:T,Reconciliation!D:D,A25,Reconciliation!F:F,"Brought forward",Reconciliation!M:M,"Brought forward")
-SUMIFS(Reconciliation!T:T,Reconciliation!D:D,A25,Reconciliation!F:F,"Brought forward",Reconciliation!I:I,"tds")
-SUMIFS(Reconciliation!T:T,Reconciliation!D:D,A25,Reconciliation!M:M,"Brought forward",Reconciliation!P:P,"tds")
</f>
        <v>0.0</v>
      </c>
      <c r="D25" s="1" t="n">
        <f>COUNTIFS(Reconciliation!D:D,A25)
-COUNTIFS(Reconciliation!D:D,A25,Reconciliation!F:F,"Brought forward",Reconciliation!M:M,"Brought forward")
-COUNTIFS(Reconciliation!D:D,A25,Reconciliation!F:F,"Brought forward",Reconciliation!I:I,"tds")
-COUNTIFS(Reconciliation!D:D,A25,Reconciliation!M:M,"Brought forward",Reconciliation!P:P,"tds")</f>
        <v>0.0</v>
      </c>
      <c r="E25" s="15" t="inlineStr">
        <is>
          <t>Vendor to book the TDS entries</t>
        </is>
      </c>
      <c r="F25"/>
    </row>
    <row r="26">
      <c r="A26" s="1" t="inlineStr">
        <is>
          <t>TDS Booked by Party</t>
        </is>
      </c>
      <c r="B26" s="1" t="n">
        <v>94.0</v>
      </c>
      <c r="C26" s="15" t="n">
        <f>SUMIFS(Reconciliation!T:T,Reconciliation!D:D,A26)
-SUMIFS(Reconciliation!T:T,Reconciliation!D:D,A26,Reconciliation!F:F,"Brought forward",Reconciliation!M:M,"Brought forward")
-SUMIFS(Reconciliation!T:T,Reconciliation!D:D,A26,Reconciliation!F:F,"Brought forward",Reconciliation!I:I,"tds")
-SUMIFS(Reconciliation!T:T,Reconciliation!D:D,A26,Reconciliation!M:M,"Brought forward",Reconciliation!P:P,"tds")
</f>
        <v>0.0</v>
      </c>
      <c r="D26" s="1" t="n">
        <f>COUNTIFS(Reconciliation!D:D,A26)
-COUNTIFS(Reconciliation!D:D,A26,Reconciliation!F:F,"Brought forward",Reconciliation!M:M,"Brought forward")
-COUNTIFS(Reconciliation!D:D,A26,Reconciliation!F:F,"Brought forward",Reconciliation!I:I,"tds")
-COUNTIFS(Reconciliation!D:D,A26,Reconciliation!M:M,"Brought forward",Reconciliation!P:P,"tds")</f>
        <v>0.0</v>
      </c>
      <c r="E26" s="15" t="inlineStr">
        <is>
          <t>Vendor to book the TDS entries</t>
        </is>
      </c>
      <c r="F26"/>
    </row>
    <row r="27">
      <c r="A27" s="5" t="inlineStr">
        <is>
          <t>Reversal Entries</t>
        </is>
      </c>
      <c r="B27" s="5" t="inlineStr">
        <is>
          <t/>
        </is>
      </c>
      <c r="C27" s="5" t="n">
        <f>SUM(C28:C28)</f>
        <v>0.0</v>
      </c>
      <c r="D27" s="5" t="n">
        <f>SUM(D28:D28)</f>
        <v>0.0</v>
      </c>
      <c r="E27" s="5" t="inlineStr">
        <is>
          <t/>
        </is>
      </c>
    </row>
    <row r="28">
      <c r="A28" s="1" t="inlineStr">
        <is>
          <t>Reversal Entries</t>
        </is>
      </c>
      <c r="B28" s="1" t="inlineStr">
        <is>
          <t/>
        </is>
      </c>
      <c r="C28" s="15" t="n">
        <f>SUMIFS(Reconciliation!L:L,Reconciliation!D:D,A28,Reconciliation!F:F,"ledger")
+SUMIFS(Reconciliation!S:S,Reconciliation!D:D,A28,Reconciliation!M:M,"ledger")
</f>
        <v>0.0</v>
      </c>
      <c r="D28" s="1" t="n">
        <f>COUNTIFS(Reconciliation!D:D,A28,Reconciliation!F:F,"ledger")
+COUNTIFS(Reconciliation!D:D,A28,Reconciliation!M:M,"ledger")
</f>
        <v>0.0</v>
      </c>
      <c r="E28" s="15" t="inlineStr">
        <is>
          <t>No Action Required</t>
        </is>
      </c>
      <c r="F28"/>
    </row>
    <row r="29">
      <c r="A29" s="5" t="inlineStr">
        <is>
          <t>Opening Balance Difference</t>
        </is>
      </c>
      <c r="B29" s="5" t="inlineStr">
        <is>
          <t/>
        </is>
      </c>
      <c r="C29" s="5" t="n">
        <f>SUM(C30:C33)</f>
        <v>0.0</v>
      </c>
      <c r="D29" s="5" t="n">
        <f>SUM(D30:D33)</f>
        <v>0.0</v>
      </c>
      <c r="E29" s="5" t="inlineStr">
        <is>
          <t/>
        </is>
      </c>
    </row>
    <row r="30">
      <c r="A30" s="1" t="inlineStr">
        <is>
          <t>Opening Balance as per Company</t>
        </is>
      </c>
      <c r="B30" s="1" t="inlineStr">
        <is>
          <t/>
        </is>
      </c>
      <c r="C30" s="15" t="n">
        <f>SUMIFS(Reconciliation!L:L,Reconciliation!D:D,A30,Reconciliation!F:F,"ledger")
+SUMIFS(Reconciliation!S:S,Reconciliation!D:D,A30,Reconciliation!M:M,"ledger")
</f>
        <v>0.0</v>
      </c>
      <c r="D30" s="1" t="n">
        <f>COUNTIFS(Reconciliation!D:D,A30,Reconciliation!F:F,"ledger")
+COUNTIFS(Reconciliation!D:D,A30,Reconciliation!M:M,"ledger")
</f>
        <v>0.0</v>
      </c>
      <c r="E30" s="15" t="inlineStr">
        <is>
          <t/>
        </is>
      </c>
      <c r="F30"/>
    </row>
    <row r="31">
      <c r="A31" s="1" t="inlineStr">
        <is>
          <t>Opening Balance as per Party</t>
        </is>
      </c>
      <c r="B31" s="1" t="inlineStr">
        <is>
          <t/>
        </is>
      </c>
      <c r="C31" s="15" t="n">
        <f>SUMIFS(Reconciliation!L:L,Reconciliation!D:D,A31,Reconciliation!F:F,"ledger")
+SUMIFS(Reconciliation!S:S,Reconciliation!D:D,A31,Reconciliation!M:M,"ledger")
</f>
        <v>0.0</v>
      </c>
      <c r="D31" s="1" t="n">
        <f>COUNTIFS(Reconciliation!D:D,A31,Reconciliation!F:F,"ledger")
+COUNTIFS(Reconciliation!D:D,A31,Reconciliation!M:M,"ledger")
</f>
        <v>0.0</v>
      </c>
      <c r="E31" s="15" t="inlineStr">
        <is>
          <t>Vendor to provide the breakup of Opening Balance</t>
        </is>
      </c>
      <c r="F31"/>
    </row>
    <row r="32">
      <c r="A32" s="1" t="inlineStr">
        <is>
          <t>Brought forward entries matched - company</t>
        </is>
      </c>
      <c r="B32" s="2" t="inlineStr">
        <is>
          <t>210</t>
        </is>
      </c>
      <c r="C32" s="1" t="n">
        <v>0.0</v>
      </c>
      <c r="D32" s="1" t="n">
        <v>0.0</v>
      </c>
      <c r="E32" s="1"/>
    </row>
    <row r="33">
      <c r="A33" s="1" t="inlineStr">
        <is>
          <t>Brought forward entries matched - party</t>
        </is>
      </c>
      <c r="B33" s="2" t="inlineStr">
        <is>
          <t>211</t>
        </is>
      </c>
      <c r="C33" s="1" t="n">
        <v>0.0</v>
      </c>
      <c r="D33" s="1" t="n">
        <v>0.0</v>
      </c>
      <c r="E33" s="1"/>
    </row>
    <row r="34">
      <c r="A34" s="15" t="inlineStr">
        <is>
          <t>Calculated Balance</t>
        </is>
      </c>
      <c r="B34" s="15"/>
      <c r="C34" s="15" t="n">
        <f>C13+C16+C18+C21+C24+C27+C29</f>
        <v>0.0</v>
      </c>
      <c r="D34" s="15"/>
      <c r="E34" s="15"/>
    </row>
    <row r="35">
      <c r="A35" s="1"/>
      <c r="B35" s="1"/>
      <c r="C35" s="1"/>
      <c r="D35" s="1"/>
      <c r="E35" s="1"/>
    </row>
    <row r="36">
      <c r="A36" s="6" t="inlineStr">
        <is>
          <t>Difference</t>
        </is>
      </c>
      <c r="B36" s="6"/>
      <c r="C36" s="7" t="n">
        <f>C9-C34</f>
        <v>0.0</v>
      </c>
      <c r="D36" s="6"/>
      <c r="E36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2026-06-19T04:50:34Z</dcterms:created>
  <dc:creator>Apache POI</dc:creator>
</cp:coreProperties>
</file>