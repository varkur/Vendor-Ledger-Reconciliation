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92400099\Downloads\"/>
    </mc:Choice>
  </mc:AlternateContent>
  <xr:revisionPtr revIDLastSave="5" documentId="11_71AA36372FAA19FB3F8A9F114915A62D689527E5" xr6:coauthVersionLast="47" xr6:coauthVersionMax="47" xr10:uidLastSave="{6C2D284C-1D61-4324-BE4F-511A294AF639}"/>
  <bookViews>
    <workbookView xWindow="0" yWindow="0" windowWidth="24000" windowHeight="9600" firstSheet="1" activeTab="1" xr2:uid="{00000000-000D-0000-FFFF-FFFF00000000}"/>
  </bookViews>
  <sheets>
    <sheet name="Summary" sheetId="8" r:id="rId1"/>
    <sheet name="Reconciliation" sheetId="1" r:id="rId2"/>
    <sheet name="1" sheetId="3" r:id="rId3"/>
    <sheet name="33" sheetId="4" r:id="rId4"/>
    <sheet name="74" sheetId="5" r:id="rId5"/>
    <sheet name="79" sheetId="6" r:id="rId6"/>
    <sheet name="94" sheetId="7" r:id="rId7"/>
    <sheet name="Party" sheetId="2" r:id="rId8"/>
  </sheets>
  <definedNames>
    <definedName name="_xlnm._FilterDatabase" localSheetId="1" hidden="1">Reconciliation!$A$1:$AT$563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8" l="1"/>
  <c r="C29" i="8"/>
  <c r="D28" i="8"/>
  <c r="C28" i="8"/>
  <c r="D26" i="8"/>
  <c r="D25" i="8" s="1"/>
  <c r="C26" i="8"/>
  <c r="C25" i="8" s="1"/>
  <c r="D24" i="8"/>
  <c r="D23" i="8" s="1"/>
  <c r="C24" i="8"/>
  <c r="C23" i="8" s="1"/>
  <c r="D22" i="8"/>
  <c r="C22" i="8"/>
  <c r="D21" i="8"/>
  <c r="C21" i="8"/>
  <c r="C20" i="8" s="1"/>
  <c r="D19" i="8"/>
  <c r="C19" i="8"/>
  <c r="D18" i="8"/>
  <c r="C18" i="8"/>
  <c r="D16" i="8"/>
  <c r="D15" i="8" s="1"/>
  <c r="C16" i="8"/>
  <c r="C15" i="8" s="1"/>
  <c r="D14" i="8"/>
  <c r="D13" i="8" s="1"/>
  <c r="C14" i="8"/>
  <c r="C13" i="8" s="1"/>
  <c r="D11" i="8"/>
  <c r="C11" i="8"/>
  <c r="D10" i="8"/>
  <c r="C10" i="8"/>
  <c r="C9" i="8" s="1"/>
  <c r="D27" i="8" l="1"/>
  <c r="D20" i="8"/>
  <c r="D9" i="8"/>
  <c r="C17" i="8"/>
  <c r="C27" i="8"/>
  <c r="C32" i="8" s="1"/>
  <c r="C34" i="8" s="1"/>
  <c r="D17" i="8"/>
</calcChain>
</file>

<file path=xl/sharedStrings.xml><?xml version="1.0" encoding="utf-8"?>
<sst xmlns="http://schemas.openxmlformats.org/spreadsheetml/2006/main" count="29027" uniqueCount="3569">
  <si>
    <t>Party Name</t>
  </si>
  <si>
    <t>INOX AIR PRODUCTS PRIVATE LIMITED</t>
  </si>
  <si>
    <t>Date Tolerance</t>
  </si>
  <si>
    <t>0 - 15</t>
  </si>
  <si>
    <t>Reconciliation Period</t>
  </si>
  <si>
    <t>01-Apr-2025 to 31-Mar-2026</t>
  </si>
  <si>
    <t>TDS Percentage</t>
  </si>
  <si>
    <t>0.0 - 10.0</t>
  </si>
  <si>
    <t>Statement Type</t>
  </si>
  <si>
    <t>Ledger</t>
  </si>
  <si>
    <t>Amount Tolerance</t>
  </si>
  <si>
    <t>1.0 Rs</t>
  </si>
  <si>
    <t>Party Type</t>
  </si>
  <si>
    <t>Vendor</t>
  </si>
  <si>
    <t>Reconciliation Date</t>
  </si>
  <si>
    <t>03-Aug-26 04:10 PM</t>
  </si>
  <si>
    <t xml:space="preserve"> Reconciliation Statement</t>
  </si>
  <si>
    <t/>
  </si>
  <si>
    <t>Particulars</t>
  </si>
  <si>
    <t>Annexure</t>
  </si>
  <si>
    <t>Amount</t>
  </si>
  <si>
    <t>No. of Entries</t>
  </si>
  <si>
    <t>Action Required</t>
  </si>
  <si>
    <t>Closing Balance Difference</t>
  </si>
  <si>
    <t>Closing Balance as per Company</t>
  </si>
  <si>
    <t>Closing Balance as per Party</t>
  </si>
  <si>
    <t>Invoice Difference</t>
  </si>
  <si>
    <t>Invoice not booked by Company</t>
  </si>
  <si>
    <t>Vendor to provide the invoice copies</t>
  </si>
  <si>
    <t>Debit Note / Credit Note Difference</t>
  </si>
  <si>
    <t>Debit Note not booked by Party</t>
  </si>
  <si>
    <t>Vendor to book the Credit Note for Shortage / Deduction / Rate Difference etc</t>
  </si>
  <si>
    <t>Other Differences</t>
  </si>
  <si>
    <t>Other entry not booked by Company</t>
  </si>
  <si>
    <t>Other entry not booked by Party</t>
  </si>
  <si>
    <t>TDS / TCS Difference</t>
  </si>
  <si>
    <t>TDS Booked by Company</t>
  </si>
  <si>
    <t>Vendor to book the TDS entries</t>
  </si>
  <si>
    <t>TDS Booked by Party</t>
  </si>
  <si>
    <t>Write Off / Rounding Off</t>
  </si>
  <si>
    <t>Write off / Rounding off</t>
  </si>
  <si>
    <t>No Action Required</t>
  </si>
  <si>
    <t>Reversal Entries</t>
  </si>
  <si>
    <t>Opening Balance Difference</t>
  </si>
  <si>
    <t>Opening Balance as per Company</t>
  </si>
  <si>
    <t>Opening Balance as per Party</t>
  </si>
  <si>
    <t>Vendor to provide the breakup of Opening Balance</t>
  </si>
  <si>
    <t>Brought forward entries matched - company</t>
  </si>
  <si>
    <t>210</t>
  </si>
  <si>
    <t>Brought forward entries matched - party</t>
  </si>
  <si>
    <t>211</t>
  </si>
  <si>
    <t>Calculated Balance</t>
  </si>
  <si>
    <t>Difference</t>
  </si>
  <si>
    <t>Company Id</t>
  </si>
  <si>
    <t>Party Id</t>
  </si>
  <si>
    <t>Matched Id</t>
  </si>
  <si>
    <t>Status</t>
  </si>
  <si>
    <t>Classification</t>
  </si>
  <si>
    <t>Company Statement Type</t>
  </si>
  <si>
    <t>Company Invoice Date</t>
  </si>
  <si>
    <t>Company Invoice Number</t>
  </si>
  <si>
    <t>Company DocType</t>
  </si>
  <si>
    <t>Company Original DocType</t>
  </si>
  <si>
    <t>Company Narration</t>
  </si>
  <si>
    <t>Company Amount</t>
  </si>
  <si>
    <t>Party Statement Type</t>
  </si>
  <si>
    <t>Party Invoice Date</t>
  </si>
  <si>
    <t>Party Invoice Number</t>
  </si>
  <si>
    <t>Party DocType</t>
  </si>
  <si>
    <t>Party Original DocType</t>
  </si>
  <si>
    <t>Party Narration</t>
  </si>
  <si>
    <t>Party Amount</t>
  </si>
  <si>
    <t>Matched Rule</t>
  </si>
  <si>
    <t>Reco Data &amp; Time</t>
  </si>
  <si>
    <t>Remark</t>
  </si>
  <si>
    <t>Party Code</t>
  </si>
  <si>
    <t>Daybook Name</t>
  </si>
  <si>
    <t>Company Clearing Document Number</t>
  </si>
  <si>
    <t>Company Clearing Date</t>
  </si>
  <si>
    <t>Company TDS Amount</t>
  </si>
  <si>
    <t>Company Posting Date</t>
  </si>
  <si>
    <t>Company Code</t>
  </si>
  <si>
    <t>Supplier</t>
  </si>
  <si>
    <t>Document Number</t>
  </si>
  <si>
    <t>Business Area</t>
  </si>
  <si>
    <t>Assignment</t>
  </si>
  <si>
    <t>Document Header Text</t>
  </si>
  <si>
    <t>Tax Code</t>
  </si>
  <si>
    <t>Year/Month</t>
  </si>
  <si>
    <t>Reference</t>
  </si>
  <si>
    <t>Profit Center</t>
  </si>
  <si>
    <t>Posting Date</t>
  </si>
  <si>
    <t>Amount in Doc. Curr.</t>
  </si>
  <si>
    <t>Document Currency</t>
  </si>
  <si>
    <t>Local Currency</t>
  </si>
  <si>
    <t>Entry Date</t>
  </si>
  <si>
    <t>Withhldg Tax Base Amount</t>
  </si>
  <si>
    <t>Payment Date</t>
  </si>
  <si>
    <t>e239eb4a-7f5d-409c-bd66-9768ff790717</t>
  </si>
  <si>
    <t>dc9fa5fd-9a3f-406c-aee0-738399a743cd</t>
  </si>
  <si>
    <t>0102bb94-b8cf-31a5-96a0-453f08501b67</t>
  </si>
  <si>
    <t>Reconciled</t>
  </si>
  <si>
    <t>Date and Amount Matched</t>
  </si>
  <si>
    <t>ledger</t>
  </si>
  <si>
    <t>06-06-2025</t>
  </si>
  <si>
    <t>7053011113</t>
  </si>
  <si>
    <t>payment</t>
  </si>
  <si>
    <t>KZ</t>
  </si>
  <si>
    <t>DZ</t>
  </si>
  <si>
    <t>/103010300003186-AXIS Bank</t>
  </si>
  <si>
    <t>PRI-PAY10.1-company</t>
  </si>
  <si>
    <t>AAACI5569D</t>
  </si>
  <si>
    <t>EPL</t>
  </si>
  <si>
    <t>708659</t>
  </si>
  <si>
    <t>EP00</t>
  </si>
  <si>
    <t>20250606-SUM02</t>
  </si>
  <si>
    <t>2025/03</t>
  </si>
  <si>
    <t>7200</t>
  </si>
  <si>
    <t>14451.72</t>
  </si>
  <si>
    <t>INR</t>
  </si>
  <si>
    <t>12247.22</t>
  </si>
  <si>
    <t>34c18428-e172-4ed6-9cf3-9f84fa81647c</t>
  </si>
  <si>
    <t>34d96bd4-ca8e-4393-87f5-55fa43df3b57</t>
  </si>
  <si>
    <t>01ccdb63-ed9f-36c5-9754-a6a656b0875b</t>
  </si>
  <si>
    <t>Invoice Number Matched</t>
  </si>
  <si>
    <t>17-11-2025</t>
  </si>
  <si>
    <t>GJ2501032777</t>
  </si>
  <si>
    <t>invoice</t>
  </si>
  <si>
    <t>MA</t>
  </si>
  <si>
    <t>NITROGEN USP - NF / IH</t>
  </si>
  <si>
    <t>18-11-2025</t>
  </si>
  <si>
    <t>RV</t>
  </si>
  <si>
    <t>PRI-INV1.5_A-company</t>
  </si>
  <si>
    <t>7053043675</t>
  </si>
  <si>
    <t>6000012318</t>
  </si>
  <si>
    <t>II</t>
  </si>
  <si>
    <t>2025/08</t>
  </si>
  <si>
    <t>EP22</t>
  </si>
  <si>
    <t>27-11-2025</t>
  </si>
  <si>
    <t>-15498.94</t>
  </si>
  <si>
    <t>-13134.7</t>
  </si>
  <si>
    <t>770f1c2f-fb75-4346-bd2f-1689cc863585</t>
  </si>
  <si>
    <t>1fafef18-af9f-4680-8b53-63964cbe3e07</t>
  </si>
  <si>
    <t>03d9b23e-c626-3277-ba22-bf72070d5dee</t>
  </si>
  <si>
    <t>07-07-2025</t>
  </si>
  <si>
    <t>GJ2501013614</t>
  </si>
  <si>
    <t>PRI-INV1.5-company</t>
  </si>
  <si>
    <t>7053018640</t>
  </si>
  <si>
    <t>6000004942</t>
  </si>
  <si>
    <t>IA</t>
  </si>
  <si>
    <t>2025/04</t>
  </si>
  <si>
    <t>09-07-2025</t>
  </si>
  <si>
    <t>-16755</t>
  </si>
  <si>
    <t>-14199.06</t>
  </si>
  <si>
    <t>b5f9bba9-6b13-4843-ad8a-f8819089a230</t>
  </si>
  <si>
    <t>42253461-935f-4b4e-bdc8-eade7b5f4ea7</t>
  </si>
  <si>
    <t>045af481-bc1a-3a4c-8216-2fe1a75b3cb2</t>
  </si>
  <si>
    <t>13-08-2025</t>
  </si>
  <si>
    <t>GJ2501019099</t>
  </si>
  <si>
    <t>7053026128</t>
  </si>
  <si>
    <t>6000007799</t>
  </si>
  <si>
    <t>2025/05</t>
  </si>
  <si>
    <t>28-08-2025</t>
  </si>
  <si>
    <t>75a1507e-8616-4f1c-8f6d-ed2c6ce945b7</t>
  </si>
  <si>
    <t>6d2b9e65-1ff0-4ec0-bcb6-6072ffcacd9e</t>
  </si>
  <si>
    <t>05f512b8-4c97-3448-80b9-c21f5bc76dc4</t>
  </si>
  <si>
    <t>25-06-2025</t>
  </si>
  <si>
    <t>7053014217</t>
  </si>
  <si>
    <t>20250625-SUM01</t>
  </si>
  <si>
    <t>15498.94</t>
  </si>
  <si>
    <t>13134.7</t>
  </si>
  <si>
    <t>2235a0a0-f99f-4b11-9ee9-56e6fbbd79e2</t>
  </si>
  <si>
    <t>0fd9a2cc-cf2f-47ef-be61-97e31aebc5e8</t>
  </si>
  <si>
    <t>0629eb8d-fb71-3eab-b7ee-962c818ce396</t>
  </si>
  <si>
    <t>02-09-2025</t>
  </si>
  <si>
    <t>GJ2501022123</t>
  </si>
  <si>
    <t>03-09-2025</t>
  </si>
  <si>
    <t>7053028420</t>
  </si>
  <si>
    <t>6000008455</t>
  </si>
  <si>
    <t>2025/06</t>
  </si>
  <si>
    <t>09-09-2025</t>
  </si>
  <si>
    <t>-19687.86</t>
  </si>
  <si>
    <t>-16684.62</t>
  </si>
  <si>
    <t>b7155055-1caf-4e32-806b-aa52ab865971</t>
  </si>
  <si>
    <t>ab22d0f7-095b-45c1-b856-a8d126e3953e</t>
  </si>
  <si>
    <t>06915f1c-466a-37d8-a69e-5203e6977836</t>
  </si>
  <si>
    <t>24-05-2025</t>
  </si>
  <si>
    <t>GJ2501007303</t>
  </si>
  <si>
    <t>6000002545</t>
  </si>
  <si>
    <t>2025/02</t>
  </si>
  <si>
    <t>27-05-2025</t>
  </si>
  <si>
    <t>-14451.72</t>
  </si>
  <si>
    <t>-12247.22</t>
  </si>
  <si>
    <t>26-05-2025</t>
  </si>
  <si>
    <t>419f95e8-b40d-4a7d-875a-f77e13e3d13d</t>
  </si>
  <si>
    <t>f46a04d3-50f1-410f-9dc4-d32813671676</t>
  </si>
  <si>
    <t>0751589e-1f28-3d03-8a52-20da3026c011</t>
  </si>
  <si>
    <t>03-12-2025</t>
  </si>
  <si>
    <t>7053044053</t>
  </si>
  <si>
    <t>20251203-SUM10</t>
  </si>
  <si>
    <t>2025/09</t>
  </si>
  <si>
    <t>7d1679e1-3bb1-4476-9a3e-ac8e0296508a</t>
  </si>
  <si>
    <t>ae90adba-0758-4a8b-a007-e0ac0a074a0f</t>
  </si>
  <si>
    <t>08090543-befc-3333-abbb-055443e2311b</t>
  </si>
  <si>
    <t>12-11-2025</t>
  </si>
  <si>
    <t>7053039840</t>
  </si>
  <si>
    <t>20251112-SUM02</t>
  </si>
  <si>
    <t>16755.62</t>
  </si>
  <si>
    <t>14199.68</t>
  </si>
  <si>
    <t>4fa6e103-8352-4fa5-82c2-8ad1a9ac9546</t>
  </si>
  <si>
    <t>22851b8b-1969-4590-a3b5-8d6620d3dee0</t>
  </si>
  <si>
    <t>0a46fe88-ffcf-3e58-ad12-81417f99e660</t>
  </si>
  <si>
    <t>10-12-2025</t>
  </si>
  <si>
    <t>7053045044</t>
  </si>
  <si>
    <t>20251210-SUM02</t>
  </si>
  <si>
    <t>13613.94</t>
  </si>
  <si>
    <t>11537.24</t>
  </si>
  <si>
    <t>1a922d31-d186-4e4c-aa1f-f2289a8a79d4</t>
  </si>
  <si>
    <t>8b8a393a-e179-46b1-8dd9-cbc5938ded87</t>
  </si>
  <si>
    <t>0ad380c7-d851-32e8-a15f-148dccd6158d</t>
  </si>
  <si>
    <t>GJ2501034356</t>
  </si>
  <si>
    <t>28-11-2025</t>
  </si>
  <si>
    <t>7053045773</t>
  </si>
  <si>
    <t>6000012593</t>
  </si>
  <si>
    <t>01-12-2025</t>
  </si>
  <si>
    <t>b774ef5e-3b11-4525-b185-71d8da4ef911</t>
  </si>
  <si>
    <t>e9d901d3-899f-4f0f-9526-7a583554dc58</t>
  </si>
  <si>
    <t>0c3f5a3b-3748-3cfb-9475-17d40608f144</t>
  </si>
  <si>
    <t>20-03-2026</t>
  </si>
  <si>
    <t>7053065837</t>
  </si>
  <si>
    <t>NEFT Cr-UTIB0001636-EMCURE PHARMACEUTICALS LIMITED</t>
  </si>
  <si>
    <t>714213</t>
  </si>
  <si>
    <t>20260320-SUM01</t>
  </si>
  <si>
    <t>2025/12</t>
  </si>
  <si>
    <t>38859</t>
  </si>
  <si>
    <t>32931.360000000001</t>
  </si>
  <si>
    <t>978a5118-8f9b-4f54-ab7b-de26a6e84029</t>
  </si>
  <si>
    <t>1753e470-c31e-44ee-8c22-932192d984dc</t>
  </si>
  <si>
    <t>0ca1f6e1-3818-37d8-abe4-e28760ace981</t>
  </si>
  <si>
    <t>05-07-2025</t>
  </si>
  <si>
    <t>GJ2502001220</t>
  </si>
  <si>
    <t>MI</t>
  </si>
  <si>
    <t>Fixed facility charges july-25</t>
  </si>
  <si>
    <t>PRI-INV1.6-company</t>
  </si>
  <si>
    <t>6008011428</t>
  </si>
  <si>
    <t>14-07-2025</t>
  </si>
  <si>
    <t>-8120</t>
  </si>
  <si>
    <t>-7000</t>
  </si>
  <si>
    <t>72be1a7e-de00-4fd0-8e54-9f420150202c</t>
  </si>
  <si>
    <t>68db1cf9-695a-4338-8441-6d672543df07</t>
  </si>
  <si>
    <t>0d6f58c1-3d6a-3d8d-a262-9322227f107c</t>
  </si>
  <si>
    <t>03-01-2026</t>
  </si>
  <si>
    <t>GJ2501039969</t>
  </si>
  <si>
    <t>NITROGEN USP - NF /Ph.Eur./IH</t>
  </si>
  <si>
    <t>7053062135</t>
  </si>
  <si>
    <t>6000015127</t>
  </si>
  <si>
    <t>GJ501039969</t>
  </si>
  <si>
    <t>2025/10</t>
  </si>
  <si>
    <t>08-01-2026</t>
  </si>
  <si>
    <t>-64849</t>
  </si>
  <si>
    <t>-54956.76</t>
  </si>
  <si>
    <t>05-02-2026</t>
  </si>
  <si>
    <t>18a22fcd-aa46-43ba-bea8-a7df2be52ecf</t>
  </si>
  <si>
    <t>fb427b4a-0596-41c3-b838-4d2490b3b7fd</t>
  </si>
  <si>
    <t>0ddc8c6f-8b90-34e4-8974-3667e8ffe791</t>
  </si>
  <si>
    <t>05-06-2025</t>
  </si>
  <si>
    <t>GJ2502000831</t>
  </si>
  <si>
    <t>Rent charges of nitrogen for June 25</t>
  </si>
  <si>
    <t>7053046690</t>
  </si>
  <si>
    <t>6008028039</t>
  </si>
  <si>
    <t>21-11-2025</t>
  </si>
  <si>
    <t>170e69cc-07fd-4cb5-9794-83d05841139c</t>
  </si>
  <si>
    <t>59c3147f-8d47-4538-b89e-eb33f76b06cb</t>
  </si>
  <si>
    <t>0dfbfa1c-a556-3548-86cf-642408720a57</t>
  </si>
  <si>
    <t>28-07-2025</t>
  </si>
  <si>
    <t>GJ2501016823</t>
  </si>
  <si>
    <t>7053022562</t>
  </si>
  <si>
    <t>6000006496</t>
  </si>
  <si>
    <t>31-07-2025</t>
  </si>
  <si>
    <t>-11938.37</t>
  </si>
  <si>
    <t>-10117.27</t>
  </si>
  <si>
    <t>619e07ca-fb10-4050-8184-91b2cd0ea0cb</t>
  </si>
  <si>
    <t>381048b6-4c9b-46f2-9394-3addac6a373c</t>
  </si>
  <si>
    <t>0f0198d3-9f6b-3a13-94bd-40f5464d2661</t>
  </si>
  <si>
    <t>GJ2501007694</t>
  </si>
  <si>
    <t>7053011696</t>
  </si>
  <si>
    <t>6000002794</t>
  </si>
  <si>
    <t>02-06-2025</t>
  </si>
  <si>
    <t>-17802.84</t>
  </si>
  <si>
    <t>-15087.16</t>
  </si>
  <si>
    <t>28-05-2025</t>
  </si>
  <si>
    <t>537db7e4-5131-4d30-ad04-e8a3bda13f80</t>
  </si>
  <si>
    <t>16d98f5b-7192-4f4f-9581-3d76cc11477d</t>
  </si>
  <si>
    <t>0f6b9183-9481-3ca8-ad34-d9c464fc060c</t>
  </si>
  <si>
    <t>27-01-2026</t>
  </si>
  <si>
    <t>GJ2501043584</t>
  </si>
  <si>
    <t>7053058317</t>
  </si>
  <si>
    <t>6000016109</t>
  </si>
  <si>
    <t>29-01-2026</t>
  </si>
  <si>
    <t>-14661.16</t>
  </si>
  <si>
    <t>-12424.72</t>
  </si>
  <si>
    <t>28-01-2026</t>
  </si>
  <si>
    <t>7e32b000-4c36-41d5-ad50-2d95744cc8e8</t>
  </si>
  <si>
    <t>d9b5b396-0cb9-4308-a2b6-5845677070b8</t>
  </si>
  <si>
    <t>1042934f-e325-3aa2-b1e6-67ce509b480f</t>
  </si>
  <si>
    <t>21-04-2025</t>
  </si>
  <si>
    <t>7053003056</t>
  </si>
  <si>
    <t>20250421-SUM02</t>
  </si>
  <si>
    <t>2025/01</t>
  </si>
  <si>
    <t>18431.189999999999</t>
  </si>
  <si>
    <t>15619.65</t>
  </si>
  <si>
    <t>2568f5d0-48d2-44bd-acf6-9f2158611cba</t>
  </si>
  <si>
    <t>77d26c2e-a512-4b25-b25d-43a78503a417</t>
  </si>
  <si>
    <t>106c61c6-f08b-3269-8369-81e371ed4e6d</t>
  </si>
  <si>
    <t>16-09-2025</t>
  </si>
  <si>
    <t>GJ2501017485</t>
  </si>
  <si>
    <t>01-08-2025</t>
  </si>
  <si>
    <t>7053034627</t>
  </si>
  <si>
    <t>6000009736</t>
  </si>
  <si>
    <t>GJ2501024363</t>
  </si>
  <si>
    <t>30-09-2025</t>
  </si>
  <si>
    <t>-17174.509999999998</t>
  </si>
  <si>
    <t>-14554.67</t>
  </si>
  <si>
    <t>824c4c97-c29f-47f9-874f-8ff4134020b3</t>
  </si>
  <si>
    <t>c6538111-bb2a-42b4-a133-51eb04f5c1c2</t>
  </si>
  <si>
    <t>110c9077-55d7-366f-901a-689dd1a2b184</t>
  </si>
  <si>
    <t>7053009537</t>
  </si>
  <si>
    <t>20250528-SUM01</t>
  </si>
  <si>
    <t>31207</t>
  </si>
  <si>
    <t>26446.560000000001</t>
  </si>
  <si>
    <t>a9dc7e96-48ff-47e7-95e7-1378163d69a3</t>
  </si>
  <si>
    <t>bf5d9d3a-9642-4dec-a100-e2a69c626181</t>
  </si>
  <si>
    <t>12865390-331f-3113-9500-42d98c7e89c1</t>
  </si>
  <si>
    <t>16-01-2026</t>
  </si>
  <si>
    <t>GJ2502003787</t>
  </si>
  <si>
    <t>CONSULTANCY FEES- APPROX MONTH  JAN 2025</t>
  </si>
  <si>
    <t>7053056142</t>
  </si>
  <si>
    <t>6008034932</t>
  </si>
  <si>
    <t>21-01-2026</t>
  </si>
  <si>
    <t>-121800</t>
  </si>
  <si>
    <t>-105000</t>
  </si>
  <si>
    <t>20-01-2026</t>
  </si>
  <si>
    <t>241dd284-d5a2-41cc-910d-d161ab84c990</t>
  </si>
  <si>
    <t>decaaf4c-de4c-42bb-9f1a-fa2c1619ea9c</t>
  </si>
  <si>
    <t>12c5ebd7-0bc5-3cb6-988a-a352ffa8c7dd</t>
  </si>
  <si>
    <t>7053055473</t>
  </si>
  <si>
    <t>20260129-SUM10</t>
  </si>
  <si>
    <t>16127.29</t>
  </si>
  <si>
    <t>13667.19</t>
  </si>
  <si>
    <t>5fbc469c-a265-4725-a34e-e3e6e122d815</t>
  </si>
  <si>
    <t>1b7bc51b-ebf7-45d6-8b00-73a7c0d47ffe</t>
  </si>
  <si>
    <t>12df1500-5005-40c3-85f2-7d0f4e5e944e</t>
  </si>
  <si>
    <t>Date Range and Amount Matched</t>
  </si>
  <si>
    <t>10-11-2025</t>
  </si>
  <si>
    <t>7053039489</t>
  </si>
  <si>
    <t>11-11-2025</t>
  </si>
  <si>
    <t>PRI-PAY11.1-company</t>
  </si>
  <si>
    <t>20251110-SUM02</t>
  </si>
  <si>
    <t>55663.4</t>
  </si>
  <si>
    <t>47290.92</t>
  </si>
  <si>
    <t>313fcd04-0514-4321-b7ea-bd5e17850e66</t>
  </si>
  <si>
    <t>f879ae48-5e10-422c-abc1-fd7fb567032a</t>
  </si>
  <si>
    <t>134030d4-0656-306c-923c-0033ee196bb6</t>
  </si>
  <si>
    <t>23-03-2026</t>
  </si>
  <si>
    <t>7053065992</t>
  </si>
  <si>
    <t>20260323-SUM10</t>
  </si>
  <si>
    <t>36588.019999999997</t>
  </si>
  <si>
    <t>31006.799999999999</t>
  </si>
  <si>
    <t>9c49830e-2d1e-42b9-815f-086292e35a0a</t>
  </si>
  <si>
    <t>04d81620-531e-4e19-88ee-107613bd869b</t>
  </si>
  <si>
    <t>1389c6c3-a6c5-3e19-86d9-0c8da1f05247</t>
  </si>
  <si>
    <t>27-08-2025</t>
  </si>
  <si>
    <t>GJ2501021121</t>
  </si>
  <si>
    <t>7053028415</t>
  </si>
  <si>
    <t>6000008256</t>
  </si>
  <si>
    <t>04-09-2025</t>
  </si>
  <si>
    <t>-18431.189999999999</t>
  </si>
  <si>
    <t>-15619.65</t>
  </si>
  <si>
    <t>30-08-2025</t>
  </si>
  <si>
    <t>20d86c9d-20cf-452b-b863-4d4161757ce2</t>
  </si>
  <si>
    <t>223b4917-7bb6-4d0b-a1e6-1a09de4e5ba4</t>
  </si>
  <si>
    <t>14106f01-4bbc-3296-9e9f-428271999dbc</t>
  </si>
  <si>
    <t>13-09-2025</t>
  </si>
  <si>
    <t>GJ2501023625</t>
  </si>
  <si>
    <t>7053031026</t>
  </si>
  <si>
    <t>6000009286</t>
  </si>
  <si>
    <t>24-09-2025</t>
  </si>
  <si>
    <t>-17803</t>
  </si>
  <si>
    <t>-15087.32</t>
  </si>
  <si>
    <t>15-09-2025</t>
  </si>
  <si>
    <t>ef3174fa-b20c-4650-a437-2c28e373cc6b</t>
  </si>
  <si>
    <t>c217d3b2-dc98-4972-a22c-62690237c23d</t>
  </si>
  <si>
    <t>1458031b-5016-3393-abba-62c141df9776</t>
  </si>
  <si>
    <t>21-12-2025</t>
  </si>
  <si>
    <t>GJ2501038191</t>
  </si>
  <si>
    <t>23-12-2025</t>
  </si>
  <si>
    <t>7053052837</t>
  </si>
  <si>
    <t>6000014800</t>
  </si>
  <si>
    <t>31-12-2025</t>
  </si>
  <si>
    <t>-16127.29</t>
  </si>
  <si>
    <t>02-01-2026</t>
  </si>
  <si>
    <t>-13667.19</t>
  </si>
  <si>
    <t>13a89072-17f4-469b-adab-904e77bee999</t>
  </si>
  <si>
    <t>80f73e0c-33e6-46c1-8d62-587bbc3a6ddb</t>
  </si>
  <si>
    <t>161da05b-906d-3575-9250-bfbc809ee54f</t>
  </si>
  <si>
    <t>GJ2502003996</t>
  </si>
  <si>
    <t>Nitrogen tank 6kl Rent Charge (Inox)</t>
  </si>
  <si>
    <t>6008037710</t>
  </si>
  <si>
    <t>2025/11</t>
  </si>
  <si>
    <t>12-02-2026</t>
  </si>
  <si>
    <t>-29000</t>
  </si>
  <si>
    <t>-25000</t>
  </si>
  <si>
    <t>10-02-2026</t>
  </si>
  <si>
    <t>950366d2-bbd9-4aa1-91a6-3874647c2db4</t>
  </si>
  <si>
    <t>f3de4390-0fc5-4dde-bb2f-51aac3816e1a</t>
  </si>
  <si>
    <t>165c1b3d-a552-3e10-b987-25b57387d0ee</t>
  </si>
  <si>
    <t>04-04-2025</t>
  </si>
  <si>
    <t>GJ2501000356</t>
  </si>
  <si>
    <t>7053003202</t>
  </si>
  <si>
    <t>6000000634</t>
  </si>
  <si>
    <t>03-04-2025</t>
  </si>
  <si>
    <t>3459e23a-ac4a-4af6-8300-ec0ed529935d</t>
  </si>
  <si>
    <t>0320d7df-9a8d-4d25-9dc8-f3bc70fe582e</t>
  </si>
  <si>
    <t>17c0c9f1-a4e5-32fd-b0c2-d53b07c35f44</t>
  </si>
  <si>
    <t>01-02-2026</t>
  </si>
  <si>
    <t>GJ2501044504</t>
  </si>
  <si>
    <t>7053058939</t>
  </si>
  <si>
    <t>6000016636</t>
  </si>
  <si>
    <t>06-02-2026</t>
  </si>
  <si>
    <t>-15289.51</t>
  </si>
  <si>
    <t>-12957.21</t>
  </si>
  <si>
    <t>02-02-2026</t>
  </si>
  <si>
    <t>dccf8b26-0e80-4223-8058-0c6172df8eba</t>
  </si>
  <si>
    <t>969ca46e-22f0-4074-a516-d83e25f51713</t>
  </si>
  <si>
    <t>18c90947-08ce-3d07-8cdf-d8ddf23b1be2</t>
  </si>
  <si>
    <t>04-06-2025</t>
  </si>
  <si>
    <t>7053010772</t>
  </si>
  <si>
    <t>20250604-SUM02</t>
  </si>
  <si>
    <t>31206</t>
  </si>
  <si>
    <t>26445.56</t>
  </si>
  <si>
    <t>d443d5bb-02a1-47d3-81cc-d8c9187ab4ef</t>
  </si>
  <si>
    <t>912c5f17-4bc3-4292-bedd-c4853c791d10</t>
  </si>
  <si>
    <t>194b8823-59b1-3caa-8a44-6e333f1a9231</t>
  </si>
  <si>
    <t>13-12-2025</t>
  </si>
  <si>
    <t>GJ2501036831</t>
  </si>
  <si>
    <t>14-12-2025</t>
  </si>
  <si>
    <t>7053048840</t>
  </si>
  <si>
    <t>6000013561</t>
  </si>
  <si>
    <t>18-12-2025</t>
  </si>
  <si>
    <t>-14870.62</t>
  </si>
  <si>
    <t>-12602.22</t>
  </si>
  <si>
    <t>dc257bdb-875c-466b-88f2-40a6f8bfcc5e</t>
  </si>
  <si>
    <t>58f60edc-1f82-411d-9f23-a773bc3f54a6</t>
  </si>
  <si>
    <t>1a75c43e-9692-3b49-a0ca-b819f205b2ba</t>
  </si>
  <si>
    <t>24-12-2025</t>
  </si>
  <si>
    <t>7053047776</t>
  </si>
  <si>
    <t>20251224-SUM01</t>
  </si>
  <si>
    <t>29531</t>
  </si>
  <si>
    <t>25026.16</t>
  </si>
  <si>
    <t>c86cceed-0cec-4bce-881b-9e889fa9534a</t>
  </si>
  <si>
    <t>3caa2a32-692a-45a7-b31f-4bc48d5ecee1</t>
  </si>
  <si>
    <t>1b464bbe-c278-3e49-948f-b1263bd94f23</t>
  </si>
  <si>
    <t>29-11-2025</t>
  </si>
  <si>
    <t>GJ2501034724</t>
  </si>
  <si>
    <t>30-11-2025</t>
  </si>
  <si>
    <t>7053047188</t>
  </si>
  <si>
    <t>6000013502</t>
  </si>
  <si>
    <t>-12985.61</t>
  </si>
  <si>
    <t>-11004.75</t>
  </si>
  <si>
    <t>02-12-2025</t>
  </si>
  <si>
    <t>ed421c7a-fe50-45b8-9bd6-5d949c6cd7ea</t>
  </si>
  <si>
    <t>990c846b-d514-4741-98f9-d63b6127bc7f</t>
  </si>
  <si>
    <t>1c189260-3413-3264-8ec4-304bb0a4a29c</t>
  </si>
  <si>
    <t>30-03-2026</t>
  </si>
  <si>
    <t>GJ2501053696</t>
  </si>
  <si>
    <t>7053002120</t>
  </si>
  <si>
    <t>6000019806</t>
  </si>
  <si>
    <t>31-03-2026</t>
  </si>
  <si>
    <t>-24728</t>
  </si>
  <si>
    <t>-20955.86</t>
  </si>
  <si>
    <t>48ec9e30-b538-4174-ac1c-cb0ef9dff214</t>
  </si>
  <si>
    <t>34cd6a9b-9985-4b4a-92c8-97e6dcb31a11</t>
  </si>
  <si>
    <t>1c1b6223-e656-3a45-8026-dfe15012b0b4</t>
  </si>
  <si>
    <t>Multiple Date and Amount Matched</t>
  </si>
  <si>
    <t>05-05-2025</t>
  </si>
  <si>
    <t>7053005096</t>
  </si>
  <si>
    <t>PRI-PAY1.1-company</t>
  </si>
  <si>
    <t>EP16</t>
  </si>
  <si>
    <t>20250505-SUM10</t>
  </si>
  <si>
    <t>7364a35b-7b93-41b1-9d9b-0410d48cb70a</t>
  </si>
  <si>
    <t>c03d826c-ca9d-4ceb-ada9-b6eea7ea14c1</t>
  </si>
  <si>
    <t>7053005095</t>
  </si>
  <si>
    <t>95505.13</t>
  </si>
  <si>
    <t>80936.25</t>
  </si>
  <si>
    <t>6e05986c-f44b-4328-a278-7f5c7eb32394</t>
  </si>
  <si>
    <t>341e14db-7a60-4284-9554-eda308453feb</t>
  </si>
  <si>
    <t>1c79962d-b9e7-3e4d-b6b6-f28d16f13cd6</t>
  </si>
  <si>
    <t>GJ2501032941</t>
  </si>
  <si>
    <t>19-11-2025</t>
  </si>
  <si>
    <t>7053043908</t>
  </si>
  <si>
    <t>6000012320</t>
  </si>
  <si>
    <t>-15080</t>
  </si>
  <si>
    <t>-12779.66</t>
  </si>
  <si>
    <t>20-11-2025</t>
  </si>
  <si>
    <t>1def87c0-5cd6-4758-a604-4146686645e0</t>
  </si>
  <si>
    <t>b4056325-e39b-4a5f-907c-55f2736a0e96</t>
  </si>
  <si>
    <t>1d564d8f-2c6c-358d-a115-b01e8f392ee6</t>
  </si>
  <si>
    <t>12-05-2025</t>
  </si>
  <si>
    <t>GJ2501005550</t>
  </si>
  <si>
    <t>7053009400</t>
  </si>
  <si>
    <t>6000002366</t>
  </si>
  <si>
    <t>23-05-2025</t>
  </si>
  <si>
    <t>-14032</t>
  </si>
  <si>
    <t>-11891.4</t>
  </si>
  <si>
    <t>b30481d6-8cf6-4919-81ad-ea03eb5b98a6</t>
  </si>
  <si>
    <t>fd696d75-da00-40a1-8bb6-ef319d280af3</t>
  </si>
  <si>
    <t>1f57551b-f843-3ea3-b162-da0b36b5f829</t>
  </si>
  <si>
    <t>25-12-2025</t>
  </si>
  <si>
    <t>GJ2501038566</t>
  </si>
  <si>
    <t>6000014777</t>
  </si>
  <si>
    <t>-8377.82</t>
  </si>
  <si>
    <t>-7099.84</t>
  </si>
  <si>
    <t>29-12-2025</t>
  </si>
  <si>
    <t>c69508f4-2dee-49b3-8155-e54f9f0da091</t>
  </si>
  <si>
    <t>9577d55f-cb42-447b-b226-1324d44882d1</t>
  </si>
  <si>
    <t>20ab084e-0738-38f8-b367-ca651a53ef33</t>
  </si>
  <si>
    <t>10-06-2025</t>
  </si>
  <si>
    <t>GJ2501009872</t>
  </si>
  <si>
    <t>11-06-2025</t>
  </si>
  <si>
    <t>7053015082</t>
  </si>
  <si>
    <t>6000004285</t>
  </si>
  <si>
    <t>27-06-2025</t>
  </si>
  <si>
    <t>-16965</t>
  </si>
  <si>
    <t>-14377.1</t>
  </si>
  <si>
    <t>12-06-2025</t>
  </si>
  <si>
    <t>2c191e1d-291c-46c8-a40b-7cf1e30ff49f</t>
  </si>
  <si>
    <t>7287bf6a-976b-4ff9-a42c-9e42a34a023a</t>
  </si>
  <si>
    <t>228e9f1a-21ae-358d-ab9e-ac0e172a95e4</t>
  </si>
  <si>
    <t>13-01-2026</t>
  </si>
  <si>
    <t>GJ2501041579</t>
  </si>
  <si>
    <t>6000015579</t>
  </si>
  <si>
    <t>19-01-2026</t>
  </si>
  <si>
    <t>12-01-2026</t>
  </si>
  <si>
    <t>366fb887-765a-45be-bdf1-11c9b7d3a5fb</t>
  </si>
  <si>
    <t>12667236-756f-46a7-9a93-34f4776f8324</t>
  </si>
  <si>
    <t>259a6478-fadb-397f-b1ce-54a9d0df2189</t>
  </si>
  <si>
    <t>GJ2501022610</t>
  </si>
  <si>
    <t>06-09-2025</t>
  </si>
  <si>
    <t>6000008467</t>
  </si>
  <si>
    <t>-4817.25</t>
  </si>
  <si>
    <t>-4082.41</t>
  </si>
  <si>
    <t>43181376-8459-462e-bd92-2aa42156db78</t>
  </si>
  <si>
    <t>9fca985e-86c7-42e9-a99c-fceebf42ed01</t>
  </si>
  <si>
    <t>26a85f82-af46-4f34-ac21-92685f4b8319</t>
  </si>
  <si>
    <t>Partial Invoice Number with Date Range</t>
  </si>
  <si>
    <t>GJ2501043805R</t>
  </si>
  <si>
    <t>GJ2501043805</t>
  </si>
  <si>
    <t>PRI-INV3.1-company</t>
  </si>
  <si>
    <t>6000016650</t>
  </si>
  <si>
    <t>09-02-2026</t>
  </si>
  <si>
    <t>0a41572e-86b1-46ef-85b7-57552ede13a8</t>
  </si>
  <si>
    <t>1f4d0aec-9ff4-4f00-acb4-317ede02a2f7</t>
  </si>
  <si>
    <t>26fa3e12-ca1a-3ca8-a155-66251540de79</t>
  </si>
  <si>
    <t>GJ2501033465</t>
  </si>
  <si>
    <t>22-11-2025</t>
  </si>
  <si>
    <t>7053044775</t>
  </si>
  <si>
    <t>6000012408</t>
  </si>
  <si>
    <t>-14032.83</t>
  </si>
  <si>
    <t>-11892.23</t>
  </si>
  <si>
    <t>24-11-2025</t>
  </si>
  <si>
    <t>d9c40135-66d6-45da-a501-c0f699172173</t>
  </si>
  <si>
    <t>4e7b9f98-4b65-45f5-b6b1-b3534df47ca9</t>
  </si>
  <si>
    <t>27d5dc91-ea8e-3b6a-a05e-7cd307425bf2</t>
  </si>
  <si>
    <t>07-04-2025</t>
  </si>
  <si>
    <t>GJ2501000765</t>
  </si>
  <si>
    <t>6000000884</t>
  </si>
  <si>
    <t>24-04-2025</t>
  </si>
  <si>
    <t>-18431</t>
  </si>
  <si>
    <t>-15619.46</t>
  </si>
  <si>
    <t>4559a74a-9cab-46ae-8a2e-cca7f6d27775</t>
  </si>
  <si>
    <t>37aa09ba-614d-437d-896b-7e793c9564b6</t>
  </si>
  <si>
    <t>2baaf793-b9bb-3b7d-989b-ed1207b5da2f</t>
  </si>
  <si>
    <t>16-02-2026</t>
  </si>
  <si>
    <t>GJ2501046999</t>
  </si>
  <si>
    <t>7053062346</t>
  </si>
  <si>
    <t>6000017289</t>
  </si>
  <si>
    <t>19-02-2026</t>
  </si>
  <si>
    <t>-30658.240000000002</t>
  </si>
  <si>
    <t>-25981.56</t>
  </si>
  <si>
    <t>17-02-2026</t>
  </si>
  <si>
    <t>0e45f064-3797-4c0e-89c5-e92924d7ec20</t>
  </si>
  <si>
    <t>d9e50e21-93e3-4e83-af33-8aa1a437811a</t>
  </si>
  <si>
    <t>2bf3d35c-0695-348d-8036-e47f38e4ac54</t>
  </si>
  <si>
    <t>7053027572</t>
  </si>
  <si>
    <t>20250909-SUM10</t>
  </si>
  <si>
    <t>18012.3</t>
  </si>
  <si>
    <t>15264.66</t>
  </si>
  <si>
    <t>dba44f58-edbc-45be-acc2-0a1e55433ab0</t>
  </si>
  <si>
    <t>bd0ffaa6-2c0b-4873-afab-b0481bb67b7d</t>
  </si>
  <si>
    <t>2c906a7f-372f-3571-8fc6-afbc81cfb2b3</t>
  </si>
  <si>
    <t>GJ2501014156</t>
  </si>
  <si>
    <t>10-07-2025</t>
  </si>
  <si>
    <t>7053020242</t>
  </si>
  <si>
    <t>6000005398</t>
  </si>
  <si>
    <t>16-07-2025</t>
  </si>
  <si>
    <t>-11728.94</t>
  </si>
  <si>
    <t>-9939.7800000000007</t>
  </si>
  <si>
    <t>50e243c3-d874-42e9-9589-713d51549ef5</t>
  </si>
  <si>
    <t>b6639706-d569-4f92-8428-bf55b54dad7d</t>
  </si>
  <si>
    <t>2d5c906a-1203-3fb7-8096-20038d236704</t>
  </si>
  <si>
    <t>20-05-2025</t>
  </si>
  <si>
    <t>GJ2501006762</t>
  </si>
  <si>
    <t>6000002373</t>
  </si>
  <si>
    <t>-15708</t>
  </si>
  <si>
    <t>-13311.8</t>
  </si>
  <si>
    <t>722c0db9-ecda-4706-90de-0441812e6b06</t>
  </si>
  <si>
    <t>a420e13e-078c-4206-bd82-2bda6cc2734f</t>
  </si>
  <si>
    <t>2ec57796-dc03-444c-a85b-b1fb803d2b69</t>
  </si>
  <si>
    <t>7053042965</t>
  </si>
  <si>
    <t>20251127-SUM01</t>
  </si>
  <si>
    <t>17802.84</t>
  </si>
  <si>
    <t>15087.16</t>
  </si>
  <si>
    <t>86e87b94-b975-40a2-9d54-dd106f2fe5b2</t>
  </si>
  <si>
    <t>add63111-5ede-43b7-9659-af9ce20fc7a7</t>
  </si>
  <si>
    <t>2f718e6b-0f70-30c0-a673-404842d3c309</t>
  </si>
  <si>
    <t>28-06-2025</t>
  </si>
  <si>
    <t>GJ2501012386</t>
  </si>
  <si>
    <t>7053016715</t>
  </si>
  <si>
    <t>6000004568</t>
  </si>
  <si>
    <t>02-07-2025</t>
  </si>
  <si>
    <t>-15708.4</t>
  </si>
  <si>
    <t>-13312.2</t>
  </si>
  <si>
    <t>4874821a-8b6f-4048-bd07-738bb8486432</t>
  </si>
  <si>
    <t>8ac8f77e-3b4d-4238-9fa3-540b0d0726de</t>
  </si>
  <si>
    <t>3033653d-2911-4521-a24c-412461f7be28</t>
  </si>
  <si>
    <t>7053009064</t>
  </si>
  <si>
    <t>20250526-SUM01</t>
  </si>
  <si>
    <t>77074.94</t>
  </si>
  <si>
    <t>65317.599999999999</t>
  </si>
  <si>
    <t>5128b1e3-821f-40b5-8a6b-0ebf8fd4a83e</t>
  </si>
  <si>
    <t>d2958990-d0ac-4257-ab84-d028361b59e4</t>
  </si>
  <si>
    <t>3086b972-83b0-3dc8-88f3-dad7b281723a</t>
  </si>
  <si>
    <t>16-04-2025</t>
  </si>
  <si>
    <t>GJ2501002744</t>
  </si>
  <si>
    <t>6000001206</t>
  </si>
  <si>
    <t>02-05-2025</t>
  </si>
  <si>
    <t>18-04-2025</t>
  </si>
  <si>
    <t>979829ce-e635-47ba-ae76-0cbef67b5b22</t>
  </si>
  <si>
    <t>224035a9-72ee-46aa-a52e-3bd1c704baab</t>
  </si>
  <si>
    <t>31aedadb-a547-3763-8812-c616b17cb02b</t>
  </si>
  <si>
    <t>Amount Matched - Recommended</t>
  </si>
  <si>
    <t>7053012268</t>
  </si>
  <si>
    <t>SEC-PAY1.1-company</t>
  </si>
  <si>
    <t>20250612-SUM04</t>
  </si>
  <si>
    <t>17383.97</t>
  </si>
  <si>
    <t>14732.17</t>
  </si>
  <si>
    <t>f7f78907-992c-4b39-ae2a-12b541739ab6</t>
  </si>
  <si>
    <t>c4be4ff9-a80c-46b7-bd05-27ea7aaa83b4</t>
  </si>
  <si>
    <t>331dfe8f-9e42-3482-aef4-0743fe086906</t>
  </si>
  <si>
    <t>01-10-2025</t>
  </si>
  <si>
    <t>GJ2501026264</t>
  </si>
  <si>
    <t>7053035181</t>
  </si>
  <si>
    <t>6000009991</t>
  </si>
  <si>
    <t>2025/07</t>
  </si>
  <si>
    <t>09-10-2025</t>
  </si>
  <si>
    <t>-15498</t>
  </si>
  <si>
    <t>-13133.76</t>
  </si>
  <si>
    <t>726e3e48-7e4a-49ba-b30b-40c1f586d9b5</t>
  </si>
  <si>
    <t>00568bd6-dc1e-4c1b-b3af-d340c62e09d7</t>
  </si>
  <si>
    <t>338d9c62-09dc-3c11-a8d5-39599d1733b2</t>
  </si>
  <si>
    <t>GJ2501039628</t>
  </si>
  <si>
    <t>7053053526</t>
  </si>
  <si>
    <t>6000014931</t>
  </si>
  <si>
    <t>05-01-2026</t>
  </si>
  <si>
    <t>e2e78c86-5769-489a-95b6-7a69b37ccbb3</t>
  </si>
  <si>
    <t>ed5f093d-b0b9-4f43-8d87-76bb5137cd8e</t>
  </si>
  <si>
    <t>33c678a2-3ff4-34d2-84a9-6a46355e55ef</t>
  </si>
  <si>
    <t>GJ2501025447</t>
  </si>
  <si>
    <t>25-09-2025</t>
  </si>
  <si>
    <t>6000009605</t>
  </si>
  <si>
    <t>27-09-2025</t>
  </si>
  <si>
    <t>-16755.62</t>
  </si>
  <si>
    <t>-14199.68</t>
  </si>
  <si>
    <t>5b750413-990c-4a2f-9f00-8d7f87e8b46f</t>
  </si>
  <si>
    <t>e6db5089-f0a8-43d7-965e-c5dacecd225b</t>
  </si>
  <si>
    <t>34c3a83c-d3f5-3784-8d65-c351d2fed8e3</t>
  </si>
  <si>
    <t>21-06-2025</t>
  </si>
  <si>
    <t>GJ2501011374</t>
  </si>
  <si>
    <t>7053015732</t>
  </si>
  <si>
    <t>6000003818</t>
  </si>
  <si>
    <t>23-06-2025</t>
  </si>
  <si>
    <t>-18012.13</t>
  </si>
  <si>
    <t>-15264.49</t>
  </si>
  <si>
    <t>aa5044c3-72d9-49f0-8250-cd3a143b1358</t>
  </si>
  <si>
    <t>667e6cec-f0c6-4b8b-a573-7b26452bfcb2</t>
  </si>
  <si>
    <t>367b342f-0dad-3717-991f-4d5a8dfcdffb</t>
  </si>
  <si>
    <t>7053000733</t>
  </si>
  <si>
    <t>20250407-SUM02</t>
  </si>
  <si>
    <t>14661</t>
  </si>
  <si>
    <t>12424.56</t>
  </si>
  <si>
    <t>17abf5e4-adc0-42da-a569-1e1a92b93363</t>
  </si>
  <si>
    <t>7f6c43cc-cd75-4b99-899e-c5e68e28a3e5</t>
  </si>
  <si>
    <t>369de95c-8bbf-3da8-acd6-9f0ebfd17645</t>
  </si>
  <si>
    <t>09-06-2025</t>
  </si>
  <si>
    <t>GJ2501009544</t>
  </si>
  <si>
    <t>7053013917</t>
  </si>
  <si>
    <t>6000003313</t>
  </si>
  <si>
    <t>-18640.62</t>
  </si>
  <si>
    <t>-15797.14</t>
  </si>
  <si>
    <t>b012a4f4-d99a-4567-adbb-fe23a26b24e2</t>
  </si>
  <si>
    <t>248218c7-0cd1-4ae3-8033-2ffc1c97d3c0</t>
  </si>
  <si>
    <t>37501d95-96eb-33fc-b7bc-dd6012e96168</t>
  </si>
  <si>
    <t>7053055132</t>
  </si>
  <si>
    <t>20260128-SUM01</t>
  </si>
  <si>
    <t>68858.83</t>
  </si>
  <si>
    <t>58473.55</t>
  </si>
  <si>
    <t>7179af8c-785d-4080-be91-b93e167103c2</t>
  </si>
  <si>
    <t>7f039d79-63ad-4c68-be29-ea12fea2eeb7</t>
  </si>
  <si>
    <t>3865b9a0-1cd4-32fc-bc81-f094f4d81ef0</t>
  </si>
  <si>
    <t>08-12-2025</t>
  </si>
  <si>
    <t>20251208-SUM01</t>
  </si>
  <si>
    <t>31416.799999999999</t>
  </si>
  <si>
    <t>26624.400000000001</t>
  </si>
  <si>
    <t>6d46c81e-6183-4171-ae61-0895e15cdd5d</t>
  </si>
  <si>
    <t>a52564ee-a236-4ebe-88a0-a27bbdd29e22</t>
  </si>
  <si>
    <t>39089514-9c00-33a3-8e18-3e3ebcb562f8</t>
  </si>
  <si>
    <t>11-12-2025</t>
  </si>
  <si>
    <t>GJ2501036517</t>
  </si>
  <si>
    <t>12-12-2025</t>
  </si>
  <si>
    <t>6000013553</t>
  </si>
  <si>
    <t>e91e08fa-2ccd-42e4-8b68-0c929dce7afd</t>
  </si>
  <si>
    <t>4a95c6e1-8a5f-49b3-8486-af53832836a6</t>
  </si>
  <si>
    <t>3ac8c05a-f1ef-3723-a1d5-52b6ea984359</t>
  </si>
  <si>
    <t>GJ2501014856</t>
  </si>
  <si>
    <t>15-07-2025</t>
  </si>
  <si>
    <t>7053021010</t>
  </si>
  <si>
    <t>6000005403</t>
  </si>
  <si>
    <t>-13613.94</t>
  </si>
  <si>
    <t>-11537.24</t>
  </si>
  <si>
    <t>d2efe3f8-aad6-4f6d-8465-4064cfb11fed</t>
  </si>
  <si>
    <t>2c81b926-785d-491f-8edf-fafd643ad1b9</t>
  </si>
  <si>
    <t>3bebb504-b542-3e83-8a56-2da499f958e8</t>
  </si>
  <si>
    <t>07-08-2025</t>
  </si>
  <si>
    <t>20250807-SUM10</t>
  </si>
  <si>
    <t>30788.45</t>
  </si>
  <si>
    <t>26091.91</t>
  </si>
  <si>
    <t>a5f6e2bf-26c8-4d30-b8ab-0b3e63f4c759</t>
  </si>
  <si>
    <t>fe6fa99b-e253-43c2-8022-049bcf722a74</t>
  </si>
  <si>
    <t>3cbbde46-8a5d-3472-aa39-d43d5f4a07cc</t>
  </si>
  <si>
    <t>GJ2501015206</t>
  </si>
  <si>
    <t>17-07-2025</t>
  </si>
  <si>
    <t>6000005673</t>
  </si>
  <si>
    <t>21-07-2025</t>
  </si>
  <si>
    <t>18-07-2025</t>
  </si>
  <si>
    <t>445b7f67-d19f-457d-803d-fb18f6d91269</t>
  </si>
  <si>
    <t>d5559696-2893-481b-8e2f-b20577a41836</t>
  </si>
  <si>
    <t>3e337e96-bec6-340d-8686-e14f0ed2aac2</t>
  </si>
  <si>
    <t>GJ2501012966</t>
  </si>
  <si>
    <t>7053018641</t>
  </si>
  <si>
    <t>6000004871</t>
  </si>
  <si>
    <t>EP04</t>
  </si>
  <si>
    <t>08-07-2025</t>
  </si>
  <si>
    <t>-9843.93</t>
  </si>
  <si>
    <t>-8342.31</t>
  </si>
  <si>
    <t>51c4d377-b950-44ce-85ed-e8bd8913041f</t>
  </si>
  <si>
    <t>480cd4a5-aee7-40a5-a1fa-cd4b2f5dc226</t>
  </si>
  <si>
    <t>3e39b585-06d1-3a01-9512-a8d8aa0f50cd</t>
  </si>
  <si>
    <t>20250623-SUM04</t>
  </si>
  <si>
    <t>18640.62</t>
  </si>
  <si>
    <t>15797.14</t>
  </si>
  <si>
    <t>299df891-5c36-44e0-8268-8a155c0997fe</t>
  </si>
  <si>
    <t>be633a3d-e661-4e3b-bbf1-a84477f386ec</t>
  </si>
  <si>
    <t>3ee29f42-8022-393e-9ab6-62cc6373aba9</t>
  </si>
  <si>
    <t>29-04-2025</t>
  </si>
  <si>
    <t>GJ2501003850</t>
  </si>
  <si>
    <t>7053006160</t>
  </si>
  <si>
    <t>6000001516</t>
  </si>
  <si>
    <t>08-05-2025</t>
  </si>
  <si>
    <t>-20106</t>
  </si>
  <si>
    <t>-17038.86</t>
  </si>
  <si>
    <t>12017f7d-e0a2-4816-ae07-cc6dbcc9393f</t>
  </si>
  <si>
    <t>13856ba4-3a38-42b6-aa0c-280ba8ba07b8</t>
  </si>
  <si>
    <t>4028399e-6228-37fb-9053-64cb78f74f5b</t>
  </si>
  <si>
    <t>17-05-2025</t>
  </si>
  <si>
    <t>GJ2501006317</t>
  </si>
  <si>
    <t>7053010446</t>
  </si>
  <si>
    <t>6000002371</t>
  </si>
  <si>
    <t>16-05-2025</t>
  </si>
  <si>
    <t>92e05181-f539-4134-8067-88279d4f80f1</t>
  </si>
  <si>
    <t>e1289306-5bfe-4a3e-af69-7dc1573dde69</t>
  </si>
  <si>
    <t>405e905c-7830-3854-a757-ce2e16e96475</t>
  </si>
  <si>
    <t>08-02-2026</t>
  </si>
  <si>
    <t>GJ2501045608</t>
  </si>
  <si>
    <t>6000016816</t>
  </si>
  <si>
    <t>-34947.99</t>
  </si>
  <si>
    <t>-29616.95</t>
  </si>
  <si>
    <t>429824a6-3bee-472e-8e83-7b61527ed135</t>
  </si>
  <si>
    <t>03d61b08-0128-41ee-b955-5c4ff5560faa</t>
  </si>
  <si>
    <t>40b161a7-aa6d-3a52-baad-50d925135767</t>
  </si>
  <si>
    <t>09-05-2025</t>
  </si>
  <si>
    <t>20250509-SUM01</t>
  </si>
  <si>
    <t>40841</t>
  </si>
  <si>
    <t>34610.879999999997</t>
  </si>
  <si>
    <t>7227bd2e-5d20-4045-ac53-03f4311411da</t>
  </si>
  <si>
    <t>011cc82e-ce12-4f07-9b59-8cb23954081c</t>
  </si>
  <si>
    <t>411bb97f-154a-3e93-838a-aaf7cfc38ffc</t>
  </si>
  <si>
    <t>29-08-2025</t>
  </si>
  <si>
    <t>20250829-SUM11</t>
  </si>
  <si>
    <t>56131.33</t>
  </si>
  <si>
    <t>47568.93</t>
  </si>
  <si>
    <t>f02a8155-c2c9-419b-8a84-90824a3161b1</t>
  </si>
  <si>
    <t>30061288-e954-489e-a6dd-8a6fee6238bb</t>
  </si>
  <si>
    <t>41468cf6-499f-360d-a95c-d3e680c3880e</t>
  </si>
  <si>
    <t>24-07-2025</t>
  </si>
  <si>
    <t>GJ2501016291</t>
  </si>
  <si>
    <t>7053021635</t>
  </si>
  <si>
    <t>6000006307</t>
  </si>
  <si>
    <t>29-07-2025</t>
  </si>
  <si>
    <t>6cfc14f2-d8b2-458f-84a8-13a664a40bf9</t>
  </si>
  <si>
    <t>36383fda-2536-486d-8a06-4c54ac6b2d9f</t>
  </si>
  <si>
    <t>422c201a-3f2b-459b-b0bf-c9fad3749a98</t>
  </si>
  <si>
    <t>19-12-2025</t>
  </si>
  <si>
    <t>20-12-2025</t>
  </si>
  <si>
    <t>20251219-SUM03</t>
  </si>
  <si>
    <t>55712.45</t>
  </si>
  <si>
    <t>47213.93</t>
  </si>
  <si>
    <t>caaac7bb-3d7b-426a-bd47-f7ca2b2ca12e</t>
  </si>
  <si>
    <t>f4887775-c01f-434a-b7ab-bbaff4b2af8d</t>
  </si>
  <si>
    <t>4258a712-3364-3661-a4eb-efd25500f7f1</t>
  </si>
  <si>
    <t>24-06-2025</t>
  </si>
  <si>
    <t>7053014041</t>
  </si>
  <si>
    <t>20250624-SUM05</t>
  </si>
  <si>
    <t>16336.73</t>
  </si>
  <si>
    <t>13844.69</t>
  </si>
  <si>
    <t>65aa8dff-1376-4869-af0c-382cf1e6e5c6</t>
  </si>
  <si>
    <t>e62e73b4-31f6-4fa3-86af-0b2d4172bd26</t>
  </si>
  <si>
    <t>430c2daa-96dc-47be-99ab-87604ffb30fc</t>
  </si>
  <si>
    <t>20251212-SUM10</t>
  </si>
  <si>
    <t>f417295e-a26e-4b0b-8536-d088044f9206</t>
  </si>
  <si>
    <t>90decac3-c007-463c-b2e3-0d4d1c8ef9f5</t>
  </si>
  <si>
    <t>43fca39c-9fdf-311e-8790-32782d803e11</t>
  </si>
  <si>
    <t>GJ2501008861</t>
  </si>
  <si>
    <t>7053013154</t>
  </si>
  <si>
    <t>6000003291</t>
  </si>
  <si>
    <t>8b502d15-5682-4eb9-a85a-932ea778ecbb</t>
  </si>
  <si>
    <t>d7114fcf-c942-4062-861b-43079d764eb6</t>
  </si>
  <si>
    <t>4810ed6e-2ccb-30dc-b33a-dbff414ba958</t>
  </si>
  <si>
    <t>GJ2501032001</t>
  </si>
  <si>
    <t>6000012153</t>
  </si>
  <si>
    <t>26-11-2025</t>
  </si>
  <si>
    <t>13-11-2025</t>
  </si>
  <si>
    <t>8892d256-1a53-4ce1-9e10-7f2afbb1e474</t>
  </si>
  <si>
    <t>c31480e2-c11d-45fd-b3f1-873b1bfefbb5</t>
  </si>
  <si>
    <t>485d353d-a753-3678-9ddf-ae5b03db9240</t>
  </si>
  <si>
    <t>7053011477</t>
  </si>
  <si>
    <t>20250609-SUM01</t>
  </si>
  <si>
    <t>25761.759999999998</t>
  </si>
  <si>
    <t>21832</t>
  </si>
  <si>
    <t>75ad78e0-6116-4edf-8d19-b1b338f57b24</t>
  </si>
  <si>
    <t>6d2ed575-497a-4725-bf82-47e43c8f4bb5</t>
  </si>
  <si>
    <t>49ce9eaa-ec64-3130-b1ff-226ce827ee33</t>
  </si>
  <si>
    <t>19-03-2026</t>
  </si>
  <si>
    <t>GJ2501051758</t>
  </si>
  <si>
    <t>7053000264</t>
  </si>
  <si>
    <t>6000018931</t>
  </si>
  <si>
    <t>-34190.879999999997</t>
  </si>
  <si>
    <t>-28975.32</t>
  </si>
  <si>
    <t>18-03-2026</t>
  </si>
  <si>
    <t>4b75f1d2-1b83-4949-9a4c-2ede2ebf6d9e</t>
  </si>
  <si>
    <t>a9f0b56a-be17-4d38-be18-149aa2b56ccd</t>
  </si>
  <si>
    <t>4a0f260d-818c-37a2-bef5-2510e4e19c5f</t>
  </si>
  <si>
    <t>22-07-2025</t>
  </si>
  <si>
    <t>GJ2501015920</t>
  </si>
  <si>
    <t>7053034319</t>
  </si>
  <si>
    <t>6000010085</t>
  </si>
  <si>
    <t>10-10-2025</t>
  </si>
  <si>
    <t>6ea56934-df6b-4ef3-90ed-c38c4e2159ce</t>
  </si>
  <si>
    <t>8027dd2c-82e7-43d1-af70-cddd096b8630</t>
  </si>
  <si>
    <t>4bc190f6-0c58-323e-92d2-36430358a428</t>
  </si>
  <si>
    <t>GJ2501033609</t>
  </si>
  <si>
    <t>23-11-2025</t>
  </si>
  <si>
    <t>6000012410</t>
  </si>
  <si>
    <t>-17383.97</t>
  </si>
  <si>
    <t>-14732.17</t>
  </si>
  <si>
    <t>ff2ea373-c7eb-4d75-b2b9-2636cbaba25a</t>
  </si>
  <si>
    <t>47465044-f66b-416a-af90-c50c7495fcef</t>
  </si>
  <si>
    <t>4bcd0202-cfaa-3876-999a-5fb59de0b86f</t>
  </si>
  <si>
    <t>16-06-2025</t>
  </si>
  <si>
    <t>GJ2501010575</t>
  </si>
  <si>
    <t>6000003814</t>
  </si>
  <si>
    <t>-16965.080000000002</t>
  </si>
  <si>
    <t>-14377.18</t>
  </si>
  <si>
    <t>d2b9f58f-4e10-43bd-88ac-6b99c414bcd6</t>
  </si>
  <si>
    <t>3abcc4d8-81d5-475b-8379-fa306f782b5f</t>
  </si>
  <si>
    <t>4cdd0cf2-d4f6-3934-b0e7-47827cb77005</t>
  </si>
  <si>
    <t>13-06-2025</t>
  </si>
  <si>
    <t>GJ2501010178</t>
  </si>
  <si>
    <t>6000003813</t>
  </si>
  <si>
    <t>ea093ecd-a786-4e9b-bc6d-d4adbcc7c0fd</t>
  </si>
  <si>
    <t>8d571869-ddbd-4526-88db-3c4245e77eab</t>
  </si>
  <si>
    <t>4d9c6ad3-e24b-3101-b5c3-be7442892b67</t>
  </si>
  <si>
    <t>20-08-2025</t>
  </si>
  <si>
    <t>GJ2501019995</t>
  </si>
  <si>
    <t>7053026728</t>
  </si>
  <si>
    <t>6000007816</t>
  </si>
  <si>
    <t>-10891.16</t>
  </si>
  <si>
    <t>-9229.7999999999993</t>
  </si>
  <si>
    <t>5e144211-3f2c-47b6-9c13-76ad21cf3c11</t>
  </si>
  <si>
    <t>a93eed28-60cc-45c1-aec5-740e9643bd65</t>
  </si>
  <si>
    <t>4ea51e15-1d43-3d54-8288-29b36d8e3d8e</t>
  </si>
  <si>
    <t>7053017025</t>
  </si>
  <si>
    <t>20250709-SUM10</t>
  </si>
  <si>
    <t>3f15c596-134f-4699-afd1-c520336f96d6</t>
  </si>
  <si>
    <t>20ac92f2-ef5d-4f4e-bba2-e74002936ff4</t>
  </si>
  <si>
    <t>4ebbce22-4de8-3461-9656-ac7defeab5a9</t>
  </si>
  <si>
    <t>27-12-2025</t>
  </si>
  <si>
    <t>GJ2501038910</t>
  </si>
  <si>
    <t>6000014774</t>
  </si>
  <si>
    <t>25ab81c6-a66a-4291-b910-48cbe6b98ae3</t>
  </si>
  <si>
    <t>5c43c47f-6c64-4d85-87e6-a7d6db7da375</t>
  </si>
  <si>
    <t>4fecec16-cb39-3e68-b109-571de5470de4</t>
  </si>
  <si>
    <t>30-06-2025</t>
  </si>
  <si>
    <t>GJ2501012588</t>
  </si>
  <si>
    <t>6000004569</t>
  </si>
  <si>
    <t>151beaf5-5e94-4e89-88cc-24a12fd79cc5</t>
  </si>
  <si>
    <t>70e9cc67-a2eb-4368-8fe7-8454c37604ca</t>
  </si>
  <si>
    <t>50da7622-7f5c-3b86-b10f-11c9f1268102</t>
  </si>
  <si>
    <t>25-10-2025</t>
  </si>
  <si>
    <t>GJ2501029378</t>
  </si>
  <si>
    <t>6000010613</t>
  </si>
  <si>
    <t>29-10-2025</t>
  </si>
  <si>
    <t>27-10-2025</t>
  </si>
  <si>
    <t>97d7dce8-e18c-4c34-bd17-854ad9ddead7</t>
  </si>
  <si>
    <t>3bfecd43-169d-4a36-9e1c-cab059762874</t>
  </si>
  <si>
    <t>50f741c1-50cc-4c12-aa0b-7388dea352d7</t>
  </si>
  <si>
    <t>7053000409</t>
  </si>
  <si>
    <t>20250403-SUM01</t>
  </si>
  <si>
    <t>61574</t>
  </si>
  <si>
    <t>52180.92</t>
  </si>
  <si>
    <t>e4e6b4c6-6052-4ac6-beae-f8ba530faff7</t>
  </si>
  <si>
    <t>224c2a2e-04eb-4ed9-b847-f9a4b8d8409b</t>
  </si>
  <si>
    <t>51b2c694-af40-3302-ae82-b33980e1516a</t>
  </si>
  <si>
    <t>18-05-2025</t>
  </si>
  <si>
    <t>GJ2501006463</t>
  </si>
  <si>
    <t>6000002372</t>
  </si>
  <si>
    <t>19-05-2025</t>
  </si>
  <si>
    <t>0a66e518-afcf-4e5a-9650-d0b1f7be9023</t>
  </si>
  <si>
    <t>d594f305-1fb6-4982-8015-872ddbf5e51f</t>
  </si>
  <si>
    <t>5213c262-06cc-3407-a973-9bb40ac9b54d</t>
  </si>
  <si>
    <t>GJ2501038397</t>
  </si>
  <si>
    <t>6000014927</t>
  </si>
  <si>
    <t>-18012.3</t>
  </si>
  <si>
    <t>-15264.66</t>
  </si>
  <si>
    <t>1b3af696-1847-401b-a663-cc5ac5674b24</t>
  </si>
  <si>
    <t>a312a41e-74ed-4e5b-9912-6cc27a05ffc7</t>
  </si>
  <si>
    <t>53cd940b-d762-3e54-a580-d2351cd2c5b5</t>
  </si>
  <si>
    <t>15-01-2026</t>
  </si>
  <si>
    <t>GJ2501042108</t>
  </si>
  <si>
    <t>17-01-2026</t>
  </si>
  <si>
    <t>7053055913</t>
  </si>
  <si>
    <t>6000015702</t>
  </si>
  <si>
    <t>5326f382-617e-4b2e-b17d-2b08d84faae8</t>
  </si>
  <si>
    <t>46031c42-ad91-4cf1-b448-196c063344f4</t>
  </si>
  <si>
    <t>5430e656-f593-39be-b8ea-f2c01b181c33</t>
  </si>
  <si>
    <t>03-02-2026</t>
  </si>
  <si>
    <t>7053056383</t>
  </si>
  <si>
    <t>20260203-SUM01</t>
  </si>
  <si>
    <t>15289.51</t>
  </si>
  <si>
    <t>12957.21</t>
  </si>
  <si>
    <t>f57eb448-1b00-4deb-a13c-b46f43052bbd</t>
  </si>
  <si>
    <t>0ee61f50-9915-4777-8be1-68d049432ac5</t>
  </si>
  <si>
    <t>54b6e825-2743-336b-a39a-1a0790198b19</t>
  </si>
  <si>
    <t>7053042291</t>
  </si>
  <si>
    <t>20251124-SUM10</t>
  </si>
  <si>
    <t>24247.29</t>
  </si>
  <si>
    <t>20667.189999999999</t>
  </si>
  <si>
    <t>b696f710-f7ff-44fb-bfe4-dba908df7bb5</t>
  </si>
  <si>
    <t>9e78c4ea-b317-433f-a01d-4b8c617ad3dd</t>
  </si>
  <si>
    <t>54f3e95b-bdbf-36ae-9cfe-1de7ba28c5a5</t>
  </si>
  <si>
    <t>GJ2501033293</t>
  </si>
  <si>
    <t>7053044484</t>
  </si>
  <si>
    <t>6000012393</t>
  </si>
  <si>
    <t>2e061e97-ec2b-4f51-b4fb-dc8bd322ab3c</t>
  </si>
  <si>
    <t>aab6ee68-6ed9-4fe1-9e99-bf7e2f74eea6</t>
  </si>
  <si>
    <t>556265ab-cb55-35fb-bbf4-09d88035db38</t>
  </si>
  <si>
    <t>7053047516</t>
  </si>
  <si>
    <t>20251223-SUM10</t>
  </si>
  <si>
    <t>8120</t>
  </si>
  <si>
    <t>7000</t>
  </si>
  <si>
    <t>3db35573-d0ec-4e1d-a762-e872415f9eb2</t>
  </si>
  <si>
    <t>08c9ed73-272a-49ec-9eb4-14d127952f20</t>
  </si>
  <si>
    <t>563737e2-2fb6-3c3d-a9de-2c77a62ceafd</t>
  </si>
  <si>
    <t>20250702-SUM11</t>
  </si>
  <si>
    <t>46496.71</t>
  </si>
  <si>
    <t>39403.949999999997</t>
  </si>
  <si>
    <t>c76f888d-e8be-43a5-b1d2-0a5dba7a376a</t>
  </si>
  <si>
    <t>7f13dacd-562d-4e3c-800b-b4b8cab6b078</t>
  </si>
  <si>
    <t>56c11040-2e48-3481-9161-5a910fe7b68e</t>
  </si>
  <si>
    <t>GJ2501013771</t>
  </si>
  <si>
    <t>6000005396</t>
  </si>
  <si>
    <t>f7db3cb8-dc56-4373-8d27-3a5f0f7e4b6d</t>
  </si>
  <si>
    <t>eaf6f525-8677-41d1-8483-2b2e103a66ef</t>
  </si>
  <si>
    <t>5702d760-25ea-31e4-89a6-1afcfd9fc3f9</t>
  </si>
  <si>
    <t>23-01-2026</t>
  </si>
  <si>
    <t>7053054485</t>
  </si>
  <si>
    <t>20260123-SUM01</t>
  </si>
  <si>
    <t>15080</t>
  </si>
  <si>
    <t>12779.66</t>
  </si>
  <si>
    <t>cbc91419-82db-45b7-87b1-218e93034ae5</t>
  </si>
  <si>
    <t>b5611cae-2a19-4691-80df-fb0eec40ac8d</t>
  </si>
  <si>
    <t>578b0307-b838-3e4f-b167-5694b80f37c9</t>
  </si>
  <si>
    <t>26-06-2025</t>
  </si>
  <si>
    <t>GJ2501012055</t>
  </si>
  <si>
    <t>6000010084</t>
  </si>
  <si>
    <t>683808bf-9abd-4c88-bbbc-d893542ac524</t>
  </si>
  <si>
    <t>c72081cd-5a4a-4ce8-b3a9-0ad47c0732da</t>
  </si>
  <si>
    <t>5791076a-a982-3a14-a85b-8c0809c9ba0d</t>
  </si>
  <si>
    <t>7053033397</t>
  </si>
  <si>
    <t>20251009-SUM11</t>
  </si>
  <si>
    <t>52151.86</t>
  </si>
  <si>
    <t>44196.5</t>
  </si>
  <si>
    <t>2967a1fd-035c-4b49-8897-df1a4fef9b7d</t>
  </si>
  <si>
    <t>ff793414-4674-4195-a4cb-9916d8b4cffe</t>
  </si>
  <si>
    <t>57b97990-b95b-3a06-9f29-8949bcacc33d</t>
  </si>
  <si>
    <t>GJ2502003591</t>
  </si>
  <si>
    <t>Nitrogen tank 6kl Rent Charge (Inox) Month  Jan 26</t>
  </si>
  <si>
    <t>6008036614</t>
  </si>
  <si>
    <t>bcd7b2b5-22b1-4826-8b34-ce4ba24e1d1a</t>
  </si>
  <si>
    <t>56fb74e4-f810-42dd-888a-8a0986ee826d</t>
  </si>
  <si>
    <t>59a1d4a5-6935-37ef-8c91-d482d423b963</t>
  </si>
  <si>
    <t>GJ2501011593</t>
  </si>
  <si>
    <t>6000003989</t>
  </si>
  <si>
    <t>GJ20252010P715</t>
  </si>
  <si>
    <t>-11519.5</t>
  </si>
  <si>
    <t>-9762.2800000000007</t>
  </si>
  <si>
    <t>8fb387c9-f6e2-4f84-a623-93c58e743305</t>
  </si>
  <si>
    <t>21e3d399-b32e-4215-99c2-eeef0cb437cc</t>
  </si>
  <si>
    <t>5b84e596-750b-30a9-bf9e-0990e2deb453</t>
  </si>
  <si>
    <t>07-01-2026</t>
  </si>
  <si>
    <t>GJ2501040801</t>
  </si>
  <si>
    <t>6000015366</t>
  </si>
  <si>
    <t>-16127</t>
  </si>
  <si>
    <t>-13666.9</t>
  </si>
  <si>
    <t>9daf0caa-ad3e-4a4e-b00d-49574b398160</t>
  </si>
  <si>
    <t>8667850a-a7e4-453c-9202-814ba20badce</t>
  </si>
  <si>
    <t>5c60ac2c-62c5-40e9-aeec-a4105f3681d0</t>
  </si>
  <si>
    <t>20260120-SUM10</t>
  </si>
  <si>
    <t>65556.37</t>
  </si>
  <si>
    <t>55556.25</t>
  </si>
  <si>
    <t>09958a18-dece-4975-9ecc-305438c4f725</t>
  </si>
  <si>
    <t>72e37b8c-27ab-4a22-99da-377490d0b3a6</t>
  </si>
  <si>
    <t>5c623cd4-9ac6-3084-a0c5-16a07fe3dda0</t>
  </si>
  <si>
    <t>30-07-2025</t>
  </si>
  <si>
    <t>GJ2501017157</t>
  </si>
  <si>
    <t>6000006500</t>
  </si>
  <si>
    <t>-18850.080000000002</t>
  </si>
  <si>
    <t>-15974.64</t>
  </si>
  <si>
    <t>ea1399a2-dc18-47a8-b625-0bb03f05d786</t>
  </si>
  <si>
    <t>761c9f51-1757-40fd-b7e3-47c06570dacd</t>
  </si>
  <si>
    <t>5caef3b3-b914-3021-90e1-26351ad34e28</t>
  </si>
  <si>
    <t>7053010947</t>
  </si>
  <si>
    <t>20250605-SUM02</t>
  </si>
  <si>
    <t>23666.83</t>
  </si>
  <si>
    <t>20056.55</t>
  </si>
  <si>
    <t>403538f4-e638-4059-b715-346bc44766df</t>
  </si>
  <si>
    <t>ab1cb182-2012-4bfc-9c4c-6a478cf177fa</t>
  </si>
  <si>
    <t>5de0598d-fb5d-385d-83f5-f116f824a05e</t>
  </si>
  <si>
    <t>Date and Amount Matched - Recommended</t>
  </si>
  <si>
    <t>02-03-2026</t>
  </si>
  <si>
    <t>SEC-PAY3.1-company</t>
  </si>
  <si>
    <t>20260302-SUM01</t>
  </si>
  <si>
    <t>187950.57</t>
  </si>
  <si>
    <t>160127.59</t>
  </si>
  <si>
    <t>3eb66656-13a9-4729-93f6-3c94153fd53d</t>
  </si>
  <si>
    <t>3573b5ea-95aa-4794-b228-732dac45a7cc</t>
  </si>
  <si>
    <t>5ec46467-73b6-317c-baef-1e61f40336f2</t>
  </si>
  <si>
    <t>GJ2501015742</t>
  </si>
  <si>
    <t>6000005811</t>
  </si>
  <si>
    <t>23-07-2025</t>
  </si>
  <si>
    <t>19-07-2025</t>
  </si>
  <si>
    <t>3196e3f2-1b6b-453a-9d92-f4417cf3e36e</t>
  </si>
  <si>
    <t>89a23abe-3120-4fac-88eb-3f83f5c3e21d</t>
  </si>
  <si>
    <t>5ee7fa58-9655-3503-b498-2822399d48e8</t>
  </si>
  <si>
    <t>7053024834</t>
  </si>
  <si>
    <t>20250820-SUM10</t>
  </si>
  <si>
    <t>f26b855f-6582-489a-91e1-9347de5a9791</t>
  </si>
  <si>
    <t>fe66594d-0b45-4c4a-b9b1-0dca34b3d4e0</t>
  </si>
  <si>
    <t>5f118099-d831-3b3b-8de8-eb5c8054172c</t>
  </si>
  <si>
    <t>16-12-2025</t>
  </si>
  <si>
    <t>GJ2501037106</t>
  </si>
  <si>
    <t>7053050390</t>
  </si>
  <si>
    <t>6000013935</t>
  </si>
  <si>
    <t>-15917</t>
  </si>
  <si>
    <t>-13488.86</t>
  </si>
  <si>
    <t>17-12-2025</t>
  </si>
  <si>
    <t>0b8cf601-6dba-4b27-9cd1-fc8ac6d676b6</t>
  </si>
  <si>
    <t>65fa7e1b-17bf-491b-a6f2-cc523e75caf0</t>
  </si>
  <si>
    <t>5f1580d1-8082-3809-86c4-8c9d4a10067f</t>
  </si>
  <si>
    <t>GJ2501012704</t>
  </si>
  <si>
    <t>6000004875</t>
  </si>
  <si>
    <t>5100a608-ba3a-4b54-9876-1bcca72d56e0</t>
  </si>
  <si>
    <t>e350ec41-64a7-4ce8-9c9e-8e255b40e474</t>
  </si>
  <si>
    <t>5fd2a245-7b09-37f2-9b36-9ef1c089707a</t>
  </si>
  <si>
    <t>GJ2501007817</t>
  </si>
  <si>
    <t>7053011933</t>
  </si>
  <si>
    <t>6000002796</t>
  </si>
  <si>
    <t>29-05-2025</t>
  </si>
  <si>
    <t>59f84009-a455-402e-9767-b2177dcbfee5</t>
  </si>
  <si>
    <t>56803f2d-1233-45a3-84f8-636afde865b4</t>
  </si>
  <si>
    <t>604f1a08-9a8c-32d5-83e4-58a834c2d698</t>
  </si>
  <si>
    <t>03-06-2025</t>
  </si>
  <si>
    <t>GJ2501008680</t>
  </si>
  <si>
    <t>7053012852</t>
  </si>
  <si>
    <t>6000003117</t>
  </si>
  <si>
    <t>1b2eed0c-69d7-4086-b222-84c806a0bc2d</t>
  </si>
  <si>
    <t>52025ec7-6576-4532-96cb-3832f9894753</t>
  </si>
  <si>
    <t>60cba853-b0af-3a12-a105-b7ebec9ba82e</t>
  </si>
  <si>
    <t>05-04-2025</t>
  </si>
  <si>
    <t>GJ2502000084</t>
  </si>
  <si>
    <t>Fixed Facility charges  April-2025</t>
  </si>
  <si>
    <t>7053004497</t>
  </si>
  <si>
    <t>6008001662</t>
  </si>
  <si>
    <t>28-04-2025</t>
  </si>
  <si>
    <t>10-04-2025</t>
  </si>
  <si>
    <t>74dd8bed-fb92-4a2e-bcb3-c81a346cae72</t>
  </si>
  <si>
    <t>0f6f9d09-f804-4bf9-bd73-6e978ef3fae3</t>
  </si>
  <si>
    <t>60dc5e24-ab89-3678-9e1b-62a5da0812e0</t>
  </si>
  <si>
    <t>20260202-SUM01</t>
  </si>
  <si>
    <t>328908.40000000002</t>
  </si>
  <si>
    <t>283312.2</t>
  </si>
  <si>
    <t>1d667fb1-5561-4616-8d19-4b7e091a2391</t>
  </si>
  <si>
    <t>64dc27a2-7fa7-4d6d-a281-23a784eaf5c4</t>
  </si>
  <si>
    <t>61be2eff-c12d-3531-bf2e-9825c625fe69</t>
  </si>
  <si>
    <t>02-04-2025</t>
  </si>
  <si>
    <t>7053000334</t>
  </si>
  <si>
    <t>20250402-SUM02</t>
  </si>
  <si>
    <t>21572</t>
  </si>
  <si>
    <t>18281.22</t>
  </si>
  <si>
    <t>20f6a558-849c-40b5-a5ae-62f6193e1046</t>
  </si>
  <si>
    <t>c11159db-f1d3-4aad-bf9e-85fed93637e1</t>
  </si>
  <si>
    <t>62a9624f-c4af-3514-9927-557816f80a33</t>
  </si>
  <si>
    <t>GJ2501000373</t>
  </si>
  <si>
    <t>6000000637</t>
  </si>
  <si>
    <t>7891c6c1-af0e-401e-b0ff-21b5b524792d</t>
  </si>
  <si>
    <t>422bbaba-3835-481d-8653-798feea730a8</t>
  </si>
  <si>
    <t>62ef33cc-b222-3d0c-90eb-c969358af6a3</t>
  </si>
  <si>
    <t>13-02-2026</t>
  </si>
  <si>
    <t>20260213-SUM01</t>
  </si>
  <si>
    <t>45659.07</t>
  </si>
  <si>
    <t>38694.129999999997</t>
  </si>
  <si>
    <t>cfbf3820-f67c-492f-82d3-b6906e3c4281</t>
  </si>
  <si>
    <t>75978dcd-a988-41f6-8536-2a83085e2b00</t>
  </si>
  <si>
    <t>636f5daf-8c26-3479-be2f-bd003ccbabbf</t>
  </si>
  <si>
    <t>GJ2501035303</t>
  </si>
  <si>
    <t>04-12-2025</t>
  </si>
  <si>
    <t>6000013506</t>
  </si>
  <si>
    <t>8c9d37f5-504f-4c12-bdd3-eef00ab3d04e</t>
  </si>
  <si>
    <t>0d9f589f-e950-45e5-b567-4ad370ba9d5b</t>
  </si>
  <si>
    <t>64e94695-6d05-3c53-adbf-ddefe5825ad9</t>
  </si>
  <si>
    <t>08-08-2025</t>
  </si>
  <si>
    <t>GJ2501018486</t>
  </si>
  <si>
    <t>NITROGEN USP - NF / IH-Aug 2025</t>
  </si>
  <si>
    <t>7053023962</t>
  </si>
  <si>
    <t>6000007056</t>
  </si>
  <si>
    <t>-13823</t>
  </si>
  <si>
    <t>-11714.34</t>
  </si>
  <si>
    <t>67e84cab-ff43-42f7-8285-6c90876f42a5</t>
  </si>
  <si>
    <t>bfd2f84f-1926-4525-a010-8cea72bef5ed</t>
  </si>
  <si>
    <t>65de149f-5b36-3efd-a3fc-54c000c6d833</t>
  </si>
  <si>
    <t>7053012607</t>
  </si>
  <si>
    <t>20250613-SUM05</t>
  </si>
  <si>
    <t>14032</t>
  </si>
  <si>
    <t>11891.4</t>
  </si>
  <si>
    <t>23386c10-4faa-491f-b6a8-ed783603a362</t>
  </si>
  <si>
    <t>c3592824-044b-4c16-9f42-d086a0029956</t>
  </si>
  <si>
    <t>66f49494-5bf8-41ba-8be9-d2a69d4f5154</t>
  </si>
  <si>
    <t>7053037235</t>
  </si>
  <si>
    <t>30-10-2025</t>
  </si>
  <si>
    <t>20251029-SUM10</t>
  </si>
  <si>
    <t>12566.72</t>
  </si>
  <si>
    <t>10649.76</t>
  </si>
  <si>
    <t>053c5dfa-a10c-46d3-8d28-c86e20ddf230</t>
  </si>
  <si>
    <t>aabb849d-bef6-4a57-99b4-2fb2794affaa</t>
  </si>
  <si>
    <t>673caece-c0cb-3bae-bccc-d72410bc18d8</t>
  </si>
  <si>
    <t>GJ2501011957</t>
  </si>
  <si>
    <t>6000004471</t>
  </si>
  <si>
    <t>01-07-2025</t>
  </si>
  <si>
    <t>-15917.84</t>
  </si>
  <si>
    <t>-13489.7</t>
  </si>
  <si>
    <t>1607f5e7-f2cb-46e8-9530-182aaa2f05f6</t>
  </si>
  <si>
    <t>96100b0c-4643-4548-a79f-92c740a68399</t>
  </si>
  <si>
    <t>6a450679-7132-44e4-9e22-32d7eb3b86d1</t>
  </si>
  <si>
    <t>20250527-SUM04</t>
  </si>
  <si>
    <t>fa55a778-af2e-49cb-9e5c-0325e9fb24c1</t>
  </si>
  <si>
    <t>d92af3f3-4410-48f9-aacd-488d231befe2</t>
  </si>
  <si>
    <t>6c4c07cd-b4e5-3429-83e8-d39f84cedb81</t>
  </si>
  <si>
    <t>25-11-2025</t>
  </si>
  <si>
    <t>GJ2501034013</t>
  </si>
  <si>
    <t>6000012422</t>
  </si>
  <si>
    <t>ad42badf-c9ed-4c50-8f11-dce3ecc01c27</t>
  </si>
  <si>
    <t>c5e1ee06-f921-45a9-9b6c-281f98f861d7</t>
  </si>
  <si>
    <t>6c795f8a-95a8-35a4-931f-c5b987c5f19e</t>
  </si>
  <si>
    <t>GJ2501007519</t>
  </si>
  <si>
    <t>6000002548</t>
  </si>
  <si>
    <t>-13404.5</t>
  </si>
  <si>
    <t>-11359.74</t>
  </si>
  <si>
    <t>a1a31b89-235c-4260-b30d-bda557172854</t>
  </si>
  <si>
    <t>c38b96da-ec87-4445-85a0-019b750481b5</t>
  </si>
  <si>
    <t>6c9038fb-0aec-3826-b2fb-3cd12e806da1</t>
  </si>
  <si>
    <t>13-10-2025</t>
  </si>
  <si>
    <t>GJ2501027881</t>
  </si>
  <si>
    <t>7053036459</t>
  </si>
  <si>
    <t>6000010283</t>
  </si>
  <si>
    <t>16-10-2025</t>
  </si>
  <si>
    <t>6a6bc5ae-5656-4d0c-baed-8bd6ebd42737</t>
  </si>
  <si>
    <t>1740d2f7-3fab-472d-91a8-420f80387a17</t>
  </si>
  <si>
    <t>700a33ce-6808-3db0-9a5b-a182d02449c5</t>
  </si>
  <si>
    <t>GJ2501032227</t>
  </si>
  <si>
    <t>14-11-2025</t>
  </si>
  <si>
    <t>7053043396</t>
  </si>
  <si>
    <t>6000012154</t>
  </si>
  <si>
    <t>-11100.61</t>
  </si>
  <si>
    <t>-9407.2900000000009</t>
  </si>
  <si>
    <t>326e2ba4-75bc-48e2-b747-a7d50074a920</t>
  </si>
  <si>
    <t>760e5f73-db40-47f1-87c4-b7fed1ccb0d5</t>
  </si>
  <si>
    <t>71cacd37-576f-3c41-838d-27944dcde1e8</t>
  </si>
  <si>
    <t>20-02-2026</t>
  </si>
  <si>
    <t>GJ2501047670</t>
  </si>
  <si>
    <t>7053064737</t>
  </si>
  <si>
    <t>6000018560</t>
  </si>
  <si>
    <t>13-03-2026</t>
  </si>
  <si>
    <t>-36461.86</t>
  </si>
  <si>
    <t>-30899.88</t>
  </si>
  <si>
    <t>23-02-2026</t>
  </si>
  <si>
    <t>e902748e-f1a7-4ccd-bac4-5bdc23ba4927</t>
  </si>
  <si>
    <t>5223a413-080d-4b3c-aaa6-92e48eab1317</t>
  </si>
  <si>
    <t>737ed595-b114-3b6b-836a-18416de3644c</t>
  </si>
  <si>
    <t>06-11-2025</t>
  </si>
  <si>
    <t>GJ2501030970</t>
  </si>
  <si>
    <t>7053042245</t>
  </si>
  <si>
    <t>6000011318</t>
  </si>
  <si>
    <t>07-11-2025</t>
  </si>
  <si>
    <t>fd95c3e1-57ae-44ab-984b-79bf3b128a50</t>
  </si>
  <si>
    <t>568df35e-b7a4-497c-ac9d-48fac47a8664</t>
  </si>
  <si>
    <t>73d9d674-8b32-34aa-90a7-84ee5ad9e262</t>
  </si>
  <si>
    <t>GJ2501033093</t>
  </si>
  <si>
    <t>6000012392</t>
  </si>
  <si>
    <t>20b56307-4a5b-41d8-9b17-4aafbc54a138</t>
  </si>
  <si>
    <t>9b6ee821-91e7-47b9-b858-72aa3b68dc20</t>
  </si>
  <si>
    <t>74880f98-2f4e-476f-8485-a086aa6bff8a</t>
  </si>
  <si>
    <t>20260107-SUM10</t>
  </si>
  <si>
    <t>108280.51</t>
  </si>
  <si>
    <t>91762.75</t>
  </si>
  <si>
    <t>3619d32d-ae3f-4428-968f-490c648a5220</t>
  </si>
  <si>
    <t>e174ca49-24b1-475f-a840-a6f030947f28</t>
  </si>
  <si>
    <t>762106ac-6cbf-4bfa-8611-081b37428829</t>
  </si>
  <si>
    <t>14-10-2025</t>
  </si>
  <si>
    <t>20251013-SUM10</t>
  </si>
  <si>
    <t>63252.42</t>
  </si>
  <si>
    <t>53603.74</t>
  </si>
  <si>
    <t>1b51c4b4-1007-49a3-9081-9ce23f8bd369</t>
  </si>
  <si>
    <t>eb85f15a-6a77-4594-9241-be6a0d84c056</t>
  </si>
  <si>
    <t>7821759d-69db-387d-86ae-e4c4bd3749d1</t>
  </si>
  <si>
    <t>GJ2501040261</t>
  </si>
  <si>
    <t>7053053712</t>
  </si>
  <si>
    <t>6000014984</t>
  </si>
  <si>
    <t>06-01-2026</t>
  </si>
  <si>
    <t>e9892bc8-da67-457a-bd04-e81a90a59a3c</t>
  </si>
  <si>
    <t>672cd041-5f72-49b5-ba60-35c65ec5af9d</t>
  </si>
  <si>
    <t>788a4d17-dea5-36fb-9af0-7af3d2552e10</t>
  </si>
  <si>
    <t>GJ2501009016</t>
  </si>
  <si>
    <t>7053013466</t>
  </si>
  <si>
    <t>6000003294</t>
  </si>
  <si>
    <t>-15289</t>
  </si>
  <si>
    <t>-12956.7</t>
  </si>
  <si>
    <t>ca147589-de97-4e19-ae5c-46acfe00a002</t>
  </si>
  <si>
    <t>b452d87a-4228-497c-a57a-3fde2abbb7b1</t>
  </si>
  <si>
    <t>78979c34-eabd-3677-aabd-812bcc407260</t>
  </si>
  <si>
    <t>14-08-2025</t>
  </si>
  <si>
    <t>GJ2501019274</t>
  </si>
  <si>
    <t>6000007814</t>
  </si>
  <si>
    <t>-9006.15</t>
  </si>
  <si>
    <t>-7632.33</t>
  </si>
  <si>
    <t>a7467771-b385-4dad-83a7-3e50ded479e9</t>
  </si>
  <si>
    <t>c962cf6a-91c0-4981-8658-6e8a82f6ca9e</t>
  </si>
  <si>
    <t>78bfb463-3c31-303e-a4d1-1c13fbf5a0b2</t>
  </si>
  <si>
    <t>30-01-2026</t>
  </si>
  <si>
    <t>20260130-SUM03</t>
  </si>
  <si>
    <t>8d1cb084-ed6f-460a-8578-1f6aa2b68aa6</t>
  </si>
  <si>
    <t>394d770a-5a6e-4a0d-9935-8c1e8a1a11d6</t>
  </si>
  <si>
    <t>79004575-6c78-3c94-b46b-e1f7f9069c8d</t>
  </si>
  <si>
    <t>GJ2501007148</t>
  </si>
  <si>
    <t>6000002543</t>
  </si>
  <si>
    <t>-12147.83</t>
  </si>
  <si>
    <t>-10294.77</t>
  </si>
  <si>
    <t>f5fade9a-6ba1-4f7a-8ecc-241e82b4d7ff</t>
  </si>
  <si>
    <t>3014f51c-7268-4d5d-b101-9228bb740fb8</t>
  </si>
  <si>
    <t>79756b90-582c-3d89-abba-6e48f7dfb1b1</t>
  </si>
  <si>
    <t>16-03-2026</t>
  </si>
  <si>
    <t>20260316-SUM01</t>
  </si>
  <si>
    <t>66363.100000000006</t>
  </si>
  <si>
    <t>56239.92</t>
  </si>
  <si>
    <t>3b8d6b8b-950a-46b0-84de-266dd9f16478</t>
  </si>
  <si>
    <t>50d12cc6-ed33-4cac-9087-461d4ce41274</t>
  </si>
  <si>
    <t>79b6c2ce-555b-3b50-8c8b-9e73ac2c5551</t>
  </si>
  <si>
    <t>GJ2501037449</t>
  </si>
  <si>
    <t>6000013939</t>
  </si>
  <si>
    <t>-16546</t>
  </si>
  <si>
    <t>-14022</t>
  </si>
  <si>
    <t>5cbd44a9-26e9-4486-9e84-ebd520504949</t>
  </si>
  <si>
    <t>20db8847-6437-4c8a-b8ba-8e21b10cf9dc</t>
  </si>
  <si>
    <t>7a242570-6228-3a64-822d-5c375c447a38</t>
  </si>
  <si>
    <t>GJ2501034960</t>
  </si>
  <si>
    <t>6000013503</t>
  </si>
  <si>
    <t>bdff793a-a0ee-4442-a620-38ca3f716cdb</t>
  </si>
  <si>
    <t>35d8adfe-a0f8-4b6d-8afe-587dcd45771e</t>
  </si>
  <si>
    <t>7b047a1c-c8a9-3a23-8d0c-1101dfb9c1b1</t>
  </si>
  <si>
    <t>GJ2501012270</t>
  </si>
  <si>
    <t>6000004474</t>
  </si>
  <si>
    <t>-17593.400000000001</t>
  </si>
  <si>
    <t>-14909.66</t>
  </si>
  <si>
    <t>d0119d84-7174-4e1b-86d8-d6c68f0355cf</t>
  </si>
  <si>
    <t>4f4da139-dd7f-455b-9699-84dd11b3142d</t>
  </si>
  <si>
    <t>7ba2996b-f309-3cda-a7ab-72c001f7061e</t>
  </si>
  <si>
    <t>GJ2501042336</t>
  </si>
  <si>
    <t>6000015732</t>
  </si>
  <si>
    <t>aee70e3a-851e-4726-9c83-1464e460d860</t>
  </si>
  <si>
    <t>f80ff143-2f89-4efc-b8fc-c0e7295fe16c</t>
  </si>
  <si>
    <t>7bd6bab3-64e3-3fa1-817f-b679e7924c33</t>
  </si>
  <si>
    <t>20260116-SUM10</t>
  </si>
  <si>
    <t>56340.800000000003</t>
  </si>
  <si>
    <t>47746.42</t>
  </si>
  <si>
    <t>b519f801-df48-4793-9f4b-5eaaec805964</t>
  </si>
  <si>
    <t>f1419706-c2c5-4911-b201-454177c86062</t>
  </si>
  <si>
    <t>7d18820b-7e4a-4406-bcfd-010c744327cd</t>
  </si>
  <si>
    <t>17-10-2025</t>
  </si>
  <si>
    <t>7053036351</t>
  </si>
  <si>
    <t>18-10-2025</t>
  </si>
  <si>
    <t>20251017-MISC2</t>
  </si>
  <si>
    <t>69766a5b-b21c-4935-aa8f-18246265901c</t>
  </si>
  <si>
    <t>ff394873-98ea-4bed-b854-7920d680ca81</t>
  </si>
  <si>
    <t>7d5f563c-45a9-345e-8d6b-6b3e00ea93b2</t>
  </si>
  <si>
    <t>19-09-2025</t>
  </si>
  <si>
    <t>GJ2501024670</t>
  </si>
  <si>
    <t>KR</t>
  </si>
  <si>
    <t>20-09-2025</t>
  </si>
  <si>
    <t>7043047546</t>
  </si>
  <si>
    <t>c22d54af-3400-41e0-806e-59a7506ffe4f</t>
  </si>
  <si>
    <t>6dc8c75c-5de1-408f-bc76-efd5d920c393</t>
  </si>
  <si>
    <t>7d66bb2b-df20-3095-abd3-7fe7f884bf36</t>
  </si>
  <si>
    <t>31-10-2025</t>
  </si>
  <si>
    <t>GJ2501030226</t>
  </si>
  <si>
    <t>7053040807</t>
  </si>
  <si>
    <t>6000010953</t>
  </si>
  <si>
    <t>03-11-2025</t>
  </si>
  <si>
    <t>-14661</t>
  </si>
  <si>
    <t>-12424.56</t>
  </si>
  <si>
    <t>01-11-2025</t>
  </si>
  <si>
    <t>81699d36-77e8-47e2-84b7-d79473efd7e7</t>
  </si>
  <si>
    <t>2f09a670-f8bb-488d-b481-f68bc079c1fb</t>
  </si>
  <si>
    <t>7d8439fa-3569-3d4d-8e04-483f90e32539</t>
  </si>
  <si>
    <t>05-09-2025</t>
  </si>
  <si>
    <t>GJ2502001991</t>
  </si>
  <si>
    <t>Nitrogen charge for Sep 2025</t>
  </si>
  <si>
    <t>6008024932</t>
  </si>
  <si>
    <t>652d0c4f-2815-48bc-9da6-1005ebf74142</t>
  </si>
  <si>
    <t>645690ac-0a46-4091-a5d0-c690c34cdd75</t>
  </si>
  <si>
    <t>7e69c8c2-550a-3d37-b9ea-23f47e384e85</t>
  </si>
  <si>
    <t>09-03-2026</t>
  </si>
  <si>
    <t>GJ2501050254</t>
  </si>
  <si>
    <t>6000018763</t>
  </si>
  <si>
    <t>-36588.019999999997</t>
  </si>
  <si>
    <t>-31006.799999999999</t>
  </si>
  <si>
    <t>11-03-2026</t>
  </si>
  <si>
    <t>33acd85c-c88b-4d23-a3f7-b1d8dee505e3</t>
  </si>
  <si>
    <t>a045a401-9008-438f-8f6d-713bb394dd64</t>
  </si>
  <si>
    <t>80a08739-73b3-3873-9b3d-dede28091b65</t>
  </si>
  <si>
    <t>12-08-2025</t>
  </si>
  <si>
    <t>GJ2501018959</t>
  </si>
  <si>
    <t>6000007798</t>
  </si>
  <si>
    <t>fec4bdbb-7c14-430a-95f9-9af3a1abd93b</t>
  </si>
  <si>
    <t>d8ae10df-da30-486f-97c8-fee1a34422dd</t>
  </si>
  <si>
    <t>8169fb0a-d851-3ce0-8112-424c69f3b735</t>
  </si>
  <si>
    <t>GJ2501022490</t>
  </si>
  <si>
    <t>6000008465</t>
  </si>
  <si>
    <t>0cb6db89-5df5-49cd-90eb-e6e2e8a21a3c</t>
  </si>
  <si>
    <t>30fbd80f-c539-459c-ab3e-b45c361fce33</t>
  </si>
  <si>
    <t>81c84be5-4d28-4542-81e1-fba84e2c7f54</t>
  </si>
  <si>
    <t>7053030776</t>
  </si>
  <si>
    <t>26-09-2025</t>
  </si>
  <si>
    <t>20250925-SUM01</t>
  </si>
  <si>
    <t>17593</t>
  </si>
  <si>
    <t>14909.26</t>
  </si>
  <si>
    <t>e7a8acf1-9302-4b5a-a8c8-e76f6793b8a3</t>
  </si>
  <si>
    <t>274cbf64-6124-42d9-b466-acbb17b168c5</t>
  </si>
  <si>
    <t>81f7183e-94ce-35a0-9c16-64686cacc6c0</t>
  </si>
  <si>
    <t>GJ2501030618</t>
  </si>
  <si>
    <t>04-11-2025</t>
  </si>
  <si>
    <t>7053041061</t>
  </si>
  <si>
    <t>6000011369</t>
  </si>
  <si>
    <t>-14870</t>
  </si>
  <si>
    <t>-12601.6</t>
  </si>
  <si>
    <t>05-11-2025</t>
  </si>
  <si>
    <t>f43c4a45-4053-4b71-9278-77cade81a874</t>
  </si>
  <si>
    <t>da1c35a6-2840-451f-8fed-8741640d3015</t>
  </si>
  <si>
    <t>829f08ed-e019-35a2-ae8e-f77884c2a1d5</t>
  </si>
  <si>
    <t>03-03-2026</t>
  </si>
  <si>
    <t>20260303-SUM01</t>
  </si>
  <si>
    <t>65101.440000000002</t>
  </si>
  <si>
    <t>55170.720000000001</t>
  </si>
  <si>
    <t>0b836926-beff-4510-8fc2-35d85d1882de</t>
  </si>
  <si>
    <t>4b5c0d17-9912-4a48-991d-8ce7707519bc</t>
  </si>
  <si>
    <t>845c0188-57ce-3b37-bda0-7570a24c16b1</t>
  </si>
  <si>
    <t>7053060298</t>
  </si>
  <si>
    <t>20260220-SUM02</t>
  </si>
  <si>
    <t>02ef6f26-b4a3-45f5-ad83-46ae1101147c</t>
  </si>
  <si>
    <t>38633070-b610-4bc3-9b8a-12b84ae866ac</t>
  </si>
  <si>
    <t>857e25d1-9be5-31f2-81b2-c2391097fe25</t>
  </si>
  <si>
    <t>21-08-2025</t>
  </si>
  <si>
    <t>GJ2501020129</t>
  </si>
  <si>
    <t>6000007877</t>
  </si>
  <si>
    <t>-10472.26</t>
  </si>
  <si>
    <t>-8874.7999999999993</t>
  </si>
  <si>
    <t>d203e069-e3e1-42db-a9a6-cbb993f5ed33</t>
  </si>
  <si>
    <t>62d27718-9e4b-4024-9bed-a12ae975e616</t>
  </si>
  <si>
    <t>8654c17b-9499-3ea7-a8ce-499272cad44b</t>
  </si>
  <si>
    <t>GJ2501007538</t>
  </si>
  <si>
    <t>6000002549</t>
  </si>
  <si>
    <t>-12357.26</t>
  </si>
  <si>
    <t>f5358ae3-2325-41b5-927d-b3f98adf537a</t>
  </si>
  <si>
    <t>45b9a870-363a-4345-aa7b-93334b996fd8</t>
  </si>
  <si>
    <t>87ca6193-b5c4-3ed3-813f-0163d302e465</t>
  </si>
  <si>
    <t>20250814-SUM10</t>
  </si>
  <si>
    <t>25342</t>
  </si>
  <si>
    <t>21476.12</t>
  </si>
  <si>
    <t>ebe19253-4def-4c0e-a835-75c37f5e8835</t>
  </si>
  <si>
    <t>19133cf4-0ed9-4d39-a47f-c8855b923e82</t>
  </si>
  <si>
    <t>8959f92a-735c-399d-9436-e0fdd81deeda</t>
  </si>
  <si>
    <t>7053035723</t>
  </si>
  <si>
    <t>20251016-SUM10</t>
  </si>
  <si>
    <t>18012</t>
  </si>
  <si>
    <t>15264.36</t>
  </si>
  <si>
    <t>7ec3a1cb-0f6c-4ff9-9387-a76299ba90c2</t>
  </si>
  <si>
    <t>d0115efd-f9dc-40ec-ba25-27535f0931c9</t>
  </si>
  <si>
    <t>89dac278-81b5-35a7-8dfb-4b95bb97a71d</t>
  </si>
  <si>
    <t>GJ2502002813</t>
  </si>
  <si>
    <t>Nitrogen charge for Nov 2025</t>
  </si>
  <si>
    <t>6008026372</t>
  </si>
  <si>
    <t>64da35b8-08d6-4b2a-b23a-6898c181af05</t>
  </si>
  <si>
    <t>bdfa48bf-7d1b-4654-9133-293053304aed</t>
  </si>
  <si>
    <t>8a9119c9-35f3-3176-9f4f-1baac677e84b</t>
  </si>
  <si>
    <t>GJ2501023886</t>
  </si>
  <si>
    <t>7053031415</t>
  </si>
  <si>
    <t>6000009291</t>
  </si>
  <si>
    <t>8faa42bd-5954-497b-b1b6-57d8aeaf31a5</t>
  </si>
  <si>
    <t>c7a36dcc-64f6-4bc1-8925-e6124515e22f</t>
  </si>
  <si>
    <t>8ceb35bb-3b84-31d2-9c8f-9e5d4c4edd65</t>
  </si>
  <si>
    <t>22-01-2026</t>
  </si>
  <si>
    <t>GJ2501042896</t>
  </si>
  <si>
    <t>7053057776</t>
  </si>
  <si>
    <t>6000016073</t>
  </si>
  <si>
    <t>1bea7d43-d5c5-4f33-aa08-6fdf8242d242</t>
  </si>
  <si>
    <t>ae477d14-e368-4bb6-b2d1-0f244bdde4c5</t>
  </si>
  <si>
    <t>8d29e215-13fc-3094-a6bc-e3a14b204be5</t>
  </si>
  <si>
    <t>10-05-2025</t>
  </si>
  <si>
    <t>GJ2501005288</t>
  </si>
  <si>
    <t>6000002365</t>
  </si>
  <si>
    <t>-13614</t>
  </si>
  <si>
    <t>-11537.3</t>
  </si>
  <si>
    <t>ee9d8304-da4b-4664-b8c4-52a07d70f355</t>
  </si>
  <si>
    <t>c8a5dd82-26e4-4fe5-b41a-ec0d444a2541</t>
  </si>
  <si>
    <t>8d6d99cf-ec59-4852-847f-77f9ad3f266b</t>
  </si>
  <si>
    <t>05-12-2025</t>
  </si>
  <si>
    <t>06-12-2025</t>
  </si>
  <si>
    <t>20251205-SUM01</t>
  </si>
  <si>
    <t>32464.02</t>
  </si>
  <si>
    <t>27511.88</t>
  </si>
  <si>
    <t>977ade6c-b7f2-4684-82af-aa66f28de6e3</t>
  </si>
  <si>
    <t>4b93debb-2f5c-4ec0-85eb-361eb8067cca</t>
  </si>
  <si>
    <t>8dfb22af-085e-3e77-a603-e099ac061163</t>
  </si>
  <si>
    <t>19-04-2025</t>
  </si>
  <si>
    <t>GJ2501003880</t>
  </si>
  <si>
    <t>6000001212</t>
  </si>
  <si>
    <t>06eef7c4-f634-48b8-9f9b-a4a66b30bcff</t>
  </si>
  <si>
    <t>a2bf136d-f144-4e3b-a14e-9fe12d7b8937</t>
  </si>
  <si>
    <t>8eea3cf5-0ee1-302a-88f1-2ade498e7fc3</t>
  </si>
  <si>
    <t>GJ2501028718</t>
  </si>
  <si>
    <t>6000010466</t>
  </si>
  <si>
    <t>0b92f07c-85b6-478b-b9cd-3c4285602e84</t>
  </si>
  <si>
    <t>9e73b074-92da-41b9-96cd-e7410b27b704</t>
  </si>
  <si>
    <t>90b9f9e7-efbc-3852-a781-e9a89c6e2a55</t>
  </si>
  <si>
    <t>01-09-2025</t>
  </si>
  <si>
    <t>20250901-SUM11</t>
  </si>
  <si>
    <t>51523.55</t>
  </si>
  <si>
    <t>43664.03</t>
  </si>
  <si>
    <t>3940f24e-dfc9-4723-b284-a9633243c738</t>
  </si>
  <si>
    <t>9585cf72-7d9f-49d4-8de7-6598b9ef9d5b</t>
  </si>
  <si>
    <t>91507aea-7dac-3408-967c-e19c93be9ccd</t>
  </si>
  <si>
    <t>GJ2502000458</t>
  </si>
  <si>
    <t>YEARLY RENT CHARGES FOR NITROGEN MAY -25</t>
  </si>
  <si>
    <t>7053014631</t>
  </si>
  <si>
    <t>6008009432</t>
  </si>
  <si>
    <t>51a92668-c8c7-4c24-9f2c-2631c3683758</t>
  </si>
  <si>
    <t>cbb5426f-ca9b-4b03-b9c6-662f10c5e3d9</t>
  </si>
  <si>
    <t>91579428-4062-34c4-8fc3-25dd6e91e4e6</t>
  </si>
  <si>
    <t>05-10-2025</t>
  </si>
  <si>
    <t>GJ2502002394</t>
  </si>
  <si>
    <t>Nitrogen charge for Oct 2025</t>
  </si>
  <si>
    <t>6008022966</t>
  </si>
  <si>
    <t>08-10-2025</t>
  </si>
  <si>
    <t>ed0ddd8f-10ee-4abf-8507-c8e31dc8711c</t>
  </si>
  <si>
    <t>14a73fa4-f592-4256-a8df-91ad3e24460e</t>
  </si>
  <si>
    <t>91814e54-584f-31b8-ba2b-545bfc0c2324</t>
  </si>
  <si>
    <t>GJ2501033865</t>
  </si>
  <si>
    <t>7053044867</t>
  </si>
  <si>
    <t>6000012415</t>
  </si>
  <si>
    <t>aa9452d0-515a-44e3-803b-72d31241a56c</t>
  </si>
  <si>
    <t>5a3608c9-8a3a-495c-9d8f-9cf5b96f04e6</t>
  </si>
  <si>
    <t>91b17de8-5c0b-4dc4-9ed3-380f3496ea24</t>
  </si>
  <si>
    <t>20251128-SUM02</t>
  </si>
  <si>
    <t>11100.61</t>
  </si>
  <si>
    <t>9407.2900000000009</t>
  </si>
  <si>
    <t>887689bd-7dd1-4a7a-a9b3-c596b2e21344</t>
  </si>
  <si>
    <t>1a39cb45-510a-4baf-9131-4a62d9a97842</t>
  </si>
  <si>
    <t>93838ab0-ca5e-366e-a06a-38f236f3b468</t>
  </si>
  <si>
    <t>GJ2501030509</t>
  </si>
  <si>
    <t>6000011219</t>
  </si>
  <si>
    <t>-16336.73</t>
  </si>
  <si>
    <t>-13844.69</t>
  </si>
  <si>
    <t>b6f85a17-d865-44ee-b591-d80a72cd24ec</t>
  </si>
  <si>
    <t>caaec645-9000-43e3-8462-372734a27d48</t>
  </si>
  <si>
    <t>941583c9-91b6-3c0c-a7fa-0f5fb37e9f3a</t>
  </si>
  <si>
    <t>28-10-2025</t>
  </si>
  <si>
    <t>GJ2501029716</t>
  </si>
  <si>
    <t>6000010690</t>
  </si>
  <si>
    <t>8b910219-2355-49d6-b6d8-5c45ce6db621</t>
  </si>
  <si>
    <t>46b6201f-c0a4-468d-9099-7e6bacf09671</t>
  </si>
  <si>
    <t>987648e0-b6cf-4494-b07a-6fccd8b06572</t>
  </si>
  <si>
    <t>20251201-SUM01</t>
  </si>
  <si>
    <t>248d71aa-8972-4da9-8bd4-caf865ad1b6c</t>
  </si>
  <si>
    <t>9f168cc8-3e9d-4c0b-a631-64441fc87696</t>
  </si>
  <si>
    <t>99f83dfe-4d87-31a7-8100-0901e3ada18a</t>
  </si>
  <si>
    <t>GJ2501013390</t>
  </si>
  <si>
    <t>6000010086</t>
  </si>
  <si>
    <t>4c64b489-0800-475a-ba53-e782f2518a85</t>
  </si>
  <si>
    <t>7d1326a8-0754-4e4a-bbce-ac6237fb9349</t>
  </si>
  <si>
    <t>9abbe54a-558f-3f91-9dfb-ccd81f6a5597</t>
  </si>
  <si>
    <t>20250429-SUM01</t>
  </si>
  <si>
    <t>29ec6f31-2bea-436c-80c4-37895b79689c</t>
  </si>
  <si>
    <t>eb3e2c8f-71af-4d38-9536-23b0f154fcfa</t>
  </si>
  <si>
    <t>9c073018-2963-337c-aff6-8dd6d336d37e</t>
  </si>
  <si>
    <t>09-12-2025</t>
  </si>
  <si>
    <t>20251209-SUM01</t>
  </si>
  <si>
    <t>15708</t>
  </si>
  <si>
    <t>13311.8</t>
  </si>
  <si>
    <t>27602efc-5d4e-43fe-b7f8-8244e41335a2</t>
  </si>
  <si>
    <t>b788d3c5-0f1c-4caf-be6b-c824f4f17012</t>
  </si>
  <si>
    <t>9c467e28-41c0-3eaa-90bf-fd22db0c7b95</t>
  </si>
  <si>
    <t>18-09-2025</t>
  </si>
  <si>
    <t>6000012688</t>
  </si>
  <si>
    <t>f99a98e7-3656-4e92-994a-2471eb47b003</t>
  </si>
  <si>
    <t>2afd2ce6-071b-4456-ab9a-82aa19ee14d5</t>
  </si>
  <si>
    <t>9cbd904f-5700-3871-9921-9f1f23a1dd26</t>
  </si>
  <si>
    <t>25-07-2025</t>
  </si>
  <si>
    <t>GJ2501016421</t>
  </si>
  <si>
    <t>6000006343</t>
  </si>
  <si>
    <t>GJ20252010P975</t>
  </si>
  <si>
    <t>-12566</t>
  </si>
  <si>
    <t>-10649.04</t>
  </si>
  <si>
    <t>eb103f8a-e366-47ec-8b32-d37c13a42cda</t>
  </si>
  <si>
    <t>2d1b68b2-e677-40db-bd06-00f4643906b3</t>
  </si>
  <si>
    <t>9d760968-ef08-3bab-912c-4590a17d9428</t>
  </si>
  <si>
    <t>03-07-2025</t>
  </si>
  <si>
    <t>GJ2501013122</t>
  </si>
  <si>
    <t>6000004877</t>
  </si>
  <si>
    <t>e37864cd-65cf-48ae-b7fe-2d1b4e9c227c</t>
  </si>
  <si>
    <t>8dacb3f3-65a5-460d-9a0f-895c95084f92</t>
  </si>
  <si>
    <t>9dda72a9-de5a-3a77-b1ae-7aca02ce9452</t>
  </si>
  <si>
    <t>GJ2501002487</t>
  </si>
  <si>
    <t>6000000881</t>
  </si>
  <si>
    <t>-19687</t>
  </si>
  <si>
    <t>-16683.759999999998</t>
  </si>
  <si>
    <t>0f2ba5fe-031e-4bf0-93a9-3ab1d37fbb31</t>
  </si>
  <si>
    <t>42c2816b-fbfe-4557-af67-b1e8df2652b7</t>
  </si>
  <si>
    <t>9f75d9e2-f18b-39b2-aec6-db4688c7b378</t>
  </si>
  <si>
    <t>20250716-SUM10</t>
  </si>
  <si>
    <t>38279.5</t>
  </si>
  <si>
    <t>32558.799999999999</t>
  </si>
  <si>
    <t>b5e7fda5-ee2a-4b85-8859-95b6cfd5f9b6</t>
  </si>
  <si>
    <t>b4701ed4-364f-4e89-bf0b-74cdbd00c01c</t>
  </si>
  <si>
    <t>9843.93</t>
  </si>
  <si>
    <t>8342.31</t>
  </si>
  <si>
    <t>b24b93ab-1211-4669-b597-eabd7a2653e6</t>
  </si>
  <si>
    <t>610f0809-57ce-4825-bcaa-ec7ece6d1050</t>
  </si>
  <si>
    <t>a05cc301-944a-47e0-9a66-4fd49e945949</t>
  </si>
  <si>
    <t>20260121-SUM02</t>
  </si>
  <si>
    <t>1309935a-e0b5-4464-83c3-09a2f6725b40</t>
  </si>
  <si>
    <t>f5965949-ed5b-46d0-a664-ae046062258a</t>
  </si>
  <si>
    <t>a060ec4d-ee29-33ba-a8e4-a3b832ccfd07</t>
  </si>
  <si>
    <t>GJ2501044141</t>
  </si>
  <si>
    <t>6000016635</t>
  </si>
  <si>
    <t>0ce8858a-922c-4390-9b35-465ee20c0578</t>
  </si>
  <si>
    <t>f5fafea5-2929-4622-b282-fe0bfce8195b</t>
  </si>
  <si>
    <t>a290a570-0df0-318c-a600-7af380915eb7</t>
  </si>
  <si>
    <t>GJ2501021588</t>
  </si>
  <si>
    <t>6000008254</t>
  </si>
  <si>
    <t>bdc0f425-d8f7-4dc2-86b1-f6bc6d3e3555</t>
  </si>
  <si>
    <t>22054b46-59f7-416e-b6b6-7ed15074ffd3</t>
  </si>
  <si>
    <t>a3b604a7-b5c3-3429-ada6-1cb8ff64318c</t>
  </si>
  <si>
    <t>GJ2501028078</t>
  </si>
  <si>
    <t>6000010285</t>
  </si>
  <si>
    <t>-7958.93</t>
  </si>
  <si>
    <t>-6744.85</t>
  </si>
  <si>
    <t>e031dade-e159-4226-871a-0064d81480c6</t>
  </si>
  <si>
    <t>06072f9e-bce9-434a-834b-92937774341f</t>
  </si>
  <si>
    <t>a417e015-dd65-3146-aeed-78a488b1d737</t>
  </si>
  <si>
    <t>08-04-2025</t>
  </si>
  <si>
    <t>7053000895</t>
  </si>
  <si>
    <t>20250408-SUM01</t>
  </si>
  <si>
    <t>13404.5</t>
  </si>
  <si>
    <t>11359.74</t>
  </si>
  <si>
    <t>1a1021b5-3a22-48b9-adfa-0ef3a11dd397</t>
  </si>
  <si>
    <t>399016af-066e-4da5-b44c-46a34dad1862</t>
  </si>
  <si>
    <t>a4e3472d-d127-3b78-8c85-f4ee7defa7e3</t>
  </si>
  <si>
    <t>19-06-2025</t>
  </si>
  <si>
    <t>20250619-SUM05</t>
  </si>
  <si>
    <t>32672</t>
  </si>
  <si>
    <t>27687.9</t>
  </si>
  <si>
    <t>d84c105e-0d15-4c87-8093-51397aeeed96</t>
  </si>
  <si>
    <t>5bded08c-b8bb-4310-b6aa-84e43ea76a15</t>
  </si>
  <si>
    <t>a812c24b-e13b-3e27-b92a-2cf60b3e73e8</t>
  </si>
  <si>
    <t>GJ2502003200</t>
  </si>
  <si>
    <t>Nitrogen charge for Dec 2025</t>
  </si>
  <si>
    <t>6008031476</t>
  </si>
  <si>
    <t>22-12-2025</t>
  </si>
  <si>
    <t>794f2392-0f14-4898-a99f-fae684f738a7</t>
  </si>
  <si>
    <t>3f041796-141a-4835-9f44-2c2c2e964959</t>
  </si>
  <si>
    <t>a840cc64-1257-3ee8-8684-e9d759353083</t>
  </si>
  <si>
    <t>20250630-SUM02</t>
  </si>
  <si>
    <t>69744.91</t>
  </si>
  <si>
    <t>59105.79</t>
  </si>
  <si>
    <t>86801746-0a08-472a-81f9-c935168cb11d</t>
  </si>
  <si>
    <t>c8bc302e-567f-4af2-ad27-46d0ddb30d5c</t>
  </si>
  <si>
    <t>a906b5d9-6b60-38f2-ad22-63bc69ade4c6</t>
  </si>
  <si>
    <t>05-08-2025</t>
  </si>
  <si>
    <t>GJ2502001587</t>
  </si>
  <si>
    <t>FIXED FACILITY CHARGES FOR THE MONTH AUG 2025</t>
  </si>
  <si>
    <t>6008015903</t>
  </si>
  <si>
    <t>18-08-2025</t>
  </si>
  <si>
    <t>11-08-2025</t>
  </si>
  <si>
    <t>54786d50-5f82-40d2-8bcd-c0a93f2b38c7</t>
  </si>
  <si>
    <t>cfcc0847-562b-46a6-8ace-e0aa3f9e967d</t>
  </si>
  <si>
    <t>a90f4365-8858-4917-864a-6236bf9395b1</t>
  </si>
  <si>
    <t>20250926-SUM03</t>
  </si>
  <si>
    <t>17803</t>
  </si>
  <si>
    <t>15087.32</t>
  </si>
  <si>
    <t>2bd82cb7-d147-4d21-ab5f-b65a6547e66c</t>
  </si>
  <si>
    <t>abeb46a8-9541-422c-a7f8-f6afdad101f0</t>
  </si>
  <si>
    <t>a92fc214-564e-3e9b-86b1-e9e5f854d053</t>
  </si>
  <si>
    <t>GJ2501036659</t>
  </si>
  <si>
    <t>6000013933</t>
  </si>
  <si>
    <t>d9b9a9bb-9a2a-47eb-b3c6-7a920d88e94f</t>
  </si>
  <si>
    <t>e8353cc9-b613-4031-87ec-8564cc68f303</t>
  </si>
  <si>
    <t>aa8590d6-ad29-3331-a303-f137f7e44071</t>
  </si>
  <si>
    <t>GJ2501002736</t>
  </si>
  <si>
    <t>6000000887</t>
  </si>
  <si>
    <t>-21572</t>
  </si>
  <si>
    <t>-18281.22</t>
  </si>
  <si>
    <t>217feddc-1f02-4fa9-8338-cfd5c4eee2f8</t>
  </si>
  <si>
    <t>b51f989e-2197-474d-b505-b905a5ea82f6</t>
  </si>
  <si>
    <t>abd72df6-2ce2-3154-9b85-1ce4413d24a3</t>
  </si>
  <si>
    <t>GJ2501003024</t>
  </si>
  <si>
    <t>23-04-2025</t>
  </si>
  <si>
    <t>6000001216</t>
  </si>
  <si>
    <t>22-04-2025</t>
  </si>
  <si>
    <t>4fca494e-7273-41db-8776-9941e815a2dc</t>
  </si>
  <si>
    <t>dd95a043-bd9e-45e3-a715-0d54ca1568b0</t>
  </si>
  <si>
    <t>b05cb092-031f-3312-bb00-7e4b39d01802</t>
  </si>
  <si>
    <t>31-01-2026</t>
  </si>
  <si>
    <t>GJ2501044323</t>
  </si>
  <si>
    <t>6000016638</t>
  </si>
  <si>
    <t>b3bcad86-ea71-442d-8e68-e0a6c8cabb80</t>
  </si>
  <si>
    <t>1a204ff6-5903-4f84-a6cf-d5495242278c</t>
  </si>
  <si>
    <t>b148a281-cccf-354a-b15b-b143e10c603e</t>
  </si>
  <si>
    <t>7053057082</t>
  </si>
  <si>
    <t>20260205-SUM10</t>
  </si>
  <si>
    <t>16546</t>
  </si>
  <si>
    <t>14022</t>
  </si>
  <si>
    <t>94b8b906-6560-4f6f-adc9-4aba017900ef</t>
  </si>
  <si>
    <t>4f0b365d-6aa2-4afa-b83b-380f0034a58e</t>
  </si>
  <si>
    <t>b1e90a97-6cad-306d-9810-c417aec0fc5b</t>
  </si>
  <si>
    <t>12-07-2025</t>
  </si>
  <si>
    <t>GJ2501014687</t>
  </si>
  <si>
    <t>6000005401</t>
  </si>
  <si>
    <t>25c24054-ba94-4a91-932d-face21f84b18</t>
  </si>
  <si>
    <t>55e8c683-b494-49de-88f5-3f187d8c19e7</t>
  </si>
  <si>
    <t>b24db938-3932-3839-b2e2-c1838fe3a0cc</t>
  </si>
  <si>
    <t>GJ2501005174</t>
  </si>
  <si>
    <t>6000002363</t>
  </si>
  <si>
    <t>0b05efeb-3367-4242-bd65-5935179bde64</t>
  </si>
  <si>
    <t>17655b2c-d5fc-48dd-bb8c-923ebe380450</t>
  </si>
  <si>
    <t>b2a4ff80-32f9-31d2-8704-648fcecc7070</t>
  </si>
  <si>
    <t>GJ2501009730</t>
  </si>
  <si>
    <t>6000003809</t>
  </si>
  <si>
    <t>4004aaa6-d839-4354-bb71-b6ce728f6f29</t>
  </si>
  <si>
    <t>d7850682-e566-4fe1-af5a-3c01933d69fb</t>
  </si>
  <si>
    <t>b4b90c1c-a05e-383e-b980-f98f5ad1f081</t>
  </si>
  <si>
    <t>GJ2501015484</t>
  </si>
  <si>
    <t>6000005676</t>
  </si>
  <si>
    <t>-6073.9</t>
  </si>
  <si>
    <t>-5147.38</t>
  </si>
  <si>
    <t>4186db92-49c2-42d3-84d6-c0c927180ecc</t>
  </si>
  <si>
    <t>47f795e1-4033-4337-a33a-3abad3340893</t>
  </si>
  <si>
    <t>b4dee04a-f8f4-3088-95ec-4be3fca551e8</t>
  </si>
  <si>
    <t>GJ2501000522</t>
  </si>
  <si>
    <t>6000000639</t>
  </si>
  <si>
    <t>f2ce21e2-2f9a-4772-8677-51186c9752bc</t>
  </si>
  <si>
    <t>e5856449-9198-4a94-82f8-114558fd4b27</t>
  </si>
  <si>
    <t>b51f3e9a-efcd-3103-9408-74d58fb5a137</t>
  </si>
  <si>
    <t>GJ2501014432</t>
  </si>
  <si>
    <t>6000005399</t>
  </si>
  <si>
    <t>90ee5a2e-70da-4756-af14-2adec23da6e1</t>
  </si>
  <si>
    <t>b30e4c76-53b8-419d-819e-2f01f2a39411</t>
  </si>
  <si>
    <t>b6661e0d-405d-3e58-8fc2-7f41db76bacb</t>
  </si>
  <si>
    <t>GJ2501010035</t>
  </si>
  <si>
    <t>6000004284</t>
  </si>
  <si>
    <t>-18012</t>
  </si>
  <si>
    <t>-15264.36</t>
  </si>
  <si>
    <t>60c56190-a236-4576-a2af-c0361e83e01b</t>
  </si>
  <si>
    <t>27bdac70-5b9d-46d2-963d-c72d86ae0aff</t>
  </si>
  <si>
    <t>b7053c89-98b4-3951-a3a1-c61bda28f0c6</t>
  </si>
  <si>
    <t>GJ2501016103</t>
  </si>
  <si>
    <t>6000005947</t>
  </si>
  <si>
    <t>-12776.16</t>
  </si>
  <si>
    <t>-10827.26</t>
  </si>
  <si>
    <t>ce6bd057-860a-4f8e-ae9a-738f944c83c0</t>
  </si>
  <si>
    <t>ed102602-8c87-4857-b17d-e3dea0028a62</t>
  </si>
  <si>
    <t>b78733b9-b831-309d-ac2c-cd6dd73589cb</t>
  </si>
  <si>
    <t>GJ2501018733</t>
  </si>
  <si>
    <t>6000007796</t>
  </si>
  <si>
    <t>cfcb5ce0-1759-4842-bd60-acf750d7ea01</t>
  </si>
  <si>
    <t>3056e998-f7f0-4652-87ab-64536447b613</t>
  </si>
  <si>
    <t>b7aa72a1-1136-31ee-931f-649999502def</t>
  </si>
  <si>
    <t>GJ2501011105</t>
  </si>
  <si>
    <t>6000003815</t>
  </si>
  <si>
    <t>b325848a-4450-49d6-8340-b31d0f6233fa</t>
  </si>
  <si>
    <t>9c4f2c5c-f8ad-4541-975b-49340e20205a</t>
  </si>
  <si>
    <t>b8911afc-e4fb-3450-bba7-bc7f34df0bf2</t>
  </si>
  <si>
    <t>20251121-SUM11</t>
  </si>
  <si>
    <t>33092.370000000003</t>
  </si>
  <si>
    <t>28044.37</t>
  </si>
  <si>
    <t>440cd3a3-8c9d-4179-a9ab-34d4563e8855</t>
  </si>
  <si>
    <t>da20706c-4616-4ff8-b1e1-b5a0d8ebd14d</t>
  </si>
  <si>
    <t>b9b4314d-d1c2-3302-adc3-76f3f74263ea</t>
  </si>
  <si>
    <t>GJ2501035991</t>
  </si>
  <si>
    <t>6000013533</t>
  </si>
  <si>
    <t>babd5c83-e0c8-4242-9eba-725ca1bb91e4</t>
  </si>
  <si>
    <t>0949c732-28f6-4691-a576-a552862c67ce</t>
  </si>
  <si>
    <t>b9e8bf13-4417-3227-93d5-5160ea9dd12c</t>
  </si>
  <si>
    <t>11-02-2026</t>
  </si>
  <si>
    <t>20260211-SUM01</t>
  </si>
  <si>
    <t>29950.67</t>
  </si>
  <si>
    <t>25381.93</t>
  </si>
  <si>
    <t>b756e3d3-ffe2-48b9-833f-ac83effb89a3</t>
  </si>
  <si>
    <t>ffaa813c-568b-4b9d-94c9-0a330acd10ce</t>
  </si>
  <si>
    <t>b9ed9710-e113-331a-b45c-2c7d42323fcf</t>
  </si>
  <si>
    <t>GJ2501006175</t>
  </si>
  <si>
    <t>6000002370</t>
  </si>
  <si>
    <t>e0376da9-5333-48d3-a528-4f86f14edf03</t>
  </si>
  <si>
    <t>07b100d4-c250-4300-8bf1-8b6771cee943</t>
  </si>
  <si>
    <t>ba553ae6-3bf4-3417-bc98-6fd9f305c957</t>
  </si>
  <si>
    <t>20250729-SUM10</t>
  </si>
  <si>
    <t>89013.58</t>
  </si>
  <si>
    <t>75435.16</t>
  </si>
  <si>
    <t>3c21e916-cd0d-4cd2-930e-e828cd6375a8</t>
  </si>
  <si>
    <t>015634d8-09e8-4023-a05b-36d54c48610d</t>
  </si>
  <si>
    <t>bbc20328-c272-4c15-8e76-d77c91e4fb85</t>
  </si>
  <si>
    <t>20250422-SUM01</t>
  </si>
  <si>
    <t>43774.06</t>
  </si>
  <si>
    <t>37096.660000000003</t>
  </si>
  <si>
    <t>78144768-9aee-478d-8c8a-02885176c955</t>
  </si>
  <si>
    <t>b895c3bd-1087-4b8d-82cd-1a40a61ea471</t>
  </si>
  <si>
    <t>bbd71cae-f9f3-314f-887e-ed1f0f4f48dd</t>
  </si>
  <si>
    <t>14-05-2025</t>
  </si>
  <si>
    <t>7053007045</t>
  </si>
  <si>
    <t>20250514-SUM03</t>
  </si>
  <si>
    <t>19060</t>
  </si>
  <si>
    <t>16152.62</t>
  </si>
  <si>
    <t>db0a69c7-a5d6-4b65-ab12-78f12795d31f</t>
  </si>
  <si>
    <t>dc39315d-b2b2-42a0-8cdd-d4c7b6e365ad</t>
  </si>
  <si>
    <t>bd468716-6476-32f8-811b-df8da4588de5</t>
  </si>
  <si>
    <t>GJ2501037932</t>
  </si>
  <si>
    <t>6000013941</t>
  </si>
  <si>
    <t>b5bf1190-4f74-4bbe-a59f-dcb2eef139a5</t>
  </si>
  <si>
    <t>8eb60192-0029-4ab5-b967-7ae2120895a1</t>
  </si>
  <si>
    <t>bd9d5fc0-06d9-3c2e-affe-610d3ee6c697</t>
  </si>
  <si>
    <t>GJ2502003786</t>
  </si>
  <si>
    <t>INSTALLATION &amp; COMMISSIONING CHARGES</t>
  </si>
  <si>
    <t>6008034930</t>
  </si>
  <si>
    <t>-191400</t>
  </si>
  <si>
    <t>-165000</t>
  </si>
  <si>
    <t>7f7b0ef7-8a6f-4d9c-aed3-612125f7506d</t>
  </si>
  <si>
    <t>c554c69a-afe7-4051-b48f-e88d62b5c0b5</t>
  </si>
  <si>
    <t>bec33ec0-96be-3a2c-8875-46c29a67f3e5</t>
  </si>
  <si>
    <t>21-03-2026</t>
  </si>
  <si>
    <t>GJ2501052232</t>
  </si>
  <si>
    <t>6000019282</t>
  </si>
  <si>
    <t>26-03-2026</t>
  </si>
  <si>
    <t>-36966.519999999997</t>
  </si>
  <si>
    <t>-31327.56</t>
  </si>
  <si>
    <t>5e2a0530-91ed-4faf-9bce-4002e557fbfc</t>
  </si>
  <si>
    <t>8d52caca-6049-49d2-9057-3ea43bfa8f1e</t>
  </si>
  <si>
    <t>bf72906d-0257-3027-a09e-6b3154ca1799</t>
  </si>
  <si>
    <t>GJ2501040956</t>
  </si>
  <si>
    <t>09-01-2026</t>
  </si>
  <si>
    <t>6000015382</t>
  </si>
  <si>
    <t>694e29a0-4707-4804-98c3-a905a527deb5</t>
  </si>
  <si>
    <t>834b87a6-df89-4fdd-bd10-15cd1517d382</t>
  </si>
  <si>
    <t>c0c3e2b8-7fd2-3ebd-b776-4c6b2922c17b</t>
  </si>
  <si>
    <t>15-10-2025</t>
  </si>
  <si>
    <t>20251015-SUM10</t>
  </si>
  <si>
    <t>15498</t>
  </si>
  <si>
    <t>13133.76</t>
  </si>
  <si>
    <t>f2e2f3cf-1497-4e3f-9571-2c311085da17</t>
  </si>
  <si>
    <t>e19b6446-0382-43ba-a3f3-df53611e5d81</t>
  </si>
  <si>
    <t>c1aa665d-07b4-3a66-b14b-d6adddb3204e</t>
  </si>
  <si>
    <t>18-06-2025</t>
  </si>
  <si>
    <t>20250618-SUM06</t>
  </si>
  <si>
    <t>16965</t>
  </si>
  <si>
    <t>14377.1</t>
  </si>
  <si>
    <t>fc8670a3-84a4-4adb-84c7-9ee502c35711</t>
  </si>
  <si>
    <t>59804ad1-e0d9-43f7-ac5b-c6172a001faa</t>
  </si>
  <si>
    <t>c2822813-ae5f-4dbb-8301-c8d8775f11f3</t>
  </si>
  <si>
    <t>20251117-SUM01</t>
  </si>
  <si>
    <t>2b73d961-50ee-4225-b993-113030b98b19</t>
  </si>
  <si>
    <t>87f70589-688e-4ca0-9134-31987146e546</t>
  </si>
  <si>
    <t>c2f6bd98-36f9-3c5e-81b1-3c5244d85327</t>
  </si>
  <si>
    <t>GJ2501035748</t>
  </si>
  <si>
    <t>07-12-2025</t>
  </si>
  <si>
    <t>7053047422</t>
  </si>
  <si>
    <t>6000013522</t>
  </si>
  <si>
    <t>-11938</t>
  </si>
  <si>
    <t>-10116.9</t>
  </si>
  <si>
    <t>26c5c4b7-d089-4756-829d-cd4c9bd55e7a</t>
  </si>
  <si>
    <t>cd118579-8e5f-4f67-929c-5506008adcfd</t>
  </si>
  <si>
    <t>c38bb57a-04fc-38c9-99b9-96d5be80bfb8</t>
  </si>
  <si>
    <t>GJ2501049208</t>
  </si>
  <si>
    <t>6000018563</t>
  </si>
  <si>
    <t>-29901.24</t>
  </si>
  <si>
    <t>-25340.04</t>
  </si>
  <si>
    <t>9c2bd13c-33d7-410b-a76f-a810605bd9ff</t>
  </si>
  <si>
    <t>c8fe414e-c9bb-48d5-935e-aaf0983c8b95</t>
  </si>
  <si>
    <t>c3c3cd35-c1ed-333e-a2b1-163ad9e2fe24</t>
  </si>
  <si>
    <t>GJ2501037272</t>
  </si>
  <si>
    <t>6000013937</t>
  </si>
  <si>
    <t>18d39452-5964-4672-a59a-0cc35e8f1f02</t>
  </si>
  <si>
    <t>b73d42fb-4deb-4703-8f33-0d8a9fd13af9</t>
  </si>
  <si>
    <t>c4154f56-7943-33d0-b353-574bd36b7191</t>
  </si>
  <si>
    <t>20250930-SUM10</t>
  </si>
  <si>
    <t>35deb783-6315-4209-bc1c-c2f6b3f6ad54</t>
  </si>
  <si>
    <t>880c34b6-5b0d-43dd-bbee-7f5ad9dd8a12</t>
  </si>
  <si>
    <t>c471272b-5dfc-3cd8-b73c-f63e6d679af2</t>
  </si>
  <si>
    <t>20260102-SUM10</t>
  </si>
  <si>
    <t>29322.34</t>
  </si>
  <si>
    <t>24849.439999999999</t>
  </si>
  <si>
    <t>93558e20-42db-4169-8a38-2b3c3f8ec488</t>
  </si>
  <si>
    <t>ed51b42c-c32e-48c2-a0b3-a6833671e0c1</t>
  </si>
  <si>
    <t>c49377f2-63ac-31dc-826d-eeec00653df8</t>
  </si>
  <si>
    <t>GJ2501037774</t>
  </si>
  <si>
    <t>6000013948</t>
  </si>
  <si>
    <t>6ffdce95-8342-4315-bb95-7a518407762a</t>
  </si>
  <si>
    <t>4d8e51e0-bc38-4bf0-91a4-bdd790080a6f</t>
  </si>
  <si>
    <t>c4e90f99-747c-3b61-b984-6c434f42dafb</t>
  </si>
  <si>
    <t>GJ2501041089</t>
  </si>
  <si>
    <t>10-01-2026</t>
  </si>
  <si>
    <t>6000015381</t>
  </si>
  <si>
    <t>171524cf-43fd-48b4-a66e-8433994ae5c0</t>
  </si>
  <si>
    <t>8067f126-b3b6-41df-bcc9-721c57f9d13e</t>
  </si>
  <si>
    <t>c55e3fbe-459f-3704-91dc-b693ba7086dd</t>
  </si>
  <si>
    <t>04-02-2026</t>
  </si>
  <si>
    <t>GJ2501045106</t>
  </si>
  <si>
    <t>6000016589</t>
  </si>
  <si>
    <t>-30153.58</t>
  </si>
  <si>
    <t>-25553.88</t>
  </si>
  <si>
    <t>94a95cb9-a9b3-426f-80bd-a39dec4522d0</t>
  </si>
  <si>
    <t>b2a301b3-e49c-48a3-b0f5-3fdbf029fc46</t>
  </si>
  <si>
    <t>c6066bc9-0b49-3577-b340-c777b27008ad</t>
  </si>
  <si>
    <t>GJ2501041258</t>
  </si>
  <si>
    <t>LBL PROPOFOL INJ EMU 1000MG/100ML AVT SN</t>
  </si>
  <si>
    <t>11-01-2026</t>
  </si>
  <si>
    <t>6000015383</t>
  </si>
  <si>
    <t>865ede5e-0df8-4167-b03d-e6a7efb475e4</t>
  </si>
  <si>
    <t>55c546e4-a547-44e1-9d73-2f21ce3a7708</t>
  </si>
  <si>
    <t>c635f5e0-8da8-350a-a22a-f1f7b5da57a6</t>
  </si>
  <si>
    <t>13-05-2025</t>
  </si>
  <si>
    <t>GJ2501005719</t>
  </si>
  <si>
    <t>6000002367</t>
  </si>
  <si>
    <t>2615e07b-49f9-453a-8b52-71221ed750c6</t>
  </si>
  <si>
    <t>4e8829b9-f69d-4cd0-a839-d697220e8633</t>
  </si>
  <si>
    <t>c654127e-7b63-4915-852c-812f6fc86fae</t>
  </si>
  <si>
    <t>7053047999</t>
  </si>
  <si>
    <t>26-12-2025</t>
  </si>
  <si>
    <t>20251225-SUM03</t>
  </si>
  <si>
    <t>18431</t>
  </si>
  <si>
    <t>15619.46</t>
  </si>
  <si>
    <t>3c1297c6-461c-45e8-8e18-21e2f2ca20a5</t>
  </si>
  <si>
    <t>4b2cc9f4-9070-4993-978f-a783afc390ad</t>
  </si>
  <si>
    <t>c81222f7-1421-3536-a101-bf1b3d0cca87</t>
  </si>
  <si>
    <t>06-10-2025</t>
  </si>
  <si>
    <t>GJ2501026881</t>
  </si>
  <si>
    <t>6000010346</t>
  </si>
  <si>
    <t>04-10-2025</t>
  </si>
  <si>
    <t>efc4a365-d484-4381-b714-79aafc3457eb</t>
  </si>
  <si>
    <t>8e69e00f-1961-4a77-8d1d-c3ea3adc4ca0</t>
  </si>
  <si>
    <t>c81fe0e6-d63f-359a-a8e9-e3c938c0dfd6</t>
  </si>
  <si>
    <t>GJ2501018033</t>
  </si>
  <si>
    <t>6000007062</t>
  </si>
  <si>
    <t>-11519</t>
  </si>
  <si>
    <t>-9761.7800000000007</t>
  </si>
  <si>
    <t>b498c59b-2f59-42b7-bfd4-3f1eeb8c489b</t>
  </si>
  <si>
    <t>b1a5fc91-b829-4da1-913b-f3ac3e8237f1</t>
  </si>
  <si>
    <t>c8214578-e71d-3b85-b202-10b4a37ee6fb</t>
  </si>
  <si>
    <t>28-12-2025</t>
  </si>
  <si>
    <t>GJ2501039073</t>
  </si>
  <si>
    <t>6000014773</t>
  </si>
  <si>
    <t>b461fe92-c9d7-474b-a7a0-a24ca174090b</t>
  </si>
  <si>
    <t>b6b68089-eb0f-4947-9709-900e7f0c2b5f</t>
  </si>
  <si>
    <t>c9c58561-c400-355b-a9bb-b0b973defd84</t>
  </si>
  <si>
    <t>GJ2501003840</t>
  </si>
  <si>
    <t>6000001515</t>
  </si>
  <si>
    <t>-20735</t>
  </si>
  <si>
    <t>-17572.02</t>
  </si>
  <si>
    <t>9ca4b5ea-bea3-463d-a50c-8b32208eb089</t>
  </si>
  <si>
    <t>17ccad7b-dc1b-4889-b3d9-f99186799596</t>
  </si>
  <si>
    <t>c9e17340-60a5-3f13-bb4d-e24fad13ca50</t>
  </si>
  <si>
    <t>20250915-SUM10</t>
  </si>
  <si>
    <t>49847.97</t>
  </si>
  <si>
    <t>42244.05</t>
  </si>
  <si>
    <t>e3915ec0-5045-4ad3-b8bc-328601877171</t>
  </si>
  <si>
    <t>57168797-2899-45d0-86bb-50f95ef2c719</t>
  </si>
  <si>
    <t>20250915-SUM11</t>
  </si>
  <si>
    <t>70792.53</t>
  </si>
  <si>
    <t>59993.65</t>
  </si>
  <si>
    <t>910be9db-dcb9-4480-9098-f9cad4cabdad</t>
  </si>
  <si>
    <t>29b85579-6faf-43f5-97c2-052d7795ce05</t>
  </si>
  <si>
    <t>c9ecc749-acff-32ad-80b7-5c45cad4fcd1</t>
  </si>
  <si>
    <t>GJ2501042729</t>
  </si>
  <si>
    <t>6000016633</t>
  </si>
  <si>
    <t>-14242.29</t>
  </si>
  <si>
    <t>-12069.73</t>
  </si>
  <si>
    <t>f84ec889-cb07-4d1b-979e-14cbfe980650</t>
  </si>
  <si>
    <t>46b086e5-cba1-4d27-b5f8-70900df22036</t>
  </si>
  <si>
    <t>c9fb572a-5088-387d-afdb-1a485f828c99</t>
  </si>
  <si>
    <t>GJ2501040395</t>
  </si>
  <si>
    <t>6000015129</t>
  </si>
  <si>
    <t>d23cc472-5cc8-4f6a-8a8a-c006bb18abab</t>
  </si>
  <si>
    <t>612e1e0e-e368-487d-987f-3f10d41108d0</t>
  </si>
  <si>
    <t>ca060e63-a1dd-3c81-bd4a-29fa0a7688ca</t>
  </si>
  <si>
    <t>7053058064</t>
  </si>
  <si>
    <t>20260210-SUM02</t>
  </si>
  <si>
    <t>31626.240000000002</t>
  </si>
  <si>
    <t>26801.9</t>
  </si>
  <si>
    <t>96782560-67bd-41d3-a86f-770375607d24</t>
  </si>
  <si>
    <t>36342bec-6d8c-4067-9157-31f6f78200d5</t>
  </si>
  <si>
    <t>ca149dc5-e82b-3d0f-abe1-b79e3a822828</t>
  </si>
  <si>
    <t>GJ2501050958</t>
  </si>
  <si>
    <t>7053000189</t>
  </si>
  <si>
    <t>6000018826</t>
  </si>
  <si>
    <t>-23845.3</t>
  </si>
  <si>
    <t>-20207.88</t>
  </si>
  <si>
    <t>14-03-2026</t>
  </si>
  <si>
    <t>93bec6c0-b86d-4764-916b-cc2606a017b1</t>
  </si>
  <si>
    <t>2a17b063-4f6f-480e-905d-a75f2874026c</t>
  </si>
  <si>
    <t>ccc47501-6c15-4e88-afa6-79454c52a951</t>
  </si>
  <si>
    <t>20250707-SUM01</t>
  </si>
  <si>
    <t>82521.42</t>
  </si>
  <si>
    <t>69933.42</t>
  </si>
  <si>
    <t>00b89637-1e48-464e-9971-b610a07fe99a</t>
  </si>
  <si>
    <t>a3a61a0c-7d95-4fdf-bbcf-60d3968bb2d9</t>
  </si>
  <si>
    <t>cd4318c5-a6dc-34dd-b4d1-34e82bfe08dd</t>
  </si>
  <si>
    <t>22-09-2025</t>
  </si>
  <si>
    <t>GJ2501025320</t>
  </si>
  <si>
    <t>6000009584</t>
  </si>
  <si>
    <t>ce9fe963-fbe0-4102-a3b2-6f3a53486386</t>
  </si>
  <si>
    <t>733a3612-5136-4c91-91df-c28de74b0449</t>
  </si>
  <si>
    <t>ce37194d-3474-3be8-8c3b-a26cd5da9555</t>
  </si>
  <si>
    <t>06-05-2025</t>
  </si>
  <si>
    <t>GJ2501004694</t>
  </si>
  <si>
    <t>6000002359</t>
  </si>
  <si>
    <t>-17593</t>
  </si>
  <si>
    <t>-14909.26</t>
  </si>
  <si>
    <t>d727fe7d-0457-4ed7-a204-c12d6e137a6b</t>
  </si>
  <si>
    <t>9254c8cc-35db-45d9-9ee0-41b83aea6e9c</t>
  </si>
  <si>
    <t>ceb72eb5-2b00-37f6-9dd0-4536e5abadaa</t>
  </si>
  <si>
    <t>GJ2501030116</t>
  </si>
  <si>
    <t>7053040497</t>
  </si>
  <si>
    <t>6000010851</t>
  </si>
  <si>
    <t>66cf8e1d-a58e-4c6b-8007-020e745bf268</t>
  </si>
  <si>
    <t>3c4fbaf4-0613-4528-a49d-a4f82936b673</t>
  </si>
  <si>
    <t>cf7b3905-9f6e-3817-8955-7cf3aac6b95d</t>
  </si>
  <si>
    <t>20260209-SUM01</t>
  </si>
  <si>
    <t>30160.13</t>
  </si>
  <si>
    <t>25559.43</t>
  </si>
  <si>
    <t>85a1e38a-636e-4833-9f45-2f32a4f51dda</t>
  </si>
  <si>
    <t>dd702874-5c09-44f9-8db6-c677d2114c9a</t>
  </si>
  <si>
    <t>d0f043c3-d5c5-3046-934d-b5f708e31ccb</t>
  </si>
  <si>
    <t>GJ2501042578</t>
  </si>
  <si>
    <t>6000015838</t>
  </si>
  <si>
    <t>de7c8e06-2e41-4b8f-8c09-82f2e46a5487</t>
  </si>
  <si>
    <t>6bfed61a-e544-47c4-9188-fcda85908944</t>
  </si>
  <si>
    <t>d15bcfc6-c694-398c-b13f-35639d7641ae</t>
  </si>
  <si>
    <t>30-05-2025</t>
  </si>
  <si>
    <t>GJ2501008179</t>
  </si>
  <si>
    <t>6000002920</t>
  </si>
  <si>
    <t>c3e5ed8d-c7a3-445e-b008-17a9cfafe890</t>
  </si>
  <si>
    <t>a590738f-6a97-44b8-83dd-3cce7672ffa5</t>
  </si>
  <si>
    <t>d25c632f-88ea-36b9-b5f8-2af79793bc09</t>
  </si>
  <si>
    <t>20251114-SUM10</t>
  </si>
  <si>
    <t>e1fe23a7-789c-4109-85d8-8f9814324f44</t>
  </si>
  <si>
    <t>263222aa-e691-4f56-bab2-250f45670f1e</t>
  </si>
  <si>
    <t>d25f1073-1f1c-374d-8329-0d17f3857157</t>
  </si>
  <si>
    <t>GJ2501008018</t>
  </si>
  <si>
    <t>6000002795</t>
  </si>
  <si>
    <t>f453da90-e3b7-4c0d-936f-3481c5293214</t>
  </si>
  <si>
    <t>06e0e672-43c3-46b9-bef2-8955ab2f6fbc</t>
  </si>
  <si>
    <t>d32111f5-e80a-3091-9ae1-5eff9d9b7249</t>
  </si>
  <si>
    <t>20-10-2025</t>
  </si>
  <si>
    <t>20251020-SUM10</t>
  </si>
  <si>
    <t>55503</t>
  </si>
  <si>
    <t>47036.44</t>
  </si>
  <si>
    <t>105b8064-c768-48f9-937a-50526aa5b47f</t>
  </si>
  <si>
    <t>155f2771-413a-4152-ba80-ba9ce52044f3</t>
  </si>
  <si>
    <t>d33eeb97-4899-39b1-bcb0-960e121f42df</t>
  </si>
  <si>
    <t>20250731-SUM10</t>
  </si>
  <si>
    <t>68069.009999999995</t>
  </si>
  <si>
    <t>57685.49</t>
  </si>
  <si>
    <t>a5dd54b4-a96e-4e47-aab9-6690ae12c20f</t>
  </si>
  <si>
    <t>7884121e-0719-49b3-8414-3a5f5db52767</t>
  </si>
  <si>
    <t>d41fa7dc-11ad-3efc-a046-b5d612695cc2</t>
  </si>
  <si>
    <t>14-04-2025</t>
  </si>
  <si>
    <t>7053001842</t>
  </si>
  <si>
    <t>20250414-SUM02</t>
  </si>
  <si>
    <t>10262.030000000001</t>
  </si>
  <si>
    <t>8696.51</t>
  </si>
  <si>
    <t>3250c14d-b079-4d12-89c9-8cebaab962b2</t>
  </si>
  <si>
    <t>bf427bac-fec4-43b7-998e-a82770f65a02</t>
  </si>
  <si>
    <t>d5a2abb2-b798-3987-84d8-f864ed7e0532</t>
  </si>
  <si>
    <t>22-05-2025</t>
  </si>
  <si>
    <t>GJ2501007068</t>
  </si>
  <si>
    <t>6000002452</t>
  </si>
  <si>
    <t>d8d64bcb-d60c-40b6-b26e-00bbefa80d90</t>
  </si>
  <si>
    <t>c062c827-f523-4399-a3de-fc5e13a37267</t>
  </si>
  <si>
    <t>d608b8a3-e873-3272-837f-cfdcd45e3962</t>
  </si>
  <si>
    <t>25-08-2025</t>
  </si>
  <si>
    <t>GJ2501020795</t>
  </si>
  <si>
    <t>6000008241</t>
  </si>
  <si>
    <t>GJ20252010P1187</t>
  </si>
  <si>
    <t>539eba31-6329-49f5-8ba8-7c8cbd8e6423</t>
  </si>
  <si>
    <t>20a21d69-c290-4c27-aade-0c3a3fcd4b47</t>
  </si>
  <si>
    <t>d6abccce-cf1b-3097-b5e6-1f4af9653720</t>
  </si>
  <si>
    <t>12-09-2025</t>
  </si>
  <si>
    <t>GJ2501023476</t>
  </si>
  <si>
    <t>6000009282</t>
  </si>
  <si>
    <t>f4abd627-eea6-420b-b855-fd8f56fb83b1</t>
  </si>
  <si>
    <t>649f16af-7616-4ea0-9921-5f5d9cbbf816</t>
  </si>
  <si>
    <t>d70dccbe-b350-4c87-861a-aa2113e54028</t>
  </si>
  <si>
    <t>20251014-SUM11</t>
  </si>
  <si>
    <t>33930.129999999997</t>
  </si>
  <si>
    <t>28754.35</t>
  </si>
  <si>
    <t>44c129dc-086f-4d65-be56-b77c4c87cea9</t>
  </si>
  <si>
    <t>c19f037e-e7f8-41cd-a1df-81288236f852</t>
  </si>
  <si>
    <t>d79a54be-6e13-3f9a-a54b-999f58db7c15</t>
  </si>
  <si>
    <t>GJ2501005890</t>
  </si>
  <si>
    <t>6000002369</t>
  </si>
  <si>
    <t>c416aa08-ce2e-4212-b23d-cf97a2b188b2</t>
  </si>
  <si>
    <t>76c34632-d06d-4520-83d8-6e08421da543</t>
  </si>
  <si>
    <t>da07edea-e6af-312f-b7fb-9355f07065e5</t>
  </si>
  <si>
    <t>GJ2501028409</t>
  </si>
  <si>
    <t>6000010465</t>
  </si>
  <si>
    <t>-12566.72</t>
  </si>
  <si>
    <t>-10649.76</t>
  </si>
  <si>
    <t>f701b4c1-d26e-4597-888e-21e2627808d4</t>
  </si>
  <si>
    <t>83e751b3-f4a6-464c-86d8-3002bd2175ee</t>
  </si>
  <si>
    <t>da2f9a1e-d139-32b2-9334-f7ed0992b1fe</t>
  </si>
  <si>
    <t>GJ2501011781</t>
  </si>
  <si>
    <t>6000004470</t>
  </si>
  <si>
    <t>9a631736-9a6b-4eab-9d26-b63276a02f44</t>
  </si>
  <si>
    <t>158782ac-7fdf-4d79-ae6d-b69b241f63ff</t>
  </si>
  <si>
    <t>da8657e1-964d-32d8-9300-64be2eda94a1</t>
  </si>
  <si>
    <t>20251217-SUM10</t>
  </si>
  <si>
    <t>3cb7be29-d525-42e8-a883-b258d07e9d9d</t>
  </si>
  <si>
    <t>938e41d7-840f-4827-9db2-ee70d8468e23</t>
  </si>
  <si>
    <t>dca35af8-dac5-39dd-937c-8e6538bb671a</t>
  </si>
  <si>
    <t>GJ2501015017</t>
  </si>
  <si>
    <t>6000005462</t>
  </si>
  <si>
    <t>GJ20252010P904</t>
  </si>
  <si>
    <t>-9634</t>
  </si>
  <si>
    <t>-8164.34</t>
  </si>
  <si>
    <t>aaae3388-eb22-4727-a534-22fc994701df</t>
  </si>
  <si>
    <t>20837353-19d9-49e6-9553-0e460d3263b6</t>
  </si>
  <si>
    <t>de1ae23b-07e3-3976-be29-2a4167fb452c</t>
  </si>
  <si>
    <t>GJ2501010892</t>
  </si>
  <si>
    <t>6000003820</t>
  </si>
  <si>
    <t>3acf4ed6-9413-4f2c-b661-4cb2751a4734</t>
  </si>
  <si>
    <t>c0349309-b0bc-4249-a5a9-50d92ade7add</t>
  </si>
  <si>
    <t>defd3a0a-203e-33e6-8300-5cb5540dc70f</t>
  </si>
  <si>
    <t>04-07-2025</t>
  </si>
  <si>
    <t>GJ2501013254</t>
  </si>
  <si>
    <t>6000004880</t>
  </si>
  <si>
    <t>c6ab23d6-fb39-4aff-94d7-83366b63aebd</t>
  </si>
  <si>
    <t>c9fe3fc9-251e-470f-91c1-07a98b3266f7</t>
  </si>
  <si>
    <t>df0360bd-2e8b-3aad-a601-239a8f50bc75</t>
  </si>
  <si>
    <t>7053040251</t>
  </si>
  <si>
    <t>20251113-SUM10</t>
  </si>
  <si>
    <t>27692fde-c118-4790-8af3-d1b1e5240126</t>
  </si>
  <si>
    <t>80972c7b-d5d1-403a-8411-411312791743</t>
  </si>
  <si>
    <t>df90f2cf-7853-3904-91cf-803778dab895</t>
  </si>
  <si>
    <t>25-03-2026</t>
  </si>
  <si>
    <t>GJ2501052861</t>
  </si>
  <si>
    <t>7053001652</t>
  </si>
  <si>
    <t>6000019283</t>
  </si>
  <si>
    <t>-33055.379999999997</t>
  </si>
  <si>
    <t>-28013.040000000001</t>
  </si>
  <si>
    <t>8672feab-6e28-4640-bd8d-638dbe50e6e7</t>
  </si>
  <si>
    <t>a70edfa6-cf5c-4e16-8d52-cb02fc05abdc</t>
  </si>
  <si>
    <t>dfcd15ba-5d27-4daf-91bd-98b09b7d40a7</t>
  </si>
  <si>
    <t>20251202-SUM01</t>
  </si>
  <si>
    <t>b44b8c94-d66b-4733-9299-66215d4b2fbd</t>
  </si>
  <si>
    <t>ca4d0eec-ae52-496e-8f53-7027a1cfa660</t>
  </si>
  <si>
    <t>e0e1ac83-d615-33e7-844d-fb3e93b19c25</t>
  </si>
  <si>
    <t>GJ2501022311</t>
  </si>
  <si>
    <t>6000008457</t>
  </si>
  <si>
    <t>e7dceee4-da80-4acc-9de3-1236ff1a2e89</t>
  </si>
  <si>
    <t>e89deb66-9f4f-4ba0-9ed2-7292dcdfb093</t>
  </si>
  <si>
    <t>e108643f-3fad-379e-b4b4-c06ea17390a7</t>
  </si>
  <si>
    <t>GJ2501042251</t>
  </si>
  <si>
    <t>18-01-2026</t>
  </si>
  <si>
    <t>6000015699</t>
  </si>
  <si>
    <t>57f868ff-1e39-4c6c-a51e-23384dc64446</t>
  </si>
  <si>
    <t>1d1c64d9-f561-4d82-aad9-d48d5a82c3d8</t>
  </si>
  <si>
    <t>e1ee8629-ac50-3b80-8305-8d3c66141bb9</t>
  </si>
  <si>
    <t>GJ2501044936</t>
  </si>
  <si>
    <t>Liquid nitrogen for escalation</t>
  </si>
  <si>
    <t>6008038398</t>
  </si>
  <si>
    <t>d0b8831f-e0f8-4e73-881b-0abc513c5ebf</t>
  </si>
  <si>
    <t>dc9df593-2fa4-4e1c-9729-9c4d7dd5c1f3</t>
  </si>
  <si>
    <t>e34931af-75b7-3d60-95d1-630e151a1c42</t>
  </si>
  <si>
    <t>26-07-2025</t>
  </si>
  <si>
    <t>GJ2501016602</t>
  </si>
  <si>
    <t>6000006310</t>
  </si>
  <si>
    <t>da6891f1-8ced-4e32-8344-04517b400122</t>
  </si>
  <si>
    <t>2c825c26-355e-4fb1-8b17-1826506c0a19</t>
  </si>
  <si>
    <t>e4af4460-fe95-3dbb-b814-d3f5b88bc4d6</t>
  </si>
  <si>
    <t>01-05-2025</t>
  </si>
  <si>
    <t>GJ2501004125</t>
  </si>
  <si>
    <t>6000001517</t>
  </si>
  <si>
    <t>-19060</t>
  </si>
  <si>
    <t>-16152.62</t>
  </si>
  <si>
    <t>034e0391-4ad4-48fa-b08c-4ffbe2763903</t>
  </si>
  <si>
    <t>de1d6036-214a-4fcc-83ab-81974e6c65f9</t>
  </si>
  <si>
    <t>e4b16451-d508-3614-a6b5-bb04a564e15b</t>
  </si>
  <si>
    <t>20250602-SUM02</t>
  </si>
  <si>
    <t>184de0ed-c201-4f1e-bde8-8790c74861a4</t>
  </si>
  <si>
    <t>b1f369a8-7854-42b6-94fa-102669975cd7</t>
  </si>
  <si>
    <t>e559301f-6fa1-39ea-a87c-78798c0ed2d4</t>
  </si>
  <si>
    <t>GJ2501036355</t>
  </si>
  <si>
    <t>6000013546</t>
  </si>
  <si>
    <t>ac38f5f3-4af9-49a6-aab9-fe868530c287</t>
  </si>
  <si>
    <t>9f0ba0b9-b591-453c-9af7-fab08226b802</t>
  </si>
  <si>
    <t>e61b031a-88e6-3246-88bf-740c68c7d3ac</t>
  </si>
  <si>
    <t>GJ2501028229</t>
  </si>
  <si>
    <t>6000010315</t>
  </si>
  <si>
    <t>57c8d91d-1b4d-436e-b30c-9e0b6f53545e</t>
  </si>
  <si>
    <t>21eef7b6-d5e8-4d7e-add6-5b60f1155196</t>
  </si>
  <si>
    <t>e6421b9e-7afa-44d3-a110-38e09999f104</t>
  </si>
  <si>
    <t>20250611-SUM03</t>
  </si>
  <si>
    <t>dff6119f-400f-4a6a-b20a-d2a9440eab29</t>
  </si>
  <si>
    <t>1bc989be-a34e-4008-ac77-42fb424027c4</t>
  </si>
  <si>
    <t>e8d25d0a-54e8-38fc-a90a-d2174fd7b709</t>
  </si>
  <si>
    <t>24-01-2026</t>
  </si>
  <si>
    <t>GJ2501043251</t>
  </si>
  <si>
    <t>6000016111</t>
  </si>
  <si>
    <t>10e1972e-2b41-4b4d-a49a-6ee69cc4f102</t>
  </si>
  <si>
    <t>b8ff6602-6024-4345-8a6a-72648b8be569</t>
  </si>
  <si>
    <t>e903d5c3-94dc-39b9-9701-66984d64c61f</t>
  </si>
  <si>
    <t>GJ2501004995</t>
  </si>
  <si>
    <t>6000002362</t>
  </si>
  <si>
    <t>-17174</t>
  </si>
  <si>
    <t>-14554.16</t>
  </si>
  <si>
    <t>7427a456-3188-411b-a059-079db9b02fb9</t>
  </si>
  <si>
    <t>786f4643-3f12-467e-bcbf-b5f1629fe8bf</t>
  </si>
  <si>
    <t>e915cca3-d016-3f69-b1ff-8895bef69224</t>
  </si>
  <si>
    <t>GJ2501021460</t>
  </si>
  <si>
    <t>6000008253</t>
  </si>
  <si>
    <t>GJ20252010P1227</t>
  </si>
  <si>
    <t>f2c1dddd-6cd6-4316-8b80-99b3cf9e4d80</t>
  </si>
  <si>
    <t>f763b25b-2705-4415-ba25-fe08ea06b491</t>
  </si>
  <si>
    <t>e9366ab5-6f7f-3ae5-8f8b-5a78e12b8ad0</t>
  </si>
  <si>
    <t>GJ2501039353</t>
  </si>
  <si>
    <t>30-12-2025</t>
  </si>
  <si>
    <t>6000014928</t>
  </si>
  <si>
    <t>2c198ecd-4da5-4e41-b2e0-1195d8b44afa</t>
  </si>
  <si>
    <t>a034260e-edf0-4c02-a6e0-6c3ea2bf4111</t>
  </si>
  <si>
    <t>e9415d1a-cbd6-3be4-8bf0-91172cb5ed71</t>
  </si>
  <si>
    <t>GJ2502003741</t>
  </si>
  <si>
    <t>Nitrogen charge for Jan 2026</t>
  </si>
  <si>
    <t>6008034717</t>
  </si>
  <si>
    <t>f55a6231-65ba-45bf-a6c0-e6c5e6e351ae</t>
  </si>
  <si>
    <t>a3225c20-426c-4c87-b21b-3281eea22c89</t>
  </si>
  <si>
    <t>ea7eac59-f8ee-3108-a85b-ab0c20432769</t>
  </si>
  <si>
    <t>20251222-SUM10</t>
  </si>
  <si>
    <t>28903</t>
  </si>
  <si>
    <t>24494</t>
  </si>
  <si>
    <t>5fa2c7cf-8ba9-49b4-bba5-0d7f0b255d23</t>
  </si>
  <si>
    <t>35a814c7-fd04-4d74-a426-5c338cd746e5</t>
  </si>
  <si>
    <t>eac51567-07e7-3eec-b603-220bc4d2bb24</t>
  </si>
  <si>
    <t>17-06-2025</t>
  </si>
  <si>
    <t>20250617-SUM05</t>
  </si>
  <si>
    <t>e7fc01aa-d24f-489c-8a6d-e33f4d966493</t>
  </si>
  <si>
    <t>c0aa53c0-bb52-4dc8-bcae-aa602bfbb5b0</t>
  </si>
  <si>
    <t>ed3b932d-b6d6-332b-a452-c6f82aac32f6</t>
  </si>
  <si>
    <t>GJ2501037614</t>
  </si>
  <si>
    <t>6000013940</t>
  </si>
  <si>
    <t>51b2addb-d127-4d36-8e98-8c77f62a3009</t>
  </si>
  <si>
    <t>cfe98b28-5f6f-4f48-acdd-c99c902de0e0</t>
  </si>
  <si>
    <t>ed3dab03-3d43-3d4a-be3b-58d4e8de5034</t>
  </si>
  <si>
    <t>GJ2501024059</t>
  </si>
  <si>
    <t>6000010239</t>
  </si>
  <si>
    <t>b2ffcdec-8429-4bfd-95a7-f8bdcb55ff54</t>
  </si>
  <si>
    <t>2d133dcf-986b-4c4e-b373-1f29b8236fbc</t>
  </si>
  <si>
    <t>ef739c6f-bc74-358d-b405-499f1bb75c8d</t>
  </si>
  <si>
    <t>GJ2501024881</t>
  </si>
  <si>
    <t>21-09-2025</t>
  </si>
  <si>
    <t>6000009578</t>
  </si>
  <si>
    <t>EP20</t>
  </si>
  <si>
    <t>6ceddc98-4e25-441e-90d1-0e94973a89e3</t>
  </si>
  <si>
    <t>2f8d25ca-fa7e-480a-9037-b97cd20732a4</t>
  </si>
  <si>
    <t>efe49972-94ba-3d7a-8a22-31a7a98dc7f3</t>
  </si>
  <si>
    <t>GJ2501039511</t>
  </si>
  <si>
    <t>6000014929</t>
  </si>
  <si>
    <t>b9ebff25-b8ed-4c2b-ae00-1bbcfd3c08fc</t>
  </si>
  <si>
    <t>7e3afbbb-0e67-406a-ab02-e6e546eea1f9</t>
  </si>
  <si>
    <t>f01524d6-e764-31f7-8baf-c300bb74cff3</t>
  </si>
  <si>
    <t>GJ2501015321</t>
  </si>
  <si>
    <t>6000005674</t>
  </si>
  <si>
    <t>-12776</t>
  </si>
  <si>
    <t>-10827.1</t>
  </si>
  <si>
    <t>11f93d4a-1f3e-48fe-87e3-509fbd442755</t>
  </si>
  <si>
    <t>280ebc78-4c2e-4064-a4fb-6b0d8cdb0c55</t>
  </si>
  <si>
    <t>f2609882-01d3-4ec8-aa12-d6dd35aa8191</t>
  </si>
  <si>
    <t>GJ2501046561R</t>
  </si>
  <si>
    <t>14-02-2026</t>
  </si>
  <si>
    <t>GJ2501046561</t>
  </si>
  <si>
    <t>6000017132</t>
  </si>
  <si>
    <t>-34443.199999999997</t>
  </si>
  <si>
    <t>-29189.16</t>
  </si>
  <si>
    <t>acce5365-c152-4768-a5b3-6a326f6ce707</t>
  </si>
  <si>
    <t>cba30c52-4469-4efb-bb1b-9a7784179fcc</t>
  </si>
  <si>
    <t>f30411b2-cd0d-345f-98c9-e3e9caea11c9</t>
  </si>
  <si>
    <t>05-03-2026</t>
  </si>
  <si>
    <t>GJ2501049635</t>
  </si>
  <si>
    <t>6000018762</t>
  </si>
  <si>
    <t>-38859</t>
  </si>
  <si>
    <t>-32931.360000000001</t>
  </si>
  <si>
    <t>06-03-2026</t>
  </si>
  <si>
    <t>809ad408-ad7c-4752-9a12-2bc4d0b54c1f</t>
  </si>
  <si>
    <t>a2c6d56a-15fb-425b-96da-f8fdf5ac558d</t>
  </si>
  <si>
    <t>f4b0e6d3-35a4-3fc4-9d2b-d637a12a7888</t>
  </si>
  <si>
    <t>GJ2501036216</t>
  </si>
  <si>
    <t>6000013536</t>
  </si>
  <si>
    <t>74772e96-8b58-4c5f-ad13-e4ef180a7529</t>
  </si>
  <si>
    <t>53becb48-4855-45ff-90b8-89437ee7d394</t>
  </si>
  <si>
    <t>f5c5e5c6-00aa-4be3-b2ea-16c7ca1aa4fa</t>
  </si>
  <si>
    <t>20250724-SUM10</t>
  </si>
  <si>
    <t>57806.85</t>
  </si>
  <si>
    <t>48988.85</t>
  </si>
  <si>
    <t>a357f8cc-afe0-408b-ac8a-31f497825420</t>
  </si>
  <si>
    <t>7574295b-449c-4439-9462-635d7714aa41</t>
  </si>
  <si>
    <t>f60b5e4b-2424-37d0-8da1-30f693698492</t>
  </si>
  <si>
    <t>GJ2501009143</t>
  </si>
  <si>
    <t>6000003299</t>
  </si>
  <si>
    <t>-17383</t>
  </si>
  <si>
    <t>-14731.2</t>
  </si>
  <si>
    <t>dfe12837-0169-4e82-a3e5-f50f10b94aa6</t>
  </si>
  <si>
    <t>33e4dd5f-b9fa-489e-bc7c-cf3b223bb8de</t>
  </si>
  <si>
    <t>f644944b-f934-31c3-b7cb-4f7a6df845b8</t>
  </si>
  <si>
    <t>20250610-SUM02</t>
  </si>
  <si>
    <t>484e9cae-b92c-4bb0-aec5-441f163f5cb6</t>
  </si>
  <si>
    <t>e998386e-eece-4275-8af9-fc74e7138804</t>
  </si>
  <si>
    <t>f7c44b56-c9b0-3a55-baf4-c3b941dcbdff</t>
  </si>
  <si>
    <t>08-11-2025</t>
  </si>
  <si>
    <t>GJ2501031500</t>
  </si>
  <si>
    <t>09-11-2025</t>
  </si>
  <si>
    <t>6000011370</t>
  </si>
  <si>
    <t>4cfbcd4e-1237-4f98-b79d-61ce3448d454</t>
  </si>
  <si>
    <t>947e4fb2-bdcf-489b-9423-9299957b5967</t>
  </si>
  <si>
    <t>f814afaa-0f0e-3046-89a5-20af9be2ce37</t>
  </si>
  <si>
    <t>GJ2501031322</t>
  </si>
  <si>
    <t>6000011371</t>
  </si>
  <si>
    <t>a314e215-363b-4957-815c-b7bdc6dc467d</t>
  </si>
  <si>
    <t>6b5578b4-510a-4020-a6b8-e41a829ccdc9</t>
  </si>
  <si>
    <t>f81b475f-0808-3e7d-b884-52fc5251ffe3</t>
  </si>
  <si>
    <t>19-08-2025</t>
  </si>
  <si>
    <t>GJ2501019850</t>
  </si>
  <si>
    <t>6000007815</t>
  </si>
  <si>
    <t>319956a0-9d42-45ce-87dc-6f2057f898c6</t>
  </si>
  <si>
    <t>a51eb35c-dedf-41ae-a50e-3da4551b6225</t>
  </si>
  <si>
    <t>f9371f91-9c07-33fa-94be-ff06c1eac769</t>
  </si>
  <si>
    <t>GJ2501029852</t>
  </si>
  <si>
    <t>6000010773</t>
  </si>
  <si>
    <t>a1b9935d-48fd-4e62-833e-10f93f87a9e0</t>
  </si>
  <si>
    <t>3177590b-9d11-4ae9-a551-edbe70a33c43</t>
  </si>
  <si>
    <t>f98ce122-b6af-3cfe-b90e-4d365299a9a7</t>
  </si>
  <si>
    <t>GJ2501035426</t>
  </si>
  <si>
    <t>6000013515</t>
  </si>
  <si>
    <t>59ef345c-f3cf-4896-9819-94201b04d668</t>
  </si>
  <si>
    <t>8edc9313-2c9c-4b4e-84de-733d7588fb8f</t>
  </si>
  <si>
    <t>fa44a8f6-2413-3c72-8c92-0f4d2e2a75bd</t>
  </si>
  <si>
    <t>21-10-2025</t>
  </si>
  <si>
    <t>GJ2501029014</t>
  </si>
  <si>
    <t>6000010612</t>
  </si>
  <si>
    <t>b66090e4-04bf-4cdd-b41c-9abf36e6e7a8</t>
  </si>
  <si>
    <t>8368575a-5daa-47c2-86f3-1a08100e5be6</t>
  </si>
  <si>
    <t>fa86f0ad-2067-369b-baa8-c3b84a39a8cf</t>
  </si>
  <si>
    <t>31-08-2025</t>
  </si>
  <si>
    <t>GJ2501021738</t>
  </si>
  <si>
    <t>6000008258</t>
  </si>
  <si>
    <t>a895a6da-c83b-481a-82bb-c29b2a19c188</t>
  </si>
  <si>
    <t>f6ead645-2be5-4eff-b1dd-d9753e3cf569</t>
  </si>
  <si>
    <t>fb1bd56e-ec04-30db-b6fb-35aebd0e8d7a</t>
  </si>
  <si>
    <t>GJ2501003186</t>
  </si>
  <si>
    <t>6000001883</t>
  </si>
  <si>
    <t>1300f544-0b87-465d-911b-08993922bb60</t>
  </si>
  <si>
    <t>3a263d9b-eab1-4a1d-80d9-3978294bf2af</t>
  </si>
  <si>
    <t>fc6a1738-29b7-3f49-a86c-881e1cd9d8fd</t>
  </si>
  <si>
    <t>10-09-2025</t>
  </si>
  <si>
    <t>GJ2501023225</t>
  </si>
  <si>
    <t>6000009281</t>
  </si>
  <si>
    <t>084aa42c-9c92-4424-8025-899ddb8f3f7a</t>
  </si>
  <si>
    <t>8628fd38-04d1-4663-8faf-3c04577352ff</t>
  </si>
  <si>
    <t>fcd43021-6ecf-3ade-942f-71b115c6a9b8</t>
  </si>
  <si>
    <t>GJ2501013966</t>
  </si>
  <si>
    <t>6000005397</t>
  </si>
  <si>
    <t>-13195</t>
  </si>
  <si>
    <t>-11182.2</t>
  </si>
  <si>
    <t>b5274281-f361-46eb-8339-c9ab2b754ea4</t>
  </si>
  <si>
    <t>67893b82-4524-4c93-bc23-cb295cd0dc89</t>
  </si>
  <si>
    <t>fcf7cd93-455d-3a71-a50a-e81fbc305284</t>
  </si>
  <si>
    <t>GJ2501043078</t>
  </si>
  <si>
    <t>6000016095</t>
  </si>
  <si>
    <t>d4ae4463-b622-409f-8a9e-ec61ee1cb3ae</t>
  </si>
  <si>
    <t>16f02c90-edb7-4825-86c9-4e8372a51636</t>
  </si>
  <si>
    <t>fe608291-7448-3f39-91ac-140875e7915b</t>
  </si>
  <si>
    <t>23-08-2025</t>
  </si>
  <si>
    <t>GJ2501020519</t>
  </si>
  <si>
    <t>6000007878</t>
  </si>
  <si>
    <t>22-08-2025</t>
  </si>
  <si>
    <t>ab7fbd39-56ef-4039-9f9a-d9b77b47868a</t>
  </si>
  <si>
    <t>58239860-33be-44de-8f28-4974f9b6ee72</t>
  </si>
  <si>
    <t>fe7f393f-7f0a-4101-bf4e-b177e61c8037</t>
  </si>
  <si>
    <t>20251118-SUM11</t>
  </si>
  <si>
    <t>31206.73</t>
  </si>
  <si>
    <t>26446.29</t>
  </si>
  <si>
    <t>0e169a51-003c-445a-9cbc-cb884775b363</t>
  </si>
  <si>
    <t>bef03f9b-e98b-4026-a699-7e60de5798a9</t>
  </si>
  <si>
    <t>fe8273dd-9847-367a-9c23-abf7aa044dc4</t>
  </si>
  <si>
    <t>20250626-SUM02</t>
  </si>
  <si>
    <t>1a0c2bc1-e90f-440a-878a-c2b78bd00776</t>
  </si>
  <si>
    <t>876b2697-dc45-4ab3-8f2b-93c0fe1f0ac6</t>
  </si>
  <si>
    <t>fed595b6-bcc2-3932-9627-605abfc3422e</t>
  </si>
  <si>
    <t>GJ2501035577</t>
  </si>
  <si>
    <t>6000013518</t>
  </si>
  <si>
    <t>06e8d918-6fd4-40dd-b785-766331699462</t>
  </si>
  <si>
    <t>Closing Balance</t>
  </si>
  <si>
    <t>closingBalance</t>
  </si>
  <si>
    <t>CL</t>
  </si>
  <si>
    <t>152786.07999999993</t>
  </si>
  <si>
    <t>0e60d254-9756-4d77-888e-734e848126ef</t>
  </si>
  <si>
    <t>025449c3-df9c-453a-bcce-0faf179c274a</t>
  </si>
  <si>
    <t>clearing</t>
  </si>
  <si>
    <t>AB</t>
  </si>
  <si>
    <t>Pre-C-2.5-company</t>
  </si>
  <si>
    <t>7001083567</t>
  </si>
  <si>
    <t>10f3e866-90f8-47a5-a60a-c34d1ed1973c</t>
  </si>
  <si>
    <t>7001083565</t>
  </si>
  <si>
    <t>7001083558</t>
  </si>
  <si>
    <t>17174.509999999998</t>
  </si>
  <si>
    <t>14554.67</t>
  </si>
  <si>
    <t>1e2d0da4-ce9f-465c-a1aa-43671e1c94f3</t>
  </si>
  <si>
    <t>7001086811</t>
  </si>
  <si>
    <t>235e2d9d-0c3e-465a-bce7-c8540a216be3</t>
  </si>
  <si>
    <t>Unmatched</t>
  </si>
  <si>
    <t>debitNote</t>
  </si>
  <si>
    <t>KG</t>
  </si>
  <si>
    <t>Post-C-3.3-company</t>
  </si>
  <si>
    <t>7021002670</t>
  </si>
  <si>
    <t>7031002318</t>
  </si>
  <si>
    <t>GJ2501024670-Rev</t>
  </si>
  <si>
    <t>GJ2501024670-R</t>
  </si>
  <si>
    <t>I5</t>
  </si>
  <si>
    <t>25fee075-eeeb-4fe3-a817-60583d1a896c</t>
  </si>
  <si>
    <t>7e868e51-c9fc-4ae9-a60d-966fbed49dfe</t>
  </si>
  <si>
    <t>Clearing Entries Within tolerance</t>
  </si>
  <si>
    <t>GJ2501024670-RE</t>
  </si>
  <si>
    <t>Pre-C-4.1_INV-CNDN_A-company</t>
  </si>
  <si>
    <t>6000009613</t>
  </si>
  <si>
    <t>2de2fe64-9c5e-48e8-8b54-3f669259ceea</t>
  </si>
  <si>
    <t>6fccd6d8-a38c-4e41-889a-4292c058905a</t>
  </si>
  <si>
    <t>7001148728</t>
  </si>
  <si>
    <t>7043089322</t>
  </si>
  <si>
    <t>32fa55af-6080-4ef1-b009-26f2a1d53dd2</t>
  </si>
  <si>
    <t>f06e4fd3-0250-4d90-b08a-e770fe098772</t>
  </si>
  <si>
    <t>GJ2501046999R</t>
  </si>
  <si>
    <t>7001158611</t>
  </si>
  <si>
    <t>6000019156</t>
  </si>
  <si>
    <t>24-03-2026</t>
  </si>
  <si>
    <t>3727578b-28e8-45be-8f7a-24d858b81ac0</t>
  </si>
  <si>
    <t>d2af4b61-fe80-4df4-9dfb-bd8b5bb0524a</t>
  </si>
  <si>
    <t>11-10-2025</t>
  </si>
  <si>
    <t>GJ2501027881-R</t>
  </si>
  <si>
    <t>NITROGEN USP - NF / IH- Wrongly book</t>
  </si>
  <si>
    <t>Pre-C-4.3-company</t>
  </si>
  <si>
    <t>7001086808</t>
  </si>
  <si>
    <t>6000010280</t>
  </si>
  <si>
    <t>3776eb58-4244-4f24-8d97-57105f5a6437</t>
  </si>
  <si>
    <t>3c1415ce-fa61-47db-89e7-d05fe9a20e6d</t>
  </si>
  <si>
    <t>44b01827-6b99-4e2a-80f3-aadf4320a7e8</t>
  </si>
  <si>
    <t>4800ddc5-fcb3-415e-ace0-ba1d3acb62af</t>
  </si>
  <si>
    <t>30658.240000000002</t>
  </si>
  <si>
    <t>25981.56</t>
  </si>
  <si>
    <t>4b733996-46d5-41c0-a5e2-4f55eebdc2de</t>
  </si>
  <si>
    <t>4d7fae0f-498f-411a-ab19-6aad96e4e405</t>
  </si>
  <si>
    <t>56f256f5-bdbd-4638-b6dd-55c9ae893674</t>
  </si>
  <si>
    <t>21cd587c-a10e-4945-9554-ea80c12f047f</t>
  </si>
  <si>
    <t>7001148734</t>
  </si>
  <si>
    <t>7031005776</t>
  </si>
  <si>
    <t>GJ2501046561RE</t>
  </si>
  <si>
    <t>34443.199999999997</t>
  </si>
  <si>
    <t>29189.16</t>
  </si>
  <si>
    <t>5ec30e40-4eac-419c-a13d-62dd1a6e078d</t>
  </si>
  <si>
    <t>7031005773</t>
  </si>
  <si>
    <t>GJ2501043805RE</t>
  </si>
  <si>
    <t>688fd46d-bba8-478b-8dd9-b1f614eaf216</t>
  </si>
  <si>
    <t>7001058282</t>
  </si>
  <si>
    <t>11519</t>
  </si>
  <si>
    <t>9761.7800000000007</t>
  </si>
  <si>
    <t>6a07304d-3c12-497e-a88a-c8a99576145a</t>
  </si>
  <si>
    <t>6f26c118-1932-4228-8692-f9f4c2aff5eb</t>
  </si>
  <si>
    <t>journal</t>
  </si>
  <si>
    <t>KA</t>
  </si>
  <si>
    <t>Post-C-3.5-company</t>
  </si>
  <si>
    <t>71c8ea44-62ef-403c-9a1c-7f473dc47822</t>
  </si>
  <si>
    <t>7031006609</t>
  </si>
  <si>
    <t>GJ2501046999RE</t>
  </si>
  <si>
    <t>745c99f4-7d50-4ec3-839c-d65b540ff551</t>
  </si>
  <si>
    <t>7031002323</t>
  </si>
  <si>
    <t>75a88198-fb40-4b3a-910f-ea3ab7558dcf</t>
  </si>
  <si>
    <t>8adb68a2-5007-459a-abe7-7c7e5e9d9790</t>
  </si>
  <si>
    <t>99189e35-3e1d-4c48-82e4-62155b93cce7</t>
  </si>
  <si>
    <t>a11f562f-20d3-41d4-9d6a-9927de5c368c</t>
  </si>
  <si>
    <t>9089771d-3b69-458c-859e-6e3490603ab4</t>
  </si>
  <si>
    <t>GJ2501026881-R</t>
  </si>
  <si>
    <t>6000010001</t>
  </si>
  <si>
    <t>a3f29032-5130-4033-b41f-3df5c1e5d7ef</t>
  </si>
  <si>
    <t>GJ2501027881-RE</t>
  </si>
  <si>
    <t>6000010281</t>
  </si>
  <si>
    <t>a600bb17-01e0-45c2-ad2a-9905c28488a7</t>
  </si>
  <si>
    <t>a682189e-98a1-4c6c-acc6-a00a2799fae0</t>
  </si>
  <si>
    <t>d3b80bc0-e7fa-4929-8b2e-2eaa30974a7b</t>
  </si>
  <si>
    <t>f78b1f1d-fad4-4916-a5ee-d159df1340c5</t>
  </si>
  <si>
    <t>04-08-2025</t>
  </si>
  <si>
    <t>GJ2501018033-R</t>
  </si>
  <si>
    <t>6000007059</t>
  </si>
  <si>
    <t>d4710c39-13d5-40f3-892b-ddca243d757a</t>
  </si>
  <si>
    <t>6000007053</t>
  </si>
  <si>
    <t>d598f279-265e-40ed-b650-e6f6366992d7</t>
  </si>
  <si>
    <t>e82296b5-32b7-4d50-93e0-f31641da7050</t>
  </si>
  <si>
    <t>Opening Balance</t>
  </si>
  <si>
    <t>31-03-2025</t>
  </si>
  <si>
    <t>GJ2401049985</t>
  </si>
  <si>
    <t>Pre-C-1.1</t>
  </si>
  <si>
    <t>6000000428</t>
  </si>
  <si>
    <t>01-04-2025</t>
  </si>
  <si>
    <t>ed008d56-1c39-4b29-a13f-790cb666bca2</t>
  </si>
  <si>
    <t>7043089326</t>
  </si>
  <si>
    <t>ef937bdd-a24e-4dbe-85ae-70ef520c8972</t>
  </si>
  <si>
    <t>f55e98d5-7381-4d42-947b-94a1bd98e446</t>
  </si>
  <si>
    <t>GJ2501026881-RE</t>
  </si>
  <si>
    <t>6000010282</t>
  </si>
  <si>
    <t>f75ab2b5-71f3-42be-b2c4-cf7c4896a5dd</t>
  </si>
  <si>
    <t>openingBalance</t>
  </si>
  <si>
    <t>Op</t>
  </si>
  <si>
    <t>-121473.53</t>
  </si>
  <si>
    <t>142d3658-da48-4122-b8d5-eada1f618293</t>
  </si>
  <si>
    <t>Post-P-3.6-party</t>
  </si>
  <si>
    <t>28bd8318-88d5-4aeb-993c-3d2d05faae44</t>
  </si>
  <si>
    <t>3122328d-4e8f-4214-b6ed-1a5d29b5e118</t>
  </si>
  <si>
    <t>3169b1db-9463-45ca-97a4-c5f29e728e0c</t>
  </si>
  <si>
    <t>35d49a60-e57a-4c22-b647-7b09ecc744e9</t>
  </si>
  <si>
    <t>36a1e8bb-cb43-4030-b9bc-93be94971786</t>
  </si>
  <si>
    <t>3d2dc23b-f138-4fd3-a676-b3237aac80b3</t>
  </si>
  <si>
    <t>4e6a339d-98e1-45b0-a6c6-8c09b206b35d</t>
  </si>
  <si>
    <t>GJ2502004390</t>
  </si>
  <si>
    <t>Post-P-3.1-party</t>
  </si>
  <si>
    <t>5674eefc-00a5-4026-a3ba-c3e972e34ea4</t>
  </si>
  <si>
    <t>56eeb852-d9c2-4387-9040-6f9c8a5b670b</t>
  </si>
  <si>
    <t>5cb53763-5b47-46e2-8567-78087e6e67e6</t>
  </si>
  <si>
    <t>62292d65-5471-440c-b0ce-10489ac6d1fe</t>
  </si>
  <si>
    <t>64ebcfa4-0b87-40d1-81d7-f6c16de835ac</t>
  </si>
  <si>
    <t>6fa1fcf9-0960-4241-b267-fe742d36c610</t>
  </si>
  <si>
    <t>7a44f9d1-be29-4a3e-9782-fdb0cd6e60dc</t>
  </si>
  <si>
    <t>83367621-45ac-4bfa-a27d-253caf496027</t>
  </si>
  <si>
    <t>26-02-2026</t>
  </si>
  <si>
    <t>GJ2501048647</t>
  </si>
  <si>
    <t>88a423dc-a0d0-4096-8ab4-03f2daeb0061</t>
  </si>
  <si>
    <t>9420b795-bb86-4f11-9192-58449f7a6019</t>
  </si>
  <si>
    <t>9ceb7afe-dcef-43db-a0db-27ef4899e2e0</t>
  </si>
  <si>
    <t>a42c5058-e70f-4bc3-b3fd-efc128e7c0a3</t>
  </si>
  <si>
    <t>30-04-2025</t>
  </si>
  <si>
    <t>a534d7f0-5fe7-49de-b67b-9a74a4b0424f</t>
  </si>
  <si>
    <t>a75a50ae-b04c-480e-acff-81c0021f6738</t>
  </si>
  <si>
    <t>a8aa9a70-f657-4367-9f5b-f386f7f26a67</t>
  </si>
  <si>
    <t>ba74d7a3-874f-4458-820c-6eb261c11d3f</t>
  </si>
  <si>
    <t>bf7c2ef2-2b41-4243-aeb1-afe1f64865d5</t>
  </si>
  <si>
    <t>c16bef43-5c38-4654-bb55-9a209babe8ef</t>
  </si>
  <si>
    <t>d5fb8ad1-47a7-4ce2-963e-1fb6d6fe565e</t>
  </si>
  <si>
    <t>e1d7db5a-1fb6-4470-9917-f2baa95a690d</t>
  </si>
  <si>
    <t>f01066c3-f603-40bc-9f77-21791d3e3893</t>
  </si>
  <si>
    <t>f5fbf5ff-85d0-4195-8984-68ad1b83b9bb</t>
  </si>
  <si>
    <t>fc59460b-31bc-459d-b137-e0efea74f193</t>
  </si>
  <si>
    <t>97c93302-bd1d-4a36-8780-9ad0cace9028</t>
  </si>
  <si>
    <t>op</t>
  </si>
  <si>
    <t>ba6e4ffc-6419-49d3-af84-f6ec21d00e11</t>
  </si>
  <si>
    <t>05444b55-f170-4a18-ad36-24f0248b1ebf</t>
  </si>
  <si>
    <t>b1127b6c-9ebc-4778-9fbf-e92ccdeadead</t>
  </si>
  <si>
    <t>Pre-C-2.5_A-party</t>
  </si>
  <si>
    <t>0796d026-0402-413a-9301-cde53584fdb6</t>
  </si>
  <si>
    <t>4533fbb2-4143-4323-8a7d-4373f5657fa5</t>
  </si>
  <si>
    <t>0a0321c6-89f7-4c57-92de-8c4a76028ad3</t>
  </si>
  <si>
    <t>f005b7c9-4b76-4cb4-99ba-d36255f5622f</t>
  </si>
  <si>
    <t>0a81d059-bc80-4f29-a70b-678a8c49cc0f</t>
  </si>
  <si>
    <t>b5a9f204-b92c-4cd8-80fa-11ab7201ec58</t>
  </si>
  <si>
    <t>0c684ffc-6023-45f7-85f0-055ee52a6186</t>
  </si>
  <si>
    <t>70dac47e-b423-466c-8f46-117c51994a19</t>
  </si>
  <si>
    <t>0e2b51ec-62d9-4d6c-a760-1630824582c2</t>
  </si>
  <si>
    <t>a01ded7b-10cf-490e-b332-b7882fd57180</t>
  </si>
  <si>
    <t>0f740e2b-72c0-45b0-8130-cb72d131b4e2</t>
  </si>
  <si>
    <t>9d56db5b-e2aa-4182-b5fd-8c2c8726ecc8</t>
  </si>
  <si>
    <t>116a8323-5084-4c75-bad6-0a21ea27e2d5</t>
  </si>
  <si>
    <t>807e2086-af67-4462-b291-03d569963116</t>
  </si>
  <si>
    <t>118c9b94-a553-4c47-8f90-a31c088b763d</t>
  </si>
  <si>
    <t>84b1a3c1-3cab-42ed-844c-49b665fd3bb5</t>
  </si>
  <si>
    <t>149f09f4-c7a5-4d1b-b86f-e6ea6f42e7b6</t>
  </si>
  <si>
    <t>149ec380-fbd9-41fa-9eb6-c8ff903ad1d7</t>
  </si>
  <si>
    <t>15444b80-880c-4bfe-9453-bd2c96d68923</t>
  </si>
  <si>
    <t>f98a9ac6-5777-4d9f-8feb-7904cb1cc621</t>
  </si>
  <si>
    <t>17a5ef28-9953-409a-a6ed-1cdf37c6154f</t>
  </si>
  <si>
    <t>5a11d8eb-95aa-4227-bd6b-6d9f778d7f7f</t>
  </si>
  <si>
    <t>184ca2a4-f68a-45d2-88df-362cab45cae8</t>
  </si>
  <si>
    <t>b4876d7d-32da-4c2d-8b97-89018f31cac4</t>
  </si>
  <si>
    <t>1a6d541d-e405-48bf-bd71-63182e6282ae</t>
  </si>
  <si>
    <t>b2de2f6d-260c-44e2-9af8-09ba1e698786</t>
  </si>
  <si>
    <t>1b33cab4-0057-4d25-8ee1-a957c028bbf7</t>
  </si>
  <si>
    <t>1d50bebf-2587-41e4-87e0-522d83f06edd</t>
  </si>
  <si>
    <t>1fcfc845-212e-4e79-bbb4-3f5587588d4b</t>
  </si>
  <si>
    <t>1a6a0089-7afe-4b4c-8580-9420e7ed7d49</t>
  </si>
  <si>
    <t>20-06-2025</t>
  </si>
  <si>
    <t>207c331d-630c-42d1-b1e4-9d28f0e950d9</t>
  </si>
  <si>
    <t>2918bdfb-6092-4b54-8783-26740eed566b</t>
  </si>
  <si>
    <t>207cf4eb-c2aa-4c87-947a-9565bda46afa</t>
  </si>
  <si>
    <t>980b495e-9ee2-402d-b82a-86b60016ef60</t>
  </si>
  <si>
    <t>221f9fab-5799-46d6-b5f8-5c07f3ffcd61</t>
  </si>
  <si>
    <t>6198436a-eccb-41b8-a193-6da64685ba82</t>
  </si>
  <si>
    <t>23ec0c0f-90a6-4eb0-95df-ac6ef085830f</t>
  </si>
  <si>
    <t>240f9a90-4baf-443a-ae03-ba20b5d51d75</t>
  </si>
  <si>
    <t>10162f21-288c-48cb-91d5-edf930c57906</t>
  </si>
  <si>
    <t>25b1fee7-fab4-4022-9db8-1104f0efb8c0</t>
  </si>
  <si>
    <t>668f6036-0b75-410f-ae91-fad766c3105b</t>
  </si>
  <si>
    <t>270fadc2-2dd4-491d-a678-7a01a6309436</t>
  </si>
  <si>
    <t>1f264474-6827-4495-afa7-8f713c97bf9c</t>
  </si>
  <si>
    <t>15-04-2025</t>
  </si>
  <si>
    <t>277f44fa-0491-4464-a86e-fa1deb4df070</t>
  </si>
  <si>
    <t>ae867d04-fbab-4d25-b5a4-969e5ffd6f0c</t>
  </si>
  <si>
    <t>27ade58e-2500-42e7-a86d-56d5a5b404e5</t>
  </si>
  <si>
    <t>47ead911-e592-4cb2-9068-eb74423df62b</t>
  </si>
  <si>
    <t>2bff043f-35aa-49c1-8583-05ff53561880</t>
  </si>
  <si>
    <t>2c065656-fad2-46f7-98e8-29ef02d44e77</t>
  </si>
  <si>
    <t>85a5bfe5-9156-4f59-bbd0-0fcb7c546a7e</t>
  </si>
  <si>
    <t>2cca9b47-bc43-4ae0-990f-430c6e867310</t>
  </si>
  <si>
    <t>9d026677-c54f-429a-9266-f0e4d5241d73</t>
  </si>
  <si>
    <t>2d72b0cc-7cab-49d0-961b-b6c03c4fd2ce</t>
  </si>
  <si>
    <t>2638a380-d1d3-4269-b818-9ecfb64d4217</t>
  </si>
  <si>
    <t>2f6b4d52-d663-455a-8a7e-813872f903ac</t>
  </si>
  <si>
    <t>305abaf4-6251-43e2-aba4-5faef4feadf9</t>
  </si>
  <si>
    <t>14deb597-3df5-4d6e-8e72-fe2245cf5db3</t>
  </si>
  <si>
    <t>30830ff1-31d5-4a07-939d-7f7d808a80f7</t>
  </si>
  <si>
    <t>558c6bcf-926f-4540-8ecf-d62e0b000546</t>
  </si>
  <si>
    <t>31254809-bf4b-48e1-8f67-692ce497ada9</t>
  </si>
  <si>
    <t>31790972-8def-45f3-a2f8-a34e82f9c766</t>
  </si>
  <si>
    <t>56a1d50b-84b8-4755-96a9-47832d24499f</t>
  </si>
  <si>
    <t>321857bf-72d4-4706-a3d2-f86719ea09c1</t>
  </si>
  <si>
    <t>b2427d11-d79b-4840-a22d-fc0d3892fc60</t>
  </si>
  <si>
    <t>3232900a-af11-49fa-8903-81bfd9f6435a</t>
  </si>
  <si>
    <t>fc5865da-0db6-4713-ae9f-468c16508878</t>
  </si>
  <si>
    <t>32df89cc-dbcc-49c4-b5ca-419ed8128067</t>
  </si>
  <si>
    <t>3433f0f4-c8bd-4ec3-97da-f92c38bc744b</t>
  </si>
  <si>
    <t>ed43dde2-98f8-419a-8630-d11830b08a6f</t>
  </si>
  <si>
    <t>07-06-2025</t>
  </si>
  <si>
    <t>36326053-c222-4046-ba66-807ce4d7009a</t>
  </si>
  <si>
    <t>36de6b30-1514-46bb-92b3-4dace62096cf</t>
  </si>
  <si>
    <t>57bffc19-7116-4c4f-8932-46f68b563b7f</t>
  </si>
  <si>
    <t>382bdd7e-bad4-4652-aa5f-b93c66d91ba2</t>
  </si>
  <si>
    <t>81cf58ac-0128-4d26-86c3-f524360be36e</t>
  </si>
  <si>
    <t>387b9ee7-6b47-4c39-b946-6ce981bb33d0</t>
  </si>
  <si>
    <t>ee18ed4b-16e9-4014-9660-60e08e2078eb</t>
  </si>
  <si>
    <t>3a36b934-d2b6-4b88-a53b-d14f91067c57</t>
  </si>
  <si>
    <t>61672482-16b2-401b-923d-c44eb2d4b5ef</t>
  </si>
  <si>
    <t>3c3b2c4e-998b-457f-8d90-a5d724eb1af4</t>
  </si>
  <si>
    <t>92f023b3-cab7-4494-818d-fa22679b9ab7</t>
  </si>
  <si>
    <t>3d379609-d995-4c2c-8c85-8c410aa75cc0</t>
  </si>
  <si>
    <t>3e8f58aa-2154-48a6-b2c8-21ac85ee7453</t>
  </si>
  <si>
    <t>4f7a54b8-3518-417c-a84b-f606614ed9a9</t>
  </si>
  <si>
    <t>406e677c-a79f-4256-9c64-50fed929fbdb</t>
  </si>
  <si>
    <t>17c21bb2-64b9-4f0f-87fb-b24d56d328b2</t>
  </si>
  <si>
    <t>15-12-2025</t>
  </si>
  <si>
    <t>41c5ec98-2ef5-4dd4-996d-32ac2d0a6491</t>
  </si>
  <si>
    <t>4456d596-2129-441b-85a3-85a51295e7a5</t>
  </si>
  <si>
    <t>5f394fa1-a190-4856-873c-e21d265a0a95</t>
  </si>
  <si>
    <t>4560b515-468f-4a92-be50-56f3985051a6</t>
  </si>
  <si>
    <t>a4a540f8-2c47-432a-b990-517a4df891e6</t>
  </si>
  <si>
    <t>47830dd7-735b-47a9-aebc-61729467f5bd</t>
  </si>
  <si>
    <t>482f2fbb-25d1-4946-896d-a1e9c957659f</t>
  </si>
  <si>
    <t>2b28ef2f-f32d-4363-a0fa-6ff344d0dd45</t>
  </si>
  <si>
    <t>4d235db0-7048-4955-ac40-fb6ef5be17e4</t>
  </si>
  <si>
    <t>f240202e-f915-4084-b5be-e806fd115da9</t>
  </si>
  <si>
    <t>50863740-2e9b-4828-8346-8b603fbcc7a0</t>
  </si>
  <si>
    <t>5110d657-1e35-4572-a11b-ccffb308ead0</t>
  </si>
  <si>
    <t>52817729-b2a4-4478-87af-46ac1b3baa86</t>
  </si>
  <si>
    <t>ed42639e-7b6d-4cb4-b0d0-dcd56f346cb8</t>
  </si>
  <si>
    <t>5353009f-5d61-4536-b1db-f4373f4b1c01</t>
  </si>
  <si>
    <t>53abcd3f-ae9a-4712-b802-79a93a6d82cc</t>
  </si>
  <si>
    <t>91a8fb02-c26c-4047-b5e9-9fa0c95edbbc</t>
  </si>
  <si>
    <t>559ad9c8-72bf-4b41-941b-8baf781330de</t>
  </si>
  <si>
    <t>e4d9cb0a-fecc-44bc-a522-63212ea7d98d</t>
  </si>
  <si>
    <t>55b6cb0b-034e-4f23-9a5f-be55530c18fc</t>
  </si>
  <si>
    <t>99230aa6-29dd-45af-b9f0-82a462104947</t>
  </si>
  <si>
    <t>55e1c5d4-d42e-406c-9872-ef03c4fe1ea7</t>
  </si>
  <si>
    <t>562d9cd5-213b-4bce-9549-b4adce544d15</t>
  </si>
  <si>
    <t>394f5c3d-f6b9-444b-bdfa-56ffad68c33b</t>
  </si>
  <si>
    <t>5a79914e-165a-4cf4-810a-49476495449f</t>
  </si>
  <si>
    <t>44fa61f7-00a8-4df4-90d2-ae031ecab230</t>
  </si>
  <si>
    <t>5b4f282d-2e8b-4638-94f9-89a7030d31c4</t>
  </si>
  <si>
    <t>353e0533-a1bf-4637-a464-d9f5b711c00b</t>
  </si>
  <si>
    <t>5c7b922e-94e4-4078-9416-2391bab3abf2</t>
  </si>
  <si>
    <t>21-02-2026</t>
  </si>
  <si>
    <t>5fce4a2e-ce2f-4296-999a-1cef519ab174</t>
  </si>
  <si>
    <t>f5438d48-82ef-45bf-9ac1-fd46072d8719</t>
  </si>
  <si>
    <t>619119ca-9c3e-4a9a-baea-ecfc6b1ff374</t>
  </si>
  <si>
    <t>620c874f-4a03-41c8-abd5-cf6266dac0c2</t>
  </si>
  <si>
    <t>6688c3e6-9e02-45e5-88c2-354b1e0d3a53</t>
  </si>
  <si>
    <t>5f8a98e6-8804-4798-866c-2f69140c9d6e</t>
  </si>
  <si>
    <t>67d37631-8e4d-4b26-ab9c-dafa0ec60c97</t>
  </si>
  <si>
    <t>9ed2beef-86fe-4d0b-80b0-dbb217984f37</t>
  </si>
  <si>
    <t>680c84e9-dd5e-4390-8376-c5279f577e03</t>
  </si>
  <si>
    <t>68b8c09d-4aed-457e-8345-37426f74d522</t>
  </si>
  <si>
    <t>6a5328f9-b3fb-428b-8679-e33bf25de17a</t>
  </si>
  <si>
    <t>8f193556-af0e-47d9-b5a6-1bb33346f1ae</t>
  </si>
  <si>
    <t>6f2234bd-dddc-45e7-ac7c-64155c32eccb</t>
  </si>
  <si>
    <t>dcd1b3b9-8889-4f94-8fe2-346a75d06fc0</t>
  </si>
  <si>
    <t>GJ2502003794</t>
  </si>
  <si>
    <t>Post-Reversal-P-1.3-party</t>
  </si>
  <si>
    <t>73465a8f-2931-4a72-a05b-1fb8fb18fc47</t>
  </si>
  <si>
    <t>da4531e7-78f9-4caa-8422-32ef0772dd2b</t>
  </si>
  <si>
    <t>15-11-2025</t>
  </si>
  <si>
    <t>73b83e67-3856-4a60-b639-d887f4361109</t>
  </si>
  <si>
    <t>73fd97e5-d730-4eb3-9b5a-885b8c6e515b</t>
  </si>
  <si>
    <t>8f7979fe-30ee-44b0-9163-5da8dfee1af0</t>
  </si>
  <si>
    <t>75c1ad0a-b099-47d1-9d89-4fb92b50b149</t>
  </si>
  <si>
    <t>2c1f0477-dbeb-47df-b809-6239776beac3</t>
  </si>
  <si>
    <t>77dd0d35-6fd8-4deb-9276-8e1bb5ac24e6</t>
  </si>
  <si>
    <t>7ac48909-b018-426e-9716-43c87a119718</t>
  </si>
  <si>
    <t>7b6d725f-c717-48da-a476-693bdeb8a023</t>
  </si>
  <si>
    <t>7e0f4299-1470-4845-a187-5f11da4a5384</t>
  </si>
  <si>
    <t>552ae984-200d-4a34-9cbe-3889104d2abf</t>
  </si>
  <si>
    <t>7f3af948-7bde-4ec4-8710-27fae837a549</t>
  </si>
  <si>
    <t>fccff691-ae17-4e0c-9531-375b4a453ce3</t>
  </si>
  <si>
    <t>09-04-2025</t>
  </si>
  <si>
    <t>8045195d-aef8-4291-8909-0b367a62d9b2</t>
  </si>
  <si>
    <t>8b7e1418-a0e2-4975-b830-fa71fa76b91b</t>
  </si>
  <si>
    <t>8063db5d-0699-4e4d-a4e6-9963cce5e35d</t>
  </si>
  <si>
    <t>46d0f117-8596-4633-b724-9510fd015bc3</t>
  </si>
  <si>
    <t>80b89998-dffd-4bbf-90a1-8bbb172be640</t>
  </si>
  <si>
    <t>819d5c9b-b656-4fe4-a9aa-3d1d4c1636de</t>
  </si>
  <si>
    <t>8354d4c2-71e3-45e4-9077-56a014c2681f</t>
  </si>
  <si>
    <t>47365915-9761-49fb-b5e7-7fccc9578d83</t>
  </si>
  <si>
    <t>84aab3a8-06f8-4ec7-86e2-0f50cbea7434</t>
  </si>
  <si>
    <t>84b71166-f337-4ef1-9359-6173bb69c37f</t>
  </si>
  <si>
    <t>8519c826-d5a0-4f29-9203-06549678421f</t>
  </si>
  <si>
    <t>89fd0e1b-2b1e-4c67-9e89-94e3ff7ea244</t>
  </si>
  <si>
    <t>8b7fed41-ae19-4629-840e-c9a24329b600</t>
  </si>
  <si>
    <t>59d9abaa-eb9c-4ca5-b40c-9b88d17be7e4</t>
  </si>
  <si>
    <t>8cde5f08-4e1d-4f05-a0e4-9de00d0ab755</t>
  </si>
  <si>
    <t>5f209f3d-0e4d-41a0-a94d-8b696ce63a54</t>
  </si>
  <si>
    <t>8f0bd7af-3106-4c53-a47d-70a1563834c0</t>
  </si>
  <si>
    <t>0a8375d1-ff17-40dc-86e1-ac3c4aecc4fa</t>
  </si>
  <si>
    <t>8f1972ea-02a1-49fe-a148-4dd773abcdf6</t>
  </si>
  <si>
    <t>913e83f7-df06-41bb-8fcf-3d1e13e0afd3</t>
  </si>
  <si>
    <t>3045cca3-8329-4485-a95a-6cbd5c7c56e4</t>
  </si>
  <si>
    <t>92835a78-d9a5-4cbc-9fa0-41f2a9619c3e</t>
  </si>
  <si>
    <t>94650055-4799-4401-9424-cda2f0b275f9</t>
  </si>
  <si>
    <t>962714af-5cd7-490c-95fb-207351f24306</t>
  </si>
  <si>
    <t>8b344110-b288-4d6b-bfc1-8aba78047adb</t>
  </si>
  <si>
    <t>96c898c1-364a-42ff-8041-a2e41828dc42</t>
  </si>
  <si>
    <t>e3c80d77-1a7a-4067-99ae-a863451264ee</t>
  </si>
  <si>
    <t>973e4c5f-5360-4dd2-9123-7c7945891129</t>
  </si>
  <si>
    <t>3c03b466-61ca-4cd8-b4ea-9309f88e31dc</t>
  </si>
  <si>
    <t>97430276-4915-427a-8401-aaccbbb4371a</t>
  </si>
  <si>
    <t>e1d8dfdc-1b71-4b3d-a38f-7dcb4953cc75</t>
  </si>
  <si>
    <t>983c8bdf-e248-485b-a7a1-a39197bbd1b9</t>
  </si>
  <si>
    <t>e837f31b-7c42-49f7-a22c-aaf5163cd8c1</t>
  </si>
  <si>
    <t>98beb154-2942-48d1-860d-e726bd467244</t>
  </si>
  <si>
    <t>98cefa48-c96a-42b1-aad6-f7612cdf4194</t>
  </si>
  <si>
    <t>0e2d5f49-3cf4-4b51-ac21-7c3939dfa297</t>
  </si>
  <si>
    <t>9b34e1e5-cc8e-431f-be49-09a4ccf522bf</t>
  </si>
  <si>
    <t>9b772926-7428-4524-a15c-ac9c731cea3f</t>
  </si>
  <si>
    <t>9c1e5115-6ba1-46e3-aaa9-2569da656e5e</t>
  </si>
  <si>
    <t>9dd68b1f-5eb2-4a2d-aa02-e7ee824fea0d</t>
  </si>
  <si>
    <t>a143104f-88da-446a-9fc3-a16068793e61</t>
  </si>
  <si>
    <t>a30dab96-6c39-47f7-bde4-23e010a9c571</t>
  </si>
  <si>
    <t>a4e54f15-be9b-411d-b34b-2d7eb688b614</t>
  </si>
  <si>
    <t>a3bf376c-48c4-4f02-a353-231a14eb15ca</t>
  </si>
  <si>
    <t>a5d51ae2-8d3f-4567-8958-79180738153c</t>
  </si>
  <si>
    <t>a6a686a1-26e0-4f8c-a16a-568b74bbe986</t>
  </si>
  <si>
    <t>a9637237-3d27-482c-9cc8-ec8da356fc29</t>
  </si>
  <si>
    <t>14-06-2025</t>
  </si>
  <si>
    <t>af6e9fc1-07a1-4020-b228-db97c1ba1aa5</t>
  </si>
  <si>
    <t>b10a52b6-eec7-49b8-92c3-852686e36b21</t>
  </si>
  <si>
    <t>a0c3da4f-3c0c-4ef9-beee-98a0bfbf7de3</t>
  </si>
  <si>
    <t>b39e7bc9-4531-4d51-b895-edd84c0722ce</t>
  </si>
  <si>
    <t>3ca49b0b-8345-461b-8f3b-61a87ea5ac66</t>
  </si>
  <si>
    <t>b3c6b142-492a-493f-a91e-284694c3d6d3</t>
  </si>
  <si>
    <t>10b64441-9508-4f8f-92c5-c5cea1664779</t>
  </si>
  <si>
    <t>b713846b-d1df-4e14-b997-e8130c537c22</t>
  </si>
  <si>
    <t>b9108542-87b3-4b7b-829f-d3f1f9056c26</t>
  </si>
  <si>
    <t>baf187b6-cf28-4552-a5d5-2f7a31060e16</t>
  </si>
  <si>
    <t>bb3ca5ee-f1bf-42e8-abeb-070c1c61de76</t>
  </si>
  <si>
    <t>bba153fa-1089-425f-8a91-d5ec4cc1393a</t>
  </si>
  <si>
    <t>457344ca-0fb9-4480-b88e-06962836ecee</t>
  </si>
  <si>
    <t>bd33afed-c94f-4c36-a84d-f3feb84d4e7b</t>
  </si>
  <si>
    <t>bd79a98e-1c3e-482b-ba79-b1f702cb7aa7</t>
  </si>
  <si>
    <t>bf7ae254-ddb2-4516-8b09-a837e8907040</t>
  </si>
  <si>
    <t>c1045337-64f2-41b8-b244-b01fbf249467</t>
  </si>
  <si>
    <t>c373d7dd-4e3a-4d35-a49d-07efec6ca3a5</t>
  </si>
  <si>
    <t>c3c3de8b-85c6-434b-8ad7-4ed22f03d61c</t>
  </si>
  <si>
    <t>c6c86b04-b66c-4374-b51a-2adc2a888bc7</t>
  </si>
  <si>
    <t>4c5e790e-89fe-4870-a160-cdaeb478739f</t>
  </si>
  <si>
    <t>c70e62e9-8e87-4c89-953e-6cb288b35649</t>
  </si>
  <si>
    <t>20185b7b-aa25-4fcf-930e-21da338dca8f</t>
  </si>
  <si>
    <t>c7e2ba38-7608-4095-a637-564f9ca8fb98</t>
  </si>
  <si>
    <t>c970abad-e78d-4373-9e2e-1c4d1710a95c</t>
  </si>
  <si>
    <t>ce4eb54a-2141-4387-9b19-e1c58e1fd8d3</t>
  </si>
  <si>
    <t>cf80b31b-1c74-4b90-9fd1-e394db3607e9</t>
  </si>
  <si>
    <t>d9e6fc9c-7e98-48b4-b063-ae1a5664c41f</t>
  </si>
  <si>
    <t>d072418b-e5aa-4284-a6e2-af8b06d7ab2c</t>
  </si>
  <si>
    <t>d19babe4-7352-48c4-8307-a1c074420d0f</t>
  </si>
  <si>
    <t>d258fd5e-a47e-4fe4-a364-1c257534596c</t>
  </si>
  <si>
    <t>d3c68eec-5015-40df-9111-592027927bcb</t>
  </si>
  <si>
    <t>d3db81c2-6b8b-43e6-bebe-b6797322f4d5</t>
  </si>
  <si>
    <t>d500170c-5dfe-425c-b9e2-36302f8ea95b</t>
  </si>
  <si>
    <t>2dfe8095-499a-487c-99d0-25256d5a7343</t>
  </si>
  <si>
    <t>d5508ddc-7cad-4a74-b9ff-b61d545084b9</t>
  </si>
  <si>
    <t>a71fd3a4-ff25-4af9-bc11-1d15a784f6c5</t>
  </si>
  <si>
    <t>d7648858-c76d-4c7f-ae10-f3051b670793</t>
  </si>
  <si>
    <t>d778d8a8-ada4-4174-bedd-a97646e9ad6f</t>
  </si>
  <si>
    <t>d7f82531-4df5-4e71-9641-3b7bcec74b41</t>
  </si>
  <si>
    <t>2c9cb027-89c1-4f11-8aeb-ee6edf80c71b</t>
  </si>
  <si>
    <t>d9a70d4e-dd2b-45c8-a271-fbb8ee494023</t>
  </si>
  <si>
    <t>dc95e86f-f480-4b70-ad9e-77eb26aad784</t>
  </si>
  <si>
    <t>dcd0b6a2-19ee-4841-90d1-895ab8986879</t>
  </si>
  <si>
    <t>dd8c06f6-5c54-4585-a56f-63e7c36681f0</t>
  </si>
  <si>
    <t>dd941013-5a47-43dd-b896-53d768256107</t>
  </si>
  <si>
    <t>e02225a5-ae48-4860-8e7c-f466d724e6a7</t>
  </si>
  <si>
    <t>e154daba-7e1d-4311-baac-e950a2e113e2</t>
  </si>
  <si>
    <t>e15a179d-eb31-458e-b6c6-1c102f9111e8</t>
  </si>
  <si>
    <t>b6a523e2-819f-43ee-a07a-90af7916dc0f</t>
  </si>
  <si>
    <t>e39c5ba0-5c9f-462f-ac14-3a76739508b8</t>
  </si>
  <si>
    <t>e41b772d-60f2-4957-8b17-274b8774fc0b</t>
  </si>
  <si>
    <t>e91c106e-fd99-44dd-b937-acde82ac2586</t>
  </si>
  <si>
    <t>0994e4b9-ee3c-4ef3-a29a-9e71bc8a5ec3</t>
  </si>
  <si>
    <t>e9a6be50-d977-42cb-84b1-ee744e2830a4</t>
  </si>
  <si>
    <t>ea114f15-4629-473b-82be-a2f9a8f1f25e</t>
  </si>
  <si>
    <t>ecb838ab-c48b-4ad8-8eec-04ab483392d6</t>
  </si>
  <si>
    <t>ee74f185-3703-4715-a1be-f88ad38d7d91</t>
  </si>
  <si>
    <t>ef2c92df-15ca-48b1-92d3-322b4e83fce8</t>
  </si>
  <si>
    <t>4cc0c0b2-4cf6-4d9f-9506-fd127b7542e8</t>
  </si>
  <si>
    <t>ef7be75a-3c24-4aed-a03b-5bfffcfcdb0f</t>
  </si>
  <si>
    <t>efcea64d-ea28-4ba6-8b68-cc8e01b88579</t>
  </si>
  <si>
    <t>f1c72785-e92f-4253-b6a8-98158a80a6e3</t>
  </si>
  <si>
    <t>f213a873-e371-4e48-9763-5db5a467fda7</t>
  </si>
  <si>
    <t>f214353c-ab5f-47ed-abef-36f9ede7836e</t>
  </si>
  <si>
    <t>f35fcf66-1d3d-4b98-80c3-3f92fa3e2891</t>
  </si>
  <si>
    <t>f39d274c-1c38-4061-8b6a-5db2b2597389</t>
  </si>
  <si>
    <t>f5d85a91-08f4-4867-95a7-f4a3e2140c69</t>
  </si>
  <si>
    <t>f70283ae-ec83-4e2d-8db6-4785d95aee52</t>
  </si>
  <si>
    <t>8051efac-1d00-4abe-b6e5-35a605b90985</t>
  </si>
  <si>
    <t>fcb4efa9-4dc7-4dec-8432-4f2aa85dd237</t>
  </si>
  <si>
    <t>fe2d959a-b450-4e17-87d2-65dcfdd4f991</t>
  </si>
  <si>
    <t>ff0a8fbb-ab4a-4b5b-ac9f-7298f18b4c55</t>
  </si>
  <si>
    <t>Party Clearing Document Number</t>
  </si>
  <si>
    <t>Party Clearing Date</t>
  </si>
  <si>
    <t>Party TDS Amount</t>
  </si>
  <si>
    <t>Party Posting Date</t>
  </si>
  <si>
    <t>Billing Document</t>
  </si>
  <si>
    <t>200019483</t>
  </si>
  <si>
    <t>18-05-2026</t>
  </si>
  <si>
    <t>2121</t>
  </si>
  <si>
    <t>391913</t>
  </si>
  <si>
    <t>96042661</t>
  </si>
  <si>
    <t>200014107</t>
  </si>
  <si>
    <t>30-04-2026</t>
  </si>
  <si>
    <t>400046</t>
  </si>
  <si>
    <t>96050793</t>
  </si>
  <si>
    <t>200000205</t>
  </si>
  <si>
    <t>2013</t>
  </si>
  <si>
    <t>200037013</t>
  </si>
  <si>
    <t>2011</t>
  </si>
  <si>
    <t>200098081</t>
  </si>
  <si>
    <t>200108729</t>
  </si>
  <si>
    <t>200025654</t>
  </si>
  <si>
    <t>200088680</t>
  </si>
  <si>
    <t>200009477</t>
  </si>
  <si>
    <t>200048423</t>
  </si>
  <si>
    <t>200112844</t>
  </si>
  <si>
    <t>200123874</t>
  </si>
  <si>
    <t>200000206</t>
  </si>
  <si>
    <t>200086152</t>
  </si>
  <si>
    <t>200004181</t>
  </si>
  <si>
    <t>200099149</t>
  </si>
  <si>
    <t>200069767</t>
  </si>
  <si>
    <t>200111423</t>
  </si>
  <si>
    <t>322218</t>
  </si>
  <si>
    <t>95972934</t>
  </si>
  <si>
    <t>200051284</t>
  </si>
  <si>
    <t>1400048389</t>
  </si>
  <si>
    <t>UTIBN62025082908954328</t>
  </si>
  <si>
    <t>200002688</t>
  </si>
  <si>
    <t>1400005690</t>
  </si>
  <si>
    <t>UTIBN62025042384063366</t>
  </si>
  <si>
    <t>200127041</t>
  </si>
  <si>
    <t>360746</t>
  </si>
  <si>
    <t>96011469</t>
  </si>
  <si>
    <t>200010428</t>
  </si>
  <si>
    <t>1400010998</t>
  </si>
  <si>
    <t>UTIBN62025050950181213</t>
  </si>
  <si>
    <t>200058567</t>
  </si>
  <si>
    <t>172093</t>
  </si>
  <si>
    <t>95822724</t>
  </si>
  <si>
    <t>200098952</t>
  </si>
  <si>
    <t>200000551</t>
  </si>
  <si>
    <t>1400001752</t>
  </si>
  <si>
    <t>UTIBN62025040818050778</t>
  </si>
  <si>
    <t>200070021</t>
  </si>
  <si>
    <t>1400064794</t>
  </si>
  <si>
    <t>UTIBN62025102095960257</t>
  </si>
  <si>
    <t>200069296</t>
  </si>
  <si>
    <t>200040134</t>
  </si>
  <si>
    <t>1400037857</t>
  </si>
  <si>
    <t>UTIBN62025072982287240</t>
  </si>
  <si>
    <t>200029663</t>
  </si>
  <si>
    <t>1400028635</t>
  </si>
  <si>
    <t>UTIBN62025070286926749</t>
  </si>
  <si>
    <t>200126611</t>
  </si>
  <si>
    <t>1400102560</t>
  </si>
  <si>
    <t>AXISCN1249138144</t>
  </si>
  <si>
    <t>200095703</t>
  </si>
  <si>
    <t>200099446</t>
  </si>
  <si>
    <t>200048357</t>
  </si>
  <si>
    <t>152011</t>
  </si>
  <si>
    <t>95802632</t>
  </si>
  <si>
    <t>200041895</t>
  </si>
  <si>
    <t>1400075625</t>
  </si>
  <si>
    <t>AXISCN1164847715</t>
  </si>
  <si>
    <t>1400099468</t>
  </si>
  <si>
    <t>AXISCN1237968296</t>
  </si>
  <si>
    <t>200027381</t>
  </si>
  <si>
    <t>200058566</t>
  </si>
  <si>
    <t>180598</t>
  </si>
  <si>
    <t>95831237</t>
  </si>
  <si>
    <t>200096313</t>
  </si>
  <si>
    <t>200022072</t>
  </si>
  <si>
    <t>185561</t>
  </si>
  <si>
    <t>95836201</t>
  </si>
  <si>
    <t>200018416</t>
  </si>
  <si>
    <t>52783</t>
  </si>
  <si>
    <t>95703361</t>
  </si>
  <si>
    <t>200096733</t>
  </si>
  <si>
    <t>277793</t>
  </si>
  <si>
    <t>95928487</t>
  </si>
  <si>
    <t>200091069</t>
  </si>
  <si>
    <t>1400038901</t>
  </si>
  <si>
    <t>UTIBN62025073104592284</t>
  </si>
  <si>
    <t>1400083474</t>
  </si>
  <si>
    <t>AXISCN1190257713</t>
  </si>
  <si>
    <t>353506</t>
  </si>
  <si>
    <t>96004228</t>
  </si>
  <si>
    <t>200054006</t>
  </si>
  <si>
    <t>167823</t>
  </si>
  <si>
    <t>95818450</t>
  </si>
  <si>
    <t>200091315</t>
  </si>
  <si>
    <t>265464</t>
  </si>
  <si>
    <t>95916154</t>
  </si>
  <si>
    <t>110379</t>
  </si>
  <si>
    <t>95760979</t>
  </si>
  <si>
    <t>200024536</t>
  </si>
  <si>
    <t>80971</t>
  </si>
  <si>
    <t>95731557</t>
  </si>
  <si>
    <t>1400053494</t>
  </si>
  <si>
    <t>UTIBN62025091596490274</t>
  </si>
  <si>
    <t>200009479</t>
  </si>
  <si>
    <t>1400063763</t>
  </si>
  <si>
    <t>UTIBN62025101647212245</t>
  </si>
  <si>
    <t>200125480</t>
  </si>
  <si>
    <t>1400100643</t>
  </si>
  <si>
    <t>AXISCN1241656657</t>
  </si>
  <si>
    <t>200087189</t>
  </si>
  <si>
    <t>251330</t>
  </si>
  <si>
    <t>95902014</t>
  </si>
  <si>
    <t>200021991</t>
  </si>
  <si>
    <t>1400071392</t>
  </si>
  <si>
    <t>UTIBN62025111147126173</t>
  </si>
  <si>
    <t>200126457</t>
  </si>
  <si>
    <t>350988</t>
  </si>
  <si>
    <t>96001709</t>
  </si>
  <si>
    <t>200128540</t>
  </si>
  <si>
    <t>364062</t>
  </si>
  <si>
    <t>96014797</t>
  </si>
  <si>
    <t>200096546</t>
  </si>
  <si>
    <t>274707</t>
  </si>
  <si>
    <t>95925401</t>
  </si>
  <si>
    <t>113265</t>
  </si>
  <si>
    <t>95763865</t>
  </si>
  <si>
    <t>200023347</t>
  </si>
  <si>
    <t>200098711</t>
  </si>
  <si>
    <t>89882</t>
  </si>
  <si>
    <t>95740472</t>
  </si>
  <si>
    <t>200060952</t>
  </si>
  <si>
    <t>192191</t>
  </si>
  <si>
    <t>95842834</t>
  </si>
  <si>
    <t>200110398</t>
  </si>
  <si>
    <t>316973</t>
  </si>
  <si>
    <t>95967690</t>
  </si>
  <si>
    <t>287055</t>
  </si>
  <si>
    <t>95937759</t>
  </si>
  <si>
    <t>333028</t>
  </si>
  <si>
    <t>95983748</t>
  </si>
  <si>
    <t>1400021538</t>
  </si>
  <si>
    <t>UTIBN62025061282539976</t>
  </si>
  <si>
    <t>229847</t>
  </si>
  <si>
    <t>95880521</t>
  </si>
  <si>
    <t>200002365</t>
  </si>
  <si>
    <t>200061245</t>
  </si>
  <si>
    <t>193312</t>
  </si>
  <si>
    <t>95843955</t>
  </si>
  <si>
    <t>1400021816</t>
  </si>
  <si>
    <t>UTIBN62025061285667179</t>
  </si>
  <si>
    <t>200020525</t>
  </si>
  <si>
    <t>53947</t>
  </si>
  <si>
    <t>95704525</t>
  </si>
  <si>
    <t>200096971</t>
  </si>
  <si>
    <t>1400081325</t>
  </si>
  <si>
    <t>AXISCN1182694459</t>
  </si>
  <si>
    <t>200046049</t>
  </si>
  <si>
    <t>1400097263</t>
  </si>
  <si>
    <t>AXISCN1233242839</t>
  </si>
  <si>
    <t>65879</t>
  </si>
  <si>
    <t>95716461</t>
  </si>
  <si>
    <t>200001275</t>
  </si>
  <si>
    <t>252519</t>
  </si>
  <si>
    <t>95903203</t>
  </si>
  <si>
    <t>200036696</t>
  </si>
  <si>
    <t>131510</t>
  </si>
  <si>
    <t>95782129</t>
  </si>
  <si>
    <t>1400110157</t>
  </si>
  <si>
    <t>377110</t>
  </si>
  <si>
    <t>96027858</t>
  </si>
  <si>
    <t>200126177</t>
  </si>
  <si>
    <t>347254</t>
  </si>
  <si>
    <t>95997975</t>
  </si>
  <si>
    <t>200034767</t>
  </si>
  <si>
    <t>1400030335</t>
  </si>
  <si>
    <t>UTIBN62025070853562047</t>
  </si>
  <si>
    <t>133976</t>
  </si>
  <si>
    <t>95784597</t>
  </si>
  <si>
    <t>200121181</t>
  </si>
  <si>
    <t>1400041041</t>
  </si>
  <si>
    <t>UTIBN62025080781675553</t>
  </si>
  <si>
    <t>200011454</t>
  </si>
  <si>
    <t>34494</t>
  </si>
  <si>
    <t>95685061</t>
  </si>
  <si>
    <t>200038962</t>
  </si>
  <si>
    <t>200068101</t>
  </si>
  <si>
    <t>202803</t>
  </si>
  <si>
    <t>95853456</t>
  </si>
  <si>
    <t>107833</t>
  </si>
  <si>
    <t>95758433</t>
  </si>
  <si>
    <t>183350</t>
  </si>
  <si>
    <t>95833989</t>
  </si>
  <si>
    <t>200069083</t>
  </si>
  <si>
    <t>321383</t>
  </si>
  <si>
    <t>95972095</t>
  </si>
  <si>
    <t>132975</t>
  </si>
  <si>
    <t>95783596</t>
  </si>
  <si>
    <t>1400114142</t>
  </si>
  <si>
    <t>17-03-2026</t>
  </si>
  <si>
    <t>AXISCN1283769768</t>
  </si>
  <si>
    <t>91219</t>
  </si>
  <si>
    <t>95741809</t>
  </si>
  <si>
    <t>200014351</t>
  </si>
  <si>
    <t>1400057212</t>
  </si>
  <si>
    <t>UTIBN62025092605993972</t>
  </si>
  <si>
    <t>292030</t>
  </si>
  <si>
    <t>95942736</t>
  </si>
  <si>
    <t>200021614</t>
  </si>
  <si>
    <t>1400021072</t>
  </si>
  <si>
    <t>UTIBN62025061064880694</t>
  </si>
  <si>
    <t>200093867</t>
  </si>
  <si>
    <t>271012</t>
  </si>
  <si>
    <t>95921704</t>
  </si>
  <si>
    <t>200021121</t>
  </si>
  <si>
    <t>1400009655</t>
  </si>
  <si>
    <t>UTIBN62025050508551312</t>
  </si>
  <si>
    <t>200092731</t>
  </si>
  <si>
    <t>269837</t>
  </si>
  <si>
    <t>95920527</t>
  </si>
  <si>
    <t>128942</t>
  </si>
  <si>
    <t>95779557</t>
  </si>
  <si>
    <t>200022909</t>
  </si>
  <si>
    <t>1400023202</t>
  </si>
  <si>
    <t>UTIBN62025061733875137</t>
  </si>
  <si>
    <t>100121</t>
  </si>
  <si>
    <t>95750715</t>
  </si>
  <si>
    <t>1400002077</t>
  </si>
  <si>
    <t>10-04-2026</t>
  </si>
  <si>
    <t>411285</t>
  </si>
  <si>
    <t>96062037</t>
  </si>
  <si>
    <t>1400084511</t>
  </si>
  <si>
    <t>AXISCN1192442088</t>
  </si>
  <si>
    <t>200034995</t>
  </si>
  <si>
    <t>380055</t>
  </si>
  <si>
    <t>96030801</t>
  </si>
  <si>
    <t>63286</t>
  </si>
  <si>
    <t>95713869</t>
  </si>
  <si>
    <t>200113066</t>
  </si>
  <si>
    <t>165218</t>
  </si>
  <si>
    <t>95815845</t>
  </si>
  <si>
    <t>200087102</t>
  </si>
  <si>
    <t>200021029</t>
  </si>
  <si>
    <t>59206</t>
  </si>
  <si>
    <t>95709789</t>
  </si>
  <si>
    <t>1400024004</t>
  </si>
  <si>
    <t>UTIBN62025061954174607</t>
  </si>
  <si>
    <t>200068653</t>
  </si>
  <si>
    <t>190107</t>
  </si>
  <si>
    <t>95840751</t>
  </si>
  <si>
    <t>200025016</t>
  </si>
  <si>
    <t>84461</t>
  </si>
  <si>
    <t>95735049</t>
  </si>
  <si>
    <t>1400000737</t>
  </si>
  <si>
    <t>UTIBN62025040470964337</t>
  </si>
  <si>
    <t>200099654</t>
  </si>
  <si>
    <t>1400101730</t>
  </si>
  <si>
    <t>AXISCN1246526827</t>
  </si>
  <si>
    <t>284534</t>
  </si>
  <si>
    <t>95935230</t>
  </si>
  <si>
    <t>1400027852</t>
  </si>
  <si>
    <t>UTIBN62025063062898848</t>
  </si>
  <si>
    <t>200097523</t>
  </si>
  <si>
    <t>200086476</t>
  </si>
  <si>
    <t>156968</t>
  </si>
  <si>
    <t>95807587</t>
  </si>
  <si>
    <t>1400103412</t>
  </si>
  <si>
    <t>AXISCN1251686610</t>
  </si>
  <si>
    <t>1400033434</t>
  </si>
  <si>
    <t>UTIBN62025071643172173</t>
  </si>
  <si>
    <t>200063455</t>
  </si>
  <si>
    <t>1400043280</t>
  </si>
  <si>
    <t>UTIBN62025081455285112</t>
  </si>
  <si>
    <t>200125114</t>
  </si>
  <si>
    <t>1400099892</t>
  </si>
  <si>
    <t>AXISCN1239147641</t>
  </si>
  <si>
    <t>200112445</t>
  </si>
  <si>
    <t>330347</t>
  </si>
  <si>
    <t>95981068</t>
  </si>
  <si>
    <t>1400078581</t>
  </si>
  <si>
    <t>AXISCN1172380112</t>
  </si>
  <si>
    <t>87467</t>
  </si>
  <si>
    <t>95738055</t>
  </si>
  <si>
    <t>5646</t>
  </si>
  <si>
    <t>95656165</t>
  </si>
  <si>
    <t>200024323</t>
  </si>
  <si>
    <t>1400025197</t>
  </si>
  <si>
    <t>UTIBN62025062392695201</t>
  </si>
  <si>
    <t>200086198</t>
  </si>
  <si>
    <t>122164</t>
  </si>
  <si>
    <t>95772770</t>
  </si>
  <si>
    <t>220681</t>
  </si>
  <si>
    <t>95871355</t>
  </si>
  <si>
    <t>1400105756</t>
  </si>
  <si>
    <t>AXISCN1258839990</t>
  </si>
  <si>
    <t>31723</t>
  </si>
  <si>
    <t>95682290</t>
  </si>
  <si>
    <t>335329</t>
  </si>
  <si>
    <t>95986050</t>
  </si>
  <si>
    <t>7561</t>
  </si>
  <si>
    <t>95658080</t>
  </si>
  <si>
    <t>1400086121</t>
  </si>
  <si>
    <t>AXISCN1198388713</t>
  </si>
  <si>
    <t>121010</t>
  </si>
  <si>
    <t>95771616</t>
  </si>
  <si>
    <t>344717</t>
  </si>
  <si>
    <t>95995438</t>
  </si>
  <si>
    <t>306596</t>
  </si>
  <si>
    <t>95957306</t>
  </si>
  <si>
    <t>200111501</t>
  </si>
  <si>
    <t>4469</t>
  </si>
  <si>
    <t>95654988</t>
  </si>
  <si>
    <t>200088101</t>
  </si>
  <si>
    <t>256474</t>
  </si>
  <si>
    <t>95907158</t>
  </si>
  <si>
    <t>200057507</t>
  </si>
  <si>
    <t>1400036784</t>
  </si>
  <si>
    <t>UTIBN62025072541919755</t>
  </si>
  <si>
    <t>200072533</t>
  </si>
  <si>
    <t>48564</t>
  </si>
  <si>
    <t>95699138</t>
  </si>
  <si>
    <t>200013786</t>
  </si>
  <si>
    <t>44339</t>
  </si>
  <si>
    <t>95694913</t>
  </si>
  <si>
    <t>72025</t>
  </si>
  <si>
    <t>95722609</t>
  </si>
  <si>
    <t>272283</t>
  </si>
  <si>
    <t>95922977</t>
  </si>
  <si>
    <t>95105</t>
  </si>
  <si>
    <t>95745697</t>
  </si>
  <si>
    <t>1400053493</t>
  </si>
  <si>
    <t>UTIBN62025091596490273</t>
  </si>
  <si>
    <t>1400073689</t>
  </si>
  <si>
    <t>UTIBN62025111826993605</t>
  </si>
  <si>
    <t>1400085983</t>
  </si>
  <si>
    <t>AXISCN1197646348</t>
  </si>
  <si>
    <t>1400073526</t>
  </si>
  <si>
    <t>UTIBN62025111825291955</t>
  </si>
  <si>
    <t>136920</t>
  </si>
  <si>
    <t>95787541</t>
  </si>
  <si>
    <t>1400078110</t>
  </si>
  <si>
    <t>AXISCN1169776515</t>
  </si>
  <si>
    <t>291000</t>
  </si>
  <si>
    <t>95941706</t>
  </si>
  <si>
    <t>103050</t>
  </si>
  <si>
    <t>95753644</t>
  </si>
  <si>
    <t>1400095300</t>
  </si>
  <si>
    <t>AXISCN1226463346</t>
  </si>
  <si>
    <t>1400102156</t>
  </si>
  <si>
    <t>AXISCN1247715211</t>
  </si>
  <si>
    <t>200021553</t>
  </si>
  <si>
    <t>62128</t>
  </si>
  <si>
    <t>95712710</t>
  </si>
  <si>
    <t>1400117535</t>
  </si>
  <si>
    <t>405976</t>
  </si>
  <si>
    <t>96056727</t>
  </si>
  <si>
    <t>200068868</t>
  </si>
  <si>
    <t>1400062859</t>
  </si>
  <si>
    <t>UTIBN62025101420410726</t>
  </si>
  <si>
    <t>1400000274</t>
  </si>
  <si>
    <t>UTIBN62025040250523875</t>
  </si>
  <si>
    <t>103881</t>
  </si>
  <si>
    <t>95754476</t>
  </si>
  <si>
    <t>200000431</t>
  </si>
  <si>
    <t>1400001445</t>
  </si>
  <si>
    <t>UTIBN62025040706443403</t>
  </si>
  <si>
    <t>75853</t>
  </si>
  <si>
    <t>95726437</t>
  </si>
  <si>
    <t>349740</t>
  </si>
  <si>
    <t>96000461</t>
  </si>
  <si>
    <t>200013985</t>
  </si>
  <si>
    <t>1400110158</t>
  </si>
  <si>
    <t>325665</t>
  </si>
  <si>
    <t>95976385</t>
  </si>
  <si>
    <t>162867</t>
  </si>
  <si>
    <t>95813488</t>
  </si>
  <si>
    <t>200022326</t>
  </si>
  <si>
    <t>67083</t>
  </si>
  <si>
    <t>95717665</t>
  </si>
  <si>
    <t>1400026016</t>
  </si>
  <si>
    <t>UTIBN62025062512812211</t>
  </si>
  <si>
    <t>1400002078</t>
  </si>
  <si>
    <t>416876</t>
  </si>
  <si>
    <t>96067628</t>
  </si>
  <si>
    <t>248642</t>
  </si>
  <si>
    <t>95899324</t>
  </si>
  <si>
    <t>200110499</t>
  </si>
  <si>
    <t>343040</t>
  </si>
  <si>
    <t>95993762</t>
  </si>
  <si>
    <t>241071</t>
  </si>
  <si>
    <t>95891747</t>
  </si>
  <si>
    <t>338552</t>
  </si>
  <si>
    <t>95989273</t>
  </si>
  <si>
    <t>139386</t>
  </si>
  <si>
    <t>95790007</t>
  </si>
  <si>
    <t>40844</t>
  </si>
  <si>
    <t>95691414</t>
  </si>
  <si>
    <t>200086667</t>
  </si>
  <si>
    <t>76987</t>
  </si>
  <si>
    <t>95727574</t>
  </si>
  <si>
    <t>289557</t>
  </si>
  <si>
    <t>95940262</t>
  </si>
  <si>
    <t>384757</t>
  </si>
  <si>
    <t>96035503</t>
  </si>
  <si>
    <t>1400019715</t>
  </si>
  <si>
    <t>UTIBN62025060515611096</t>
  </si>
  <si>
    <t>232305</t>
  </si>
  <si>
    <t>95882979</t>
  </si>
  <si>
    <t>142893</t>
  </si>
  <si>
    <t>95793508</t>
  </si>
  <si>
    <t>174412</t>
  </si>
  <si>
    <t>95825043</t>
  </si>
  <si>
    <t>1400003064</t>
  </si>
  <si>
    <t>UTIBN62025041487277177</t>
  </si>
  <si>
    <t>1400007879</t>
  </si>
  <si>
    <t>UTIBN62025042947860347</t>
  </si>
  <si>
    <t>125804</t>
  </si>
  <si>
    <t>95776419</t>
  </si>
  <si>
    <t>1400080597</t>
  </si>
  <si>
    <t>AXISCN1180338330</t>
  </si>
  <si>
    <t>114412</t>
  </si>
  <si>
    <t>95765014</t>
  </si>
  <si>
    <t>79917</t>
  </si>
  <si>
    <t>95730503</t>
  </si>
  <si>
    <t>275925</t>
  </si>
  <si>
    <t>95926619</t>
  </si>
  <si>
    <t>366870</t>
  </si>
  <si>
    <t>96017605</t>
  </si>
  <si>
    <t>1400004865</t>
  </si>
  <si>
    <t>20-04-2026</t>
  </si>
  <si>
    <t>424385</t>
  </si>
  <si>
    <t>96075143</t>
  </si>
  <si>
    <t>365843</t>
  </si>
  <si>
    <t>96016578</t>
  </si>
  <si>
    <t>1400063243</t>
  </si>
  <si>
    <t>UTIBN62025101532734307</t>
  </si>
  <si>
    <t>177118</t>
  </si>
  <si>
    <t>95827749</t>
  </si>
  <si>
    <t>96419</t>
  </si>
  <si>
    <t>95747011</t>
  </si>
  <si>
    <t>115730</t>
  </si>
  <si>
    <t>95766332</t>
  </si>
  <si>
    <t>1400095025</t>
  </si>
  <si>
    <t>AXISCN1225024417</t>
  </si>
  <si>
    <t>293270</t>
  </si>
  <si>
    <t>95943978</t>
  </si>
  <si>
    <t>294494</t>
  </si>
  <si>
    <t>95945202</t>
  </si>
  <si>
    <t>200106120</t>
  </si>
  <si>
    <t>1400089235</t>
  </si>
  <si>
    <t>AXISCN1206384408</t>
  </si>
  <si>
    <t>1400044891</t>
  </si>
  <si>
    <t>UTIBN62025082013841613</t>
  </si>
  <si>
    <t>1400016138</t>
  </si>
  <si>
    <t>UTIBN62025052715973524</t>
  </si>
  <si>
    <t>281442</t>
  </si>
  <si>
    <t>95932136</t>
  </si>
  <si>
    <t>334202</t>
  </si>
  <si>
    <t>95984922</t>
  </si>
  <si>
    <t>164059</t>
  </si>
  <si>
    <t>95814680</t>
  </si>
  <si>
    <t>20653</t>
  </si>
  <si>
    <t>95671214</t>
  </si>
  <si>
    <t>148676</t>
  </si>
  <si>
    <t>95799295</t>
  </si>
  <si>
    <t>341812</t>
  </si>
  <si>
    <t>95992533</t>
  </si>
  <si>
    <t>237099</t>
  </si>
  <si>
    <t>95887775</t>
  </si>
  <si>
    <t>200023212</t>
  </si>
  <si>
    <t>73239</t>
  </si>
  <si>
    <t>95723823</t>
  </si>
  <si>
    <t>302106</t>
  </si>
  <si>
    <t>95952815</t>
  </si>
  <si>
    <t>247314</t>
  </si>
  <si>
    <t>95897996</t>
  </si>
  <si>
    <t>123472</t>
  </si>
  <si>
    <t>95774080</t>
  </si>
  <si>
    <t>258883</t>
  </si>
  <si>
    <t>95909571</t>
  </si>
  <si>
    <t>82151</t>
  </si>
  <si>
    <t>95732739</t>
  </si>
  <si>
    <t>38659</t>
  </si>
  <si>
    <t>95689229</t>
  </si>
  <si>
    <t>1400016520</t>
  </si>
  <si>
    <t>UTIBN62025052725242969</t>
  </si>
  <si>
    <t>1400019332</t>
  </si>
  <si>
    <t>UTIBN62025060405122098</t>
  </si>
  <si>
    <t>1400005983</t>
  </si>
  <si>
    <t>23-04-2026</t>
  </si>
  <si>
    <t>430492</t>
  </si>
  <si>
    <t>96081260</t>
  </si>
  <si>
    <t>1400090740</t>
  </si>
  <si>
    <t>AXISCN1213114496</t>
  </si>
  <si>
    <t>1400075044</t>
  </si>
  <si>
    <t>UTIBN62025112163180857</t>
  </si>
  <si>
    <t>1400049246</t>
  </si>
  <si>
    <t>UTIBN62025090141143408</t>
  </si>
  <si>
    <t>273559</t>
  </si>
  <si>
    <t>95924253</t>
  </si>
  <si>
    <t>231078</t>
  </si>
  <si>
    <t>95881752</t>
  </si>
  <si>
    <t>111541</t>
  </si>
  <si>
    <t>95762141</t>
  </si>
  <si>
    <t>355144</t>
  </si>
  <si>
    <t>96005867</t>
  </si>
  <si>
    <t>329713</t>
  </si>
  <si>
    <t>95980433</t>
  </si>
  <si>
    <t>155875</t>
  </si>
  <si>
    <t>95806492</t>
  </si>
  <si>
    <t>234561</t>
  </si>
  <si>
    <t>95885235</t>
  </si>
  <si>
    <t>297880</t>
  </si>
  <si>
    <t>95948589</t>
  </si>
  <si>
    <t>342985</t>
  </si>
  <si>
    <t>95993707</t>
  </si>
  <si>
    <t>1400085160</t>
  </si>
  <si>
    <t>AXISCN1194623655</t>
  </si>
  <si>
    <t>205982</t>
  </si>
  <si>
    <t>95856635</t>
  </si>
  <si>
    <t>1400077264</t>
  </si>
  <si>
    <t>AXISCN1168557418</t>
  </si>
  <si>
    <t>244942</t>
  </si>
  <si>
    <t>95895618</t>
  </si>
  <si>
    <t>300036</t>
  </si>
  <si>
    <t>95950745</t>
  </si>
  <si>
    <t>1400072614</t>
  </si>
  <si>
    <t>UTIBN62025111483001915</t>
  </si>
  <si>
    <t>1400078801</t>
  </si>
  <si>
    <t>AXISCN1173442592</t>
  </si>
  <si>
    <t>1400030785</t>
  </si>
  <si>
    <t>UTIBN62025070965370380</t>
  </si>
  <si>
    <t>130299</t>
  </si>
  <si>
    <t>95780918</t>
  </si>
  <si>
    <t>1400085389</t>
  </si>
  <si>
    <t>AXISCN1195920107</t>
  </si>
  <si>
    <t>97912</t>
  </si>
  <si>
    <t>95748504</t>
  </si>
  <si>
    <t>AXISCN1269293359</t>
  </si>
  <si>
    <t>60261</t>
  </si>
  <si>
    <t>95710843</t>
  </si>
  <si>
    <t>300959</t>
  </si>
  <si>
    <t>95951668</t>
  </si>
  <si>
    <t>101129</t>
  </si>
  <si>
    <t>95751723</t>
  </si>
  <si>
    <t>45378</t>
  </si>
  <si>
    <t>95695952</t>
  </si>
  <si>
    <t>1400071833</t>
  </si>
  <si>
    <t>UTIBN62025111260106278</t>
  </si>
  <si>
    <t>343030</t>
  </si>
  <si>
    <t>95993752</t>
  </si>
  <si>
    <t>318030</t>
  </si>
  <si>
    <t>95968747</t>
  </si>
  <si>
    <t>298810</t>
  </si>
  <si>
    <t>95949519</t>
  </si>
  <si>
    <t>336466</t>
  </si>
  <si>
    <t>95987187</t>
  </si>
  <si>
    <t>83355</t>
  </si>
  <si>
    <t>95733943</t>
  </si>
  <si>
    <t>47481</t>
  </si>
  <si>
    <t>95698055</t>
  </si>
  <si>
    <t>158277</t>
  </si>
  <si>
    <t>95808898</t>
  </si>
  <si>
    <t>1400033433</t>
  </si>
  <si>
    <t>UTIBN62025071643172149</t>
  </si>
  <si>
    <t>24859</t>
  </si>
  <si>
    <t>95675419</t>
  </si>
  <si>
    <t>98857</t>
  </si>
  <si>
    <t>95749451</t>
  </si>
  <si>
    <t>56119</t>
  </si>
  <si>
    <t>95706699</t>
  </si>
  <si>
    <t>31383</t>
  </si>
  <si>
    <t>95681950</t>
  </si>
  <si>
    <t>1400058875</t>
  </si>
  <si>
    <t>UTIBN62025093060948964</t>
  </si>
  <si>
    <t>198727</t>
  </si>
  <si>
    <t>95849372</t>
  </si>
  <si>
    <t>1400012334</t>
  </si>
  <si>
    <t>UTIBN62025051498129567</t>
  </si>
  <si>
    <t>43076</t>
  </si>
  <si>
    <t>95693648</t>
  </si>
  <si>
    <t>117001</t>
  </si>
  <si>
    <t>95767603</t>
  </si>
  <si>
    <t>195292</t>
  </si>
  <si>
    <t>95845937</t>
  </si>
  <si>
    <t>31455</t>
  </si>
  <si>
    <t>95682022</t>
  </si>
  <si>
    <t>1400026427</t>
  </si>
  <si>
    <t>UTIBN62025062622485879</t>
  </si>
  <si>
    <t>58541</t>
  </si>
  <si>
    <t>95709123</t>
  </si>
  <si>
    <t>341872</t>
  </si>
  <si>
    <t>95992593</t>
  </si>
  <si>
    <t>1400022250</t>
  </si>
  <si>
    <t>UTIBN62025061395439373</t>
  </si>
  <si>
    <t>108830</t>
  </si>
  <si>
    <t>95759430</t>
  </si>
  <si>
    <t>1400009654</t>
  </si>
  <si>
    <t>UTIBN62025050508551311</t>
  </si>
  <si>
    <t>169879</t>
  </si>
  <si>
    <t>95820510</t>
  </si>
  <si>
    <t>307728</t>
  </si>
  <si>
    <t>95958440</t>
  </si>
  <si>
    <t>3233</t>
  </si>
  <si>
    <t>95653752</t>
  </si>
  <si>
    <t>49727</t>
  </si>
  <si>
    <t>95700301</t>
  </si>
  <si>
    <t>312139</t>
  </si>
  <si>
    <t>95962853</t>
  </si>
  <si>
    <t>1400020667</t>
  </si>
  <si>
    <t>UTIBN62025060954524530</t>
  </si>
  <si>
    <t>1400067241</t>
  </si>
  <si>
    <t>UTIBN62025103092863554</t>
  </si>
  <si>
    <t>228595</t>
  </si>
  <si>
    <t>95879269</t>
  </si>
  <si>
    <t>214733</t>
  </si>
  <si>
    <t>95865405</t>
  </si>
  <si>
    <t>420036</t>
  </si>
  <si>
    <t>96070792</t>
  </si>
  <si>
    <t>62098</t>
  </si>
  <si>
    <t>95712680</t>
  </si>
  <si>
    <t>1400016937</t>
  </si>
  <si>
    <t>UTIBN62025052834951102</t>
  </si>
  <si>
    <t>1400061424</t>
  </si>
  <si>
    <t>UTIBN62025100963716145</t>
  </si>
  <si>
    <t>348462</t>
  </si>
  <si>
    <t>95999183</t>
  </si>
  <si>
    <t>1400080064</t>
  </si>
  <si>
    <t>AXISCN1176875434</t>
  </si>
  <si>
    <t>147488</t>
  </si>
  <si>
    <t>95798107</t>
  </si>
  <si>
    <t>305326</t>
  </si>
  <si>
    <t>95956035</t>
  </si>
  <si>
    <t>1400098528</t>
  </si>
  <si>
    <t>AXISCN1235475984</t>
  </si>
  <si>
    <t>1400072180</t>
  </si>
  <si>
    <t>UTIBN62025111371989170</t>
  </si>
  <si>
    <t>181777</t>
  </si>
  <si>
    <t>95832416</t>
  </si>
  <si>
    <t>243853</t>
  </si>
  <si>
    <t>95894529</t>
  </si>
  <si>
    <t>1400116052</t>
  </si>
  <si>
    <t>401363</t>
  </si>
  <si>
    <t>96052110</t>
  </si>
  <si>
    <t>218910</t>
  </si>
  <si>
    <t>95869582</t>
  </si>
  <si>
    <t>396690</t>
  </si>
  <si>
    <t>96047438</t>
  </si>
  <si>
    <t>1400057760</t>
  </si>
  <si>
    <t>UTIBN62025092617180298</t>
  </si>
  <si>
    <t>196474</t>
  </si>
  <si>
    <t>95847119</t>
  </si>
  <si>
    <t>254200</t>
  </si>
  <si>
    <t>95904884</t>
  </si>
  <si>
    <t>22521</t>
  </si>
  <si>
    <t>95673082</t>
  </si>
  <si>
    <t>106514</t>
  </si>
  <si>
    <t>95757110</t>
  </si>
  <si>
    <t>313431</t>
  </si>
  <si>
    <t>95964145</t>
  </si>
  <si>
    <t>263782</t>
  </si>
  <si>
    <t>95914472</t>
  </si>
  <si>
    <t>126980</t>
  </si>
  <si>
    <t>95777595</t>
  </si>
  <si>
    <t>184606</t>
  </si>
  <si>
    <t>95835245</t>
  </si>
  <si>
    <t>278998</t>
  </si>
  <si>
    <t>95929692</t>
  </si>
  <si>
    <t>1400005229</t>
  </si>
  <si>
    <t>UTIBN62025042166151585</t>
  </si>
  <si>
    <t>1400051575</t>
  </si>
  <si>
    <t>UTIBN62025090926486148</t>
  </si>
  <si>
    <t>AXISCN1270105795</t>
  </si>
  <si>
    <t>296414</t>
  </si>
  <si>
    <t>95947122</t>
  </si>
  <si>
    <t>310198</t>
  </si>
  <si>
    <t>95960912</t>
  </si>
  <si>
    <t>135112</t>
  </si>
  <si>
    <t>95785733</t>
  </si>
  <si>
    <t>1400020079</t>
  </si>
  <si>
    <t>UTIBN62025060626631066</t>
  </si>
  <si>
    <t>346269</t>
  </si>
  <si>
    <t>95996990</t>
  </si>
  <si>
    <t>358774</t>
  </si>
  <si>
    <t>96009497</t>
  </si>
  <si>
    <t>1400018644</t>
  </si>
  <si>
    <t>UTIBN62025060284858673</t>
  </si>
  <si>
    <t>1400097734</t>
  </si>
  <si>
    <t>AXISCN1234201957</t>
  </si>
  <si>
    <t>370511</t>
  </si>
  <si>
    <t>96021250</t>
  </si>
  <si>
    <t>1400062543</t>
  </si>
  <si>
    <t>UTIBN62025101410165170</t>
  </si>
  <si>
    <t>1400023616</t>
  </si>
  <si>
    <t>UTIBN62025061844099340</t>
  </si>
  <si>
    <t>64469</t>
  </si>
  <si>
    <t>95715051</t>
  </si>
  <si>
    <t>119176</t>
  </si>
  <si>
    <t>95769778</t>
  </si>
  <si>
    <t>1400082294</t>
  </si>
  <si>
    <t>AXISCN1184821902</t>
  </si>
  <si>
    <t>93366</t>
  </si>
  <si>
    <t>95743958</t>
  </si>
  <si>
    <t>22461</t>
  </si>
  <si>
    <t>95673022</t>
  </si>
  <si>
    <t>344023</t>
  </si>
  <si>
    <t>95994744</t>
  </si>
  <si>
    <t>260192</t>
  </si>
  <si>
    <t>95910880</t>
  </si>
  <si>
    <t>AXISCN1288194832</t>
  </si>
  <si>
    <t>1400096561</t>
  </si>
  <si>
    <t>AXISCN1228662452</t>
  </si>
  <si>
    <t>1400080926</t>
  </si>
  <si>
    <t>AXISCN1181381429</t>
  </si>
  <si>
    <t>329360</t>
  </si>
  <si>
    <t>95980080</t>
  </si>
  <si>
    <t>154644</t>
  </si>
  <si>
    <t>95805265</t>
  </si>
  <si>
    <t>308979</t>
  </si>
  <si>
    <t>95959692</t>
  </si>
  <si>
    <t>206942</t>
  </si>
  <si>
    <t>95857595</t>
  </si>
  <si>
    <t>1400064476</t>
  </si>
  <si>
    <t>UTIBN62025101870281262</t>
  </si>
  <si>
    <t>3052</t>
  </si>
  <si>
    <t>95653571</t>
  </si>
  <si>
    <t>1400079185</t>
  </si>
  <si>
    <t>AXISCN1174477944</t>
  </si>
  <si>
    <t>1400025634</t>
  </si>
  <si>
    <t>UTIBN62025062402955830</t>
  </si>
  <si>
    <t>357474</t>
  </si>
  <si>
    <t>96008197</t>
  </si>
  <si>
    <t>175403</t>
  </si>
  <si>
    <t>95826034</t>
  </si>
  <si>
    <t>26073</t>
  </si>
  <si>
    <t>95676633</t>
  </si>
  <si>
    <t>320135</t>
  </si>
  <si>
    <t>95970853</t>
  </si>
  <si>
    <t>1400093640</t>
  </si>
  <si>
    <t>AXISCN1221522498</t>
  </si>
  <si>
    <t>AXISCN1290627496</t>
  </si>
  <si>
    <t>74782</t>
  </si>
  <si>
    <t>95725366</t>
  </si>
  <si>
    <t>314618</t>
  </si>
  <si>
    <t>95965334</t>
  </si>
  <si>
    <t>304059</t>
  </si>
  <si>
    <t>95954768</t>
  </si>
  <si>
    <t>124717</t>
  </si>
  <si>
    <t>95775329</t>
  </si>
  <si>
    <t>201193</t>
  </si>
  <si>
    <t>95851843</t>
  </si>
  <si>
    <t>328118</t>
  </si>
  <si>
    <t>95978838</t>
  </si>
  <si>
    <t>51797</t>
  </si>
  <si>
    <t>95702371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</si>
</sst>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#,##0.00"/>
    <numFmt numFmtId="165" formatCode="##,###,##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b/>
      <sz val="14"/>
      <color indexed="8"/>
      <name val="Calibri"/>
    </font>
    <font>
      <b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40"/>
      </patternFill>
    </fill>
    <fill>
      <patternFill patternType="solid">
        <fgColor indexed="10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165" fontId="0" fillId="0" borderId="1" xfId="0" applyNumberForma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165" fontId="0" fillId="3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3" fillId="2" borderId="1" xfId="0" applyFont="1" applyFill="1" applyBorder="1" applyAlignment="1">
      <alignment wrapText="1"/>
    </xf>
    <xf numFmtId="164" fontId="0" fillId="0" borderId="1" xfId="0" applyNumberFormat="1" applyBorder="1"/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/>
  </sheetViews>
  <sheetFormatPr defaultRowHeight="15"/>
  <cols>
    <col min="1" max="1" width="60" customWidth="1"/>
    <col min="2" max="5" width="25" customWidth="1"/>
  </cols>
  <sheetData>
    <row r="1" spans="1:5">
      <c r="A1" s="2" t="s">
        <v>0</v>
      </c>
      <c r="B1" s="3" t="s">
        <v>1</v>
      </c>
      <c r="C1" s="2" t="s">
        <v>2</v>
      </c>
      <c r="D1" s="3" t="s">
        <v>3</v>
      </c>
    </row>
    <row r="2" spans="1:5">
      <c r="A2" s="2" t="s">
        <v>4</v>
      </c>
      <c r="B2" s="3" t="s">
        <v>5</v>
      </c>
      <c r="C2" s="2" t="s">
        <v>6</v>
      </c>
      <c r="D2" s="3" t="s">
        <v>7</v>
      </c>
    </row>
    <row r="3" spans="1:5">
      <c r="A3" s="2" t="s">
        <v>8</v>
      </c>
      <c r="B3" s="3" t="s">
        <v>9</v>
      </c>
      <c r="C3" s="2" t="s">
        <v>10</v>
      </c>
      <c r="D3" s="3" t="s">
        <v>11</v>
      </c>
    </row>
    <row r="4" spans="1:5">
      <c r="A4" s="2" t="s">
        <v>12</v>
      </c>
      <c r="B4" s="3" t="s">
        <v>13</v>
      </c>
    </row>
    <row r="5" spans="1:5">
      <c r="A5" s="2" t="s">
        <v>14</v>
      </c>
      <c r="B5" s="3" t="s">
        <v>15</v>
      </c>
    </row>
    <row r="7" spans="1:5" ht="18.75">
      <c r="A7" s="4" t="s">
        <v>16</v>
      </c>
      <c r="B7" s="4" t="s">
        <v>17</v>
      </c>
      <c r="C7" s="4" t="s">
        <v>17</v>
      </c>
      <c r="D7" s="4" t="s">
        <v>17</v>
      </c>
      <c r="E7" s="4" t="s">
        <v>17</v>
      </c>
    </row>
    <row r="8" spans="1:5" ht="18.75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</row>
    <row r="9" spans="1:5">
      <c r="A9" s="5" t="s">
        <v>23</v>
      </c>
      <c r="B9" s="5" t="s">
        <v>17</v>
      </c>
      <c r="C9" s="5">
        <f>SUM(C10:C11)</f>
        <v>64448.340000000084</v>
      </c>
      <c r="D9" s="5">
        <f>SUM(D10:D11)</f>
        <v>2</v>
      </c>
      <c r="E9" s="5" t="s">
        <v>17</v>
      </c>
    </row>
    <row r="10" spans="1:5">
      <c r="A10" s="1" t="s">
        <v>24</v>
      </c>
      <c r="B10" s="9" t="s">
        <v>17</v>
      </c>
      <c r="C10" s="9">
        <f>-(SUMIFS(Reconciliation!L:L,Reconciliation!D:D,A10,Reconciliation!F:F,"ledger")
+SUMIFS(Reconciliation!S:S,Reconciliation!D:D,A10,Reconciliation!M:M,"ledger"))</f>
        <v>-152786.07999999993</v>
      </c>
      <c r="D10" s="1">
        <f>COUNTIFS(Reconciliation!D:D,A10,Reconciliation!F:F,"ledger")
+COUNTIFS(Reconciliation!D:D,A10,Reconciliation!M:M,"ledger")</f>
        <v>1</v>
      </c>
      <c r="E10" s="1" t="s">
        <v>17</v>
      </c>
    </row>
    <row r="11" spans="1:5">
      <c r="A11" s="1" t="s">
        <v>25</v>
      </c>
      <c r="B11" s="9" t="s">
        <v>17</v>
      </c>
      <c r="C11" s="9">
        <f>-(SUMIFS(Reconciliation!L:L,Reconciliation!D:D,A11,Reconciliation!F:F,"ledger")
+SUMIFS(Reconciliation!S:S,Reconciliation!D:D,A11,Reconciliation!M:M,"ledger"))</f>
        <v>217234.42</v>
      </c>
      <c r="D11" s="1">
        <f>COUNTIFS(Reconciliation!D:D,A11,Reconciliation!F:F,"ledger")
+COUNTIFS(Reconciliation!D:D,A11,Reconciliation!M:M,"ledger")</f>
        <v>1</v>
      </c>
      <c r="E11" s="1" t="s">
        <v>17</v>
      </c>
    </row>
    <row r="12" spans="1:5">
      <c r="A12" s="1"/>
      <c r="B12" s="1"/>
      <c r="C12" s="1"/>
      <c r="D12" s="1"/>
      <c r="E12" s="1"/>
    </row>
    <row r="13" spans="1:5">
      <c r="A13" s="5" t="s">
        <v>26</v>
      </c>
      <c r="B13" s="5" t="s">
        <v>17</v>
      </c>
      <c r="C13" s="5">
        <f>SUM(C14:C14)</f>
        <v>204357.32</v>
      </c>
      <c r="D13" s="5">
        <f>SUM(D14:D14)</f>
        <v>3</v>
      </c>
      <c r="E13" s="5" t="s">
        <v>17</v>
      </c>
    </row>
    <row r="14" spans="1:5">
      <c r="A14" s="1" t="s">
        <v>27</v>
      </c>
      <c r="B14" s="1">
        <v>1</v>
      </c>
      <c r="C14" s="9">
        <f>SUMIFS(Reconciliation!L:L,Reconciliation!D:D,A14,Reconciliation!F:F,"ledger")
+SUMIFS(Reconciliation!S:S,Reconciliation!D:D,A14,Reconciliation!M:M,"ledger")</f>
        <v>204357.32</v>
      </c>
      <c r="D14" s="1">
        <f>COUNTIFS(Reconciliation!D:D,A14,Reconciliation!F:F,"ledger")
+COUNTIFS(Reconciliation!D:D,A14,Reconciliation!M:M,"ledger")</f>
        <v>3</v>
      </c>
      <c r="E14" s="9" t="s">
        <v>28</v>
      </c>
    </row>
    <row r="15" spans="1:5">
      <c r="A15" s="5" t="s">
        <v>29</v>
      </c>
      <c r="B15" s="5" t="s">
        <v>17</v>
      </c>
      <c r="C15" s="5">
        <f>SUM(C16:C16)</f>
        <v>17174.509999999998</v>
      </c>
      <c r="D15" s="5">
        <f>SUM(D16:D16)</f>
        <v>1</v>
      </c>
      <c r="E15" s="5" t="s">
        <v>17</v>
      </c>
    </row>
    <row r="16" spans="1:5">
      <c r="A16" s="1" t="s">
        <v>30</v>
      </c>
      <c r="B16" s="1">
        <v>33</v>
      </c>
      <c r="C16" s="9">
        <f>SUMIFS(Reconciliation!L:L,Reconciliation!D:D,A16,Reconciliation!F:F,"ledger")
+SUMIFS(Reconciliation!S:S,Reconciliation!D:D,A16,Reconciliation!M:M,"ledger")</f>
        <v>17174.509999999998</v>
      </c>
      <c r="D16" s="1">
        <f>COUNTIFS(Reconciliation!D:D,A16,Reconciliation!F:F,"ledger")
+COUNTIFS(Reconciliation!D:D,A16,Reconciliation!M:M,"ledger")</f>
        <v>1</v>
      </c>
      <c r="E16" s="9" t="s">
        <v>31</v>
      </c>
    </row>
    <row r="17" spans="1:5">
      <c r="A17" s="5" t="s">
        <v>32</v>
      </c>
      <c r="B17" s="5" t="s">
        <v>17</v>
      </c>
      <c r="C17" s="5">
        <f>SUM(C18:C19)</f>
        <v>-23983.589999999971</v>
      </c>
      <c r="D17" s="5">
        <f>SUM(D18:D19)</f>
        <v>29</v>
      </c>
      <c r="E17" s="5" t="s">
        <v>17</v>
      </c>
    </row>
    <row r="18" spans="1:5">
      <c r="A18" s="1" t="s">
        <v>33</v>
      </c>
      <c r="B18" s="1">
        <v>74</v>
      </c>
      <c r="C18" s="9">
        <f>SUMIFS(Reconciliation!L:L,Reconciliation!D:D,A18,Reconciliation!F:F,"ledger")
+SUMIFS(Reconciliation!S:S,Reconciliation!D:D,A18,Reconciliation!M:M,"ledger")</f>
        <v>-6809.0799999999726</v>
      </c>
      <c r="D18" s="1">
        <f>COUNTIFS(Reconciliation!D:D,A18,Reconciliation!F:F,"ledger")
+COUNTIFS(Reconciliation!D:D,A18,Reconciliation!M:M,"ledger")</f>
        <v>28</v>
      </c>
      <c r="E18" s="9" t="s">
        <v>17</v>
      </c>
    </row>
    <row r="19" spans="1:5">
      <c r="A19" s="1" t="s">
        <v>34</v>
      </c>
      <c r="B19" s="1">
        <v>79</v>
      </c>
      <c r="C19" s="9">
        <f>SUMIFS(Reconciliation!L:L,Reconciliation!D:D,A19,Reconciliation!F:F,"ledger")
+SUMIFS(Reconciliation!S:S,Reconciliation!D:D,A19,Reconciliation!M:M,"ledger")</f>
        <v>-17174.509999999998</v>
      </c>
      <c r="D19" s="1">
        <f>COUNTIFS(Reconciliation!D:D,A19,Reconciliation!F:F,"ledger")
+COUNTIFS(Reconciliation!D:D,A19,Reconciliation!M:M,"ledger")</f>
        <v>1</v>
      </c>
      <c r="E19" s="9" t="s">
        <v>17</v>
      </c>
    </row>
    <row r="20" spans="1:5">
      <c r="A20" s="5" t="s">
        <v>35</v>
      </c>
      <c r="B20" s="5" t="s">
        <v>17</v>
      </c>
      <c r="C20" s="5">
        <f>SUM(C21:C22)</f>
        <v>6799.9900000000198</v>
      </c>
      <c r="D20" s="5">
        <f>SUM(D21:D22)</f>
        <v>15</v>
      </c>
      <c r="E20" s="5" t="s">
        <v>17</v>
      </c>
    </row>
    <row r="21" spans="1:5">
      <c r="A21" s="1" t="s">
        <v>36</v>
      </c>
      <c r="B21" s="1">
        <v>94</v>
      </c>
      <c r="C21" s="9">
        <f>SUMIFS(Reconciliation!T:T,Reconciliation!D:D,A21)
-SUMIFS(Reconciliation!T:T,Reconciliation!D:D,A21,Reconciliation!F:F,"Brought forward",Reconciliation!M:M,"Brought forward")
-SUMIFS(Reconciliation!T:T,Reconciliation!D:D,A21,Reconciliation!F:F,"Brought forward",Reconciliation!I:I,"tds")
-SUMIFS(Reconciliation!T:T,Reconciliation!D:D,A21,Reconciliation!M:M,"Brought forward",Reconciliation!P:P,"tds")</f>
        <v>7800</v>
      </c>
      <c r="D21" s="1">
        <f>COUNTIFS(Reconciliation!D:D,A21)
-COUNTIFS(Reconciliation!D:D,A21,Reconciliation!F:F,"Brought forward",Reconciliation!M:M,"Brought forward")
-COUNTIFS(Reconciliation!D:D,A21,Reconciliation!F:F,"Brought forward",Reconciliation!I:I,"tds")
-COUNTIFS(Reconciliation!D:D,A21,Reconciliation!M:M,"Brought forward",Reconciliation!P:P,"tds")</f>
        <v>14</v>
      </c>
      <c r="E21" s="9" t="s">
        <v>37</v>
      </c>
    </row>
    <row r="22" spans="1:5">
      <c r="A22" s="1" t="s">
        <v>38</v>
      </c>
      <c r="B22" s="1">
        <v>94</v>
      </c>
      <c r="C22" s="9">
        <f>SUMIFS(Reconciliation!T:T,Reconciliation!D:D,A22)
-SUMIFS(Reconciliation!T:T,Reconciliation!D:D,A22,Reconciliation!F:F,"Brought forward",Reconciliation!M:M,"Brought forward")
-SUMIFS(Reconciliation!T:T,Reconciliation!D:D,A22,Reconciliation!F:F,"Brought forward",Reconciliation!I:I,"tds")
-SUMIFS(Reconciliation!T:T,Reconciliation!D:D,A22,Reconciliation!M:M,"Brought forward",Reconciliation!P:P,"tds")</f>
        <v>-1000.0099999999802</v>
      </c>
      <c r="D22" s="1">
        <f>COUNTIFS(Reconciliation!D:D,A22)
-COUNTIFS(Reconciliation!D:D,A22,Reconciliation!F:F,"Brought forward",Reconciliation!M:M,"Brought forward")
-COUNTIFS(Reconciliation!D:D,A22,Reconciliation!F:F,"Brought forward",Reconciliation!I:I,"tds")
-COUNTIFS(Reconciliation!D:D,A22,Reconciliation!M:M,"Brought forward",Reconciliation!P:P,"tds")</f>
        <v>1</v>
      </c>
      <c r="E22" s="9" t="s">
        <v>37</v>
      </c>
    </row>
    <row r="23" spans="1:5">
      <c r="A23" s="5" t="s">
        <v>39</v>
      </c>
      <c r="B23" s="5" t="s">
        <v>17</v>
      </c>
      <c r="C23" s="5">
        <f>SUM(C24:C24)</f>
        <v>23.170000000001892</v>
      </c>
      <c r="D23" s="5">
        <f>SUM(D24:D24)</f>
        <v>63</v>
      </c>
      <c r="E23" s="5" t="s">
        <v>17</v>
      </c>
    </row>
    <row r="24" spans="1:5">
      <c r="A24" s="1" t="s">
        <v>40</v>
      </c>
      <c r="B24" s="1" t="s">
        <v>17</v>
      </c>
      <c r="C24" s="9">
        <f>SUMIFS(Reconciliation!T:T,Reconciliation!D:D,A24)
-SUMIFS(Reconciliation!T:T,Reconciliation!D:D,A24,Reconciliation!F:F,"Brought forward",Reconciliation!M:M,"Brought forward")
-SUMIFS(Reconciliation!T:T,Reconciliation!D:D,A24,Reconciliation!F:F,"Brought forward",Reconciliation!I:I,"tds")
-SUMIFS(Reconciliation!T:T,Reconciliation!D:D,A24,Reconciliation!M:M,"Brought forward",Reconciliation!P:P,"tds")</f>
        <v>23.170000000001892</v>
      </c>
      <c r="D24" s="1">
        <f>COUNTIFS(Reconciliation!D:D,A24)
-COUNTIFS(Reconciliation!D:D,A24,Reconciliation!F:F,"Brought forward",Reconciliation!M:M,"Brought forward")
-COUNTIFS(Reconciliation!D:D,A24,Reconciliation!F:F,"Brought forward",Reconciliation!I:I,"tds")
-COUNTIFS(Reconciliation!D:D,A24,Reconciliation!M:M,"Brought forward",Reconciliation!P:P,"tds")</f>
        <v>63</v>
      </c>
      <c r="E24" s="9" t="s">
        <v>41</v>
      </c>
    </row>
    <row r="25" spans="1:5">
      <c r="A25" s="5" t="s">
        <v>42</v>
      </c>
      <c r="B25" s="5" t="s">
        <v>17</v>
      </c>
      <c r="C25" s="5">
        <f>SUM(C26:C26)</f>
        <v>-18.340000000011059</v>
      </c>
      <c r="D25" s="5">
        <f>SUM(D26:D26)</f>
        <v>208</v>
      </c>
      <c r="E25" s="5" t="s">
        <v>17</v>
      </c>
    </row>
    <row r="26" spans="1:5">
      <c r="A26" s="1" t="s">
        <v>42</v>
      </c>
      <c r="B26" s="1" t="s">
        <v>17</v>
      </c>
      <c r="C26" s="9">
        <f>SUMIFS(Reconciliation!L:L,Reconciliation!D:D,A26,Reconciliation!F:F,"ledger")
+SUMIFS(Reconciliation!S:S,Reconciliation!D:D,A26,Reconciliation!M:M,"ledger")</f>
        <v>-18.340000000011059</v>
      </c>
      <c r="D26" s="1">
        <f>COUNTIFS(Reconciliation!D:D,A26,Reconciliation!F:F,"ledger")
+COUNTIFS(Reconciliation!D:D,A26,Reconciliation!M:M,"ledger")</f>
        <v>208</v>
      </c>
      <c r="E26" s="9" t="s">
        <v>41</v>
      </c>
    </row>
    <row r="27" spans="1:5">
      <c r="A27" s="5" t="s">
        <v>43</v>
      </c>
      <c r="B27" s="5" t="s">
        <v>17</v>
      </c>
      <c r="C27" s="5">
        <f>SUM(C28:C31)</f>
        <v>-139904.72</v>
      </c>
      <c r="D27" s="5">
        <f>SUM(D28:D31)</f>
        <v>3</v>
      </c>
      <c r="E27" s="5" t="s">
        <v>17</v>
      </c>
    </row>
    <row r="28" spans="1:5">
      <c r="A28" s="1" t="s">
        <v>44</v>
      </c>
      <c r="B28" s="1" t="s">
        <v>17</v>
      </c>
      <c r="C28" s="9">
        <f>SUMIFS(Reconciliation!L:L,Reconciliation!D:D,A28,Reconciliation!F:F,"ledger")
+SUMIFS(Reconciliation!S:S,Reconciliation!D:D,A28,Reconciliation!M:M,"ledger")</f>
        <v>-139904.72</v>
      </c>
      <c r="D28" s="1">
        <f>COUNTIFS(Reconciliation!D:D,A28,Reconciliation!F:F,"ledger")
+COUNTIFS(Reconciliation!D:D,A28,Reconciliation!M:M,"ledger")</f>
        <v>2</v>
      </c>
      <c r="E28" s="9" t="s">
        <v>17</v>
      </c>
    </row>
    <row r="29" spans="1:5">
      <c r="A29" s="1" t="s">
        <v>45</v>
      </c>
      <c r="B29" s="1" t="s">
        <v>17</v>
      </c>
      <c r="C29" s="9">
        <f>SUMIFS(Reconciliation!L:L,Reconciliation!D:D,A29,Reconciliation!F:F,"ledger")
+SUMIFS(Reconciliation!S:S,Reconciliation!D:D,A29,Reconciliation!M:M,"ledger")</f>
        <v>0</v>
      </c>
      <c r="D29" s="1">
        <f>COUNTIFS(Reconciliation!D:D,A29,Reconciliation!F:F,"ledger")
+COUNTIFS(Reconciliation!D:D,A29,Reconciliation!M:M,"ledger")</f>
        <v>1</v>
      </c>
      <c r="E29" s="9" t="s">
        <v>46</v>
      </c>
    </row>
    <row r="30" spans="1:5">
      <c r="A30" s="1" t="s">
        <v>47</v>
      </c>
      <c r="B30" s="2" t="s">
        <v>48</v>
      </c>
      <c r="C30" s="1">
        <v>0</v>
      </c>
      <c r="D30" s="1">
        <v>0</v>
      </c>
      <c r="E30" s="1"/>
    </row>
    <row r="31" spans="1:5">
      <c r="A31" s="1" t="s">
        <v>49</v>
      </c>
      <c r="B31" s="2" t="s">
        <v>50</v>
      </c>
      <c r="C31" s="1">
        <v>0</v>
      </c>
      <c r="D31" s="1">
        <v>0</v>
      </c>
      <c r="E31" s="1"/>
    </row>
    <row r="32" spans="1:5">
      <c r="A32" s="9" t="s">
        <v>51</v>
      </c>
      <c r="B32" s="9"/>
      <c r="C32" s="9">
        <f>C13+C15+C17+C20+C23+C25+C27</f>
        <v>64448.340000000055</v>
      </c>
      <c r="D32" s="9"/>
      <c r="E32" s="9"/>
    </row>
    <row r="33" spans="1:5">
      <c r="A33" s="1"/>
      <c r="B33" s="1"/>
      <c r="C33" s="1"/>
      <c r="D33" s="1"/>
      <c r="E33" s="1"/>
    </row>
    <row r="34" spans="1:5">
      <c r="A34" s="6" t="s">
        <v>52</v>
      </c>
      <c r="B34" s="6"/>
      <c r="C34" s="7">
        <f>C9-C32</f>
        <v>0</v>
      </c>
      <c r="D34" s="6"/>
      <c r="E3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563"/>
  <sheetViews>
    <sheetView tabSelected="1" topLeftCell="B1" workbookViewId="0">
      <selection activeCell="E1" sqref="E1:E1048576"/>
    </sheetView>
  </sheetViews>
  <sheetFormatPr defaultRowHeight="15"/>
  <cols>
    <col min="1" max="4" width="15" customWidth="1"/>
    <col min="5" max="5" width="28.85546875" customWidth="1"/>
    <col min="6" max="46" width="15" customWidth="1"/>
  </cols>
  <sheetData>
    <row r="1" spans="1:46" ht="60.75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1" t="s">
        <v>65</v>
      </c>
      <c r="N1" s="11" t="s">
        <v>66</v>
      </c>
      <c r="O1" s="11" t="s">
        <v>67</v>
      </c>
      <c r="P1" s="11" t="s">
        <v>68</v>
      </c>
      <c r="Q1" s="11" t="s">
        <v>69</v>
      </c>
      <c r="R1" s="11" t="s">
        <v>70</v>
      </c>
      <c r="S1" s="11" t="s">
        <v>71</v>
      </c>
      <c r="T1" s="12" t="s">
        <v>52</v>
      </c>
      <c r="U1" s="8" t="s">
        <v>72</v>
      </c>
      <c r="V1" s="8" t="s">
        <v>73</v>
      </c>
      <c r="W1" s="8" t="s">
        <v>74</v>
      </c>
      <c r="X1" s="13" t="s">
        <v>75</v>
      </c>
      <c r="Y1" s="13" t="s">
        <v>76</v>
      </c>
      <c r="Z1" s="10" t="s">
        <v>77</v>
      </c>
      <c r="AA1" s="10" t="s">
        <v>78</v>
      </c>
      <c r="AB1" s="10" t="s">
        <v>79</v>
      </c>
      <c r="AC1" s="10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  <c r="AR1" s="13" t="s">
        <v>95</v>
      </c>
      <c r="AS1" s="13" t="s">
        <v>96</v>
      </c>
      <c r="AT1" s="13" t="s">
        <v>97</v>
      </c>
    </row>
    <row r="2" spans="1:46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106</v>
      </c>
      <c r="J2" s="1" t="s">
        <v>107</v>
      </c>
      <c r="K2" s="1"/>
      <c r="L2" s="9">
        <v>14451.72</v>
      </c>
      <c r="M2" s="1" t="s">
        <v>103</v>
      </c>
      <c r="N2" s="1" t="s">
        <v>104</v>
      </c>
      <c r="O2" s="1"/>
      <c r="P2" s="1" t="s">
        <v>106</v>
      </c>
      <c r="Q2" s="1" t="s">
        <v>108</v>
      </c>
      <c r="R2" s="1" t="s">
        <v>109</v>
      </c>
      <c r="S2" s="9">
        <v>-14451.72</v>
      </c>
      <c r="T2" s="1">
        <v>0</v>
      </c>
      <c r="U2" s="1" t="s">
        <v>110</v>
      </c>
      <c r="V2" s="1" t="s">
        <v>15</v>
      </c>
      <c r="W2" s="1" t="s">
        <v>17</v>
      </c>
      <c r="X2" s="1" t="s">
        <v>111</v>
      </c>
      <c r="Y2" s="1"/>
      <c r="Z2" s="1" t="s">
        <v>105</v>
      </c>
      <c r="AA2" s="1" t="s">
        <v>17</v>
      </c>
      <c r="AB2" s="1">
        <v>0</v>
      </c>
      <c r="AC2" s="1" t="s">
        <v>17</v>
      </c>
      <c r="AD2" t="s">
        <v>112</v>
      </c>
      <c r="AE2" t="s">
        <v>113</v>
      </c>
      <c r="AF2" t="s">
        <v>105</v>
      </c>
      <c r="AG2" t="s">
        <v>114</v>
      </c>
      <c r="AH2" t="s">
        <v>115</v>
      </c>
      <c r="AI2" t="s">
        <v>115</v>
      </c>
      <c r="AJ2" t="s">
        <v>17</v>
      </c>
      <c r="AK2" t="s">
        <v>116</v>
      </c>
      <c r="AL2" t="s">
        <v>17</v>
      </c>
      <c r="AM2" t="s">
        <v>117</v>
      </c>
      <c r="AN2" t="s">
        <v>104</v>
      </c>
      <c r="AO2" t="s">
        <v>118</v>
      </c>
      <c r="AP2" t="s">
        <v>119</v>
      </c>
      <c r="AQ2" t="s">
        <v>119</v>
      </c>
      <c r="AR2" t="s">
        <v>104</v>
      </c>
      <c r="AS2" t="s">
        <v>120</v>
      </c>
      <c r="AT2" t="s">
        <v>104</v>
      </c>
    </row>
    <row r="3" spans="1:46">
      <c r="A3" s="1" t="s">
        <v>121</v>
      </c>
      <c r="B3" s="1" t="s">
        <v>122</v>
      </c>
      <c r="C3" s="1" t="s">
        <v>123</v>
      </c>
      <c r="D3" s="1" t="s">
        <v>101</v>
      </c>
      <c r="E3" s="1" t="s">
        <v>124</v>
      </c>
      <c r="F3" s="1" t="s">
        <v>103</v>
      </c>
      <c r="G3" s="1" t="s">
        <v>125</v>
      </c>
      <c r="H3" s="1" t="s">
        <v>126</v>
      </c>
      <c r="I3" s="1" t="s">
        <v>127</v>
      </c>
      <c r="J3" s="1" t="s">
        <v>128</v>
      </c>
      <c r="K3" s="1" t="s">
        <v>129</v>
      </c>
      <c r="L3" s="9">
        <v>-15498.94</v>
      </c>
      <c r="M3" s="1" t="s">
        <v>103</v>
      </c>
      <c r="N3" s="1" t="s">
        <v>130</v>
      </c>
      <c r="O3" s="1" t="s">
        <v>126</v>
      </c>
      <c r="P3" s="1" t="s">
        <v>127</v>
      </c>
      <c r="Q3" s="1" t="s">
        <v>131</v>
      </c>
      <c r="R3" s="1"/>
      <c r="S3" s="9">
        <v>15498.94</v>
      </c>
      <c r="T3" s="1">
        <v>0</v>
      </c>
      <c r="U3" s="1" t="s">
        <v>132</v>
      </c>
      <c r="V3" s="1" t="s">
        <v>15</v>
      </c>
      <c r="W3" s="1" t="s">
        <v>17</v>
      </c>
      <c r="X3" s="1" t="s">
        <v>111</v>
      </c>
      <c r="Y3" s="1"/>
      <c r="Z3" s="1" t="s">
        <v>133</v>
      </c>
      <c r="AA3" s="1" t="s">
        <v>17</v>
      </c>
      <c r="AB3" s="1">
        <v>0</v>
      </c>
      <c r="AC3" s="1" t="s">
        <v>17</v>
      </c>
      <c r="AD3" t="s">
        <v>112</v>
      </c>
      <c r="AE3" t="s">
        <v>113</v>
      </c>
      <c r="AF3" t="s">
        <v>134</v>
      </c>
      <c r="AG3" t="s">
        <v>114</v>
      </c>
      <c r="AH3" t="s">
        <v>126</v>
      </c>
      <c r="AI3" t="s">
        <v>126</v>
      </c>
      <c r="AJ3" t="s">
        <v>135</v>
      </c>
      <c r="AK3" t="s">
        <v>136</v>
      </c>
      <c r="AL3" t="s">
        <v>137</v>
      </c>
      <c r="AM3" t="s">
        <v>117</v>
      </c>
      <c r="AN3" t="s">
        <v>138</v>
      </c>
      <c r="AO3" t="s">
        <v>139</v>
      </c>
      <c r="AP3" t="s">
        <v>119</v>
      </c>
      <c r="AQ3" t="s">
        <v>119</v>
      </c>
      <c r="AR3" t="s">
        <v>138</v>
      </c>
      <c r="AS3" t="s">
        <v>140</v>
      </c>
      <c r="AT3" t="s">
        <v>130</v>
      </c>
    </row>
    <row r="4" spans="1:46">
      <c r="A4" s="1" t="s">
        <v>141</v>
      </c>
      <c r="B4" s="1" t="s">
        <v>142</v>
      </c>
      <c r="C4" s="1" t="s">
        <v>143</v>
      </c>
      <c r="D4" s="1" t="s">
        <v>40</v>
      </c>
      <c r="E4" s="1" t="s">
        <v>124</v>
      </c>
      <c r="F4" s="1" t="s">
        <v>103</v>
      </c>
      <c r="G4" s="1" t="s">
        <v>144</v>
      </c>
      <c r="H4" s="1" t="s">
        <v>145</v>
      </c>
      <c r="I4" s="1" t="s">
        <v>127</v>
      </c>
      <c r="J4" s="1" t="s">
        <v>128</v>
      </c>
      <c r="K4" s="1" t="s">
        <v>129</v>
      </c>
      <c r="L4" s="9">
        <v>-16755</v>
      </c>
      <c r="M4" s="1" t="s">
        <v>103</v>
      </c>
      <c r="N4" s="1" t="s">
        <v>144</v>
      </c>
      <c r="O4" s="1" t="s">
        <v>145</v>
      </c>
      <c r="P4" s="1" t="s">
        <v>127</v>
      </c>
      <c r="Q4" s="1" t="s">
        <v>131</v>
      </c>
      <c r="R4" s="1"/>
      <c r="S4" s="9">
        <v>16755.62</v>
      </c>
      <c r="T4" s="1">
        <v>0.61999999999898137</v>
      </c>
      <c r="U4" s="1" t="s">
        <v>146</v>
      </c>
      <c r="V4" s="1" t="s">
        <v>15</v>
      </c>
      <c r="W4" s="1" t="s">
        <v>17</v>
      </c>
      <c r="X4" s="1" t="s">
        <v>111</v>
      </c>
      <c r="Y4" s="1"/>
      <c r="Z4" s="1" t="s">
        <v>147</v>
      </c>
      <c r="AA4" s="1" t="s">
        <v>17</v>
      </c>
      <c r="AB4" s="1">
        <v>0</v>
      </c>
      <c r="AC4" s="1" t="s">
        <v>17</v>
      </c>
      <c r="AD4" t="s">
        <v>112</v>
      </c>
      <c r="AE4" t="s">
        <v>113</v>
      </c>
      <c r="AF4" t="s">
        <v>148</v>
      </c>
      <c r="AG4" t="s">
        <v>114</v>
      </c>
      <c r="AH4" t="s">
        <v>145</v>
      </c>
      <c r="AI4" t="s">
        <v>145</v>
      </c>
      <c r="AJ4" t="s">
        <v>149</v>
      </c>
      <c r="AK4" t="s">
        <v>150</v>
      </c>
      <c r="AL4" t="s">
        <v>137</v>
      </c>
      <c r="AM4" t="s">
        <v>117</v>
      </c>
      <c r="AN4" t="s">
        <v>151</v>
      </c>
      <c r="AO4" t="s">
        <v>152</v>
      </c>
      <c r="AP4" t="s">
        <v>119</v>
      </c>
      <c r="AQ4" t="s">
        <v>119</v>
      </c>
      <c r="AR4" t="s">
        <v>151</v>
      </c>
      <c r="AS4" t="s">
        <v>153</v>
      </c>
      <c r="AT4" t="s">
        <v>144</v>
      </c>
    </row>
    <row r="5" spans="1:46">
      <c r="A5" s="1" t="s">
        <v>154</v>
      </c>
      <c r="B5" s="1" t="s">
        <v>155</v>
      </c>
      <c r="C5" s="1" t="s">
        <v>156</v>
      </c>
      <c r="D5" s="1" t="s">
        <v>101</v>
      </c>
      <c r="E5" s="1" t="s">
        <v>124</v>
      </c>
      <c r="F5" s="1" t="s">
        <v>103</v>
      </c>
      <c r="G5" s="1" t="s">
        <v>157</v>
      </c>
      <c r="H5" s="1" t="s">
        <v>158</v>
      </c>
      <c r="I5" s="1" t="s">
        <v>127</v>
      </c>
      <c r="J5" s="1" t="s">
        <v>128</v>
      </c>
      <c r="K5" s="1" t="s">
        <v>129</v>
      </c>
      <c r="L5" s="9">
        <v>-15498.94</v>
      </c>
      <c r="M5" s="1" t="s">
        <v>103</v>
      </c>
      <c r="N5" s="1" t="s">
        <v>157</v>
      </c>
      <c r="O5" s="1" t="s">
        <v>158</v>
      </c>
      <c r="P5" s="1" t="s">
        <v>127</v>
      </c>
      <c r="Q5" s="1" t="s">
        <v>131</v>
      </c>
      <c r="R5" s="1"/>
      <c r="S5" s="9">
        <v>15498.94</v>
      </c>
      <c r="T5" s="1">
        <v>0</v>
      </c>
      <c r="U5" s="1" t="s">
        <v>132</v>
      </c>
      <c r="V5" s="1" t="s">
        <v>15</v>
      </c>
      <c r="W5" s="1" t="s">
        <v>17</v>
      </c>
      <c r="X5" s="1" t="s">
        <v>111</v>
      </c>
      <c r="Y5" s="1"/>
      <c r="Z5" s="1" t="s">
        <v>159</v>
      </c>
      <c r="AA5" s="1" t="s">
        <v>17</v>
      </c>
      <c r="AB5" s="1">
        <v>0</v>
      </c>
      <c r="AC5" s="1" t="s">
        <v>17</v>
      </c>
      <c r="AD5" t="s">
        <v>112</v>
      </c>
      <c r="AE5" t="s">
        <v>113</v>
      </c>
      <c r="AF5" t="s">
        <v>160</v>
      </c>
      <c r="AG5" t="s">
        <v>114</v>
      </c>
      <c r="AH5" t="s">
        <v>158</v>
      </c>
      <c r="AI5" t="s">
        <v>158</v>
      </c>
      <c r="AJ5" t="s">
        <v>149</v>
      </c>
      <c r="AK5" t="s">
        <v>161</v>
      </c>
      <c r="AL5" t="s">
        <v>137</v>
      </c>
      <c r="AM5" t="s">
        <v>117</v>
      </c>
      <c r="AN5" t="s">
        <v>162</v>
      </c>
      <c r="AO5" t="s">
        <v>139</v>
      </c>
      <c r="AP5" t="s">
        <v>119</v>
      </c>
      <c r="AQ5" t="s">
        <v>119</v>
      </c>
      <c r="AR5" t="s">
        <v>162</v>
      </c>
      <c r="AS5" t="s">
        <v>140</v>
      </c>
      <c r="AT5" t="s">
        <v>157</v>
      </c>
    </row>
    <row r="6" spans="1:46">
      <c r="A6" s="1" t="s">
        <v>163</v>
      </c>
      <c r="B6" s="1" t="s">
        <v>164</v>
      </c>
      <c r="C6" s="1" t="s">
        <v>165</v>
      </c>
      <c r="D6" s="1" t="s">
        <v>101</v>
      </c>
      <c r="E6" s="1" t="s">
        <v>102</v>
      </c>
      <c r="F6" s="1" t="s">
        <v>103</v>
      </c>
      <c r="G6" s="1" t="s">
        <v>166</v>
      </c>
      <c r="H6" s="1" t="s">
        <v>167</v>
      </c>
      <c r="I6" s="1" t="s">
        <v>106</v>
      </c>
      <c r="J6" s="1" t="s">
        <v>107</v>
      </c>
      <c r="K6" s="1"/>
      <c r="L6" s="9">
        <v>15498.94</v>
      </c>
      <c r="M6" s="1" t="s">
        <v>103</v>
      </c>
      <c r="N6" s="1" t="s">
        <v>166</v>
      </c>
      <c r="O6" s="1"/>
      <c r="P6" s="1" t="s">
        <v>106</v>
      </c>
      <c r="Q6" s="1" t="s">
        <v>108</v>
      </c>
      <c r="R6" s="1" t="s">
        <v>109</v>
      </c>
      <c r="S6" s="9">
        <v>-15498.94</v>
      </c>
      <c r="T6" s="1">
        <v>0</v>
      </c>
      <c r="U6" s="1" t="s">
        <v>110</v>
      </c>
      <c r="V6" s="1" t="s">
        <v>15</v>
      </c>
      <c r="W6" s="1" t="s">
        <v>17</v>
      </c>
      <c r="X6" s="1" t="s">
        <v>111</v>
      </c>
      <c r="Y6" s="1"/>
      <c r="Z6" s="1" t="s">
        <v>167</v>
      </c>
      <c r="AA6" s="1" t="s">
        <v>17</v>
      </c>
      <c r="AB6" s="1">
        <v>0</v>
      </c>
      <c r="AC6" s="1" t="s">
        <v>17</v>
      </c>
      <c r="AD6" t="s">
        <v>112</v>
      </c>
      <c r="AE6" t="s">
        <v>113</v>
      </c>
      <c r="AF6" t="s">
        <v>167</v>
      </c>
      <c r="AG6" t="s">
        <v>114</v>
      </c>
      <c r="AH6" t="s">
        <v>168</v>
      </c>
      <c r="AI6" t="s">
        <v>168</v>
      </c>
      <c r="AJ6" t="s">
        <v>17</v>
      </c>
      <c r="AK6" t="s">
        <v>116</v>
      </c>
      <c r="AL6" t="s">
        <v>17</v>
      </c>
      <c r="AM6" t="s">
        <v>117</v>
      </c>
      <c r="AN6" t="s">
        <v>166</v>
      </c>
      <c r="AO6" t="s">
        <v>169</v>
      </c>
      <c r="AP6" t="s">
        <v>119</v>
      </c>
      <c r="AQ6" t="s">
        <v>119</v>
      </c>
      <c r="AR6" t="s">
        <v>166</v>
      </c>
      <c r="AS6" t="s">
        <v>170</v>
      </c>
      <c r="AT6" t="s">
        <v>166</v>
      </c>
    </row>
    <row r="7" spans="1:46">
      <c r="A7" s="1" t="s">
        <v>171</v>
      </c>
      <c r="B7" s="1" t="s">
        <v>172</v>
      </c>
      <c r="C7" s="1" t="s">
        <v>173</v>
      </c>
      <c r="D7" s="1" t="s">
        <v>101</v>
      </c>
      <c r="E7" s="1" t="s">
        <v>124</v>
      </c>
      <c r="F7" s="1" t="s">
        <v>103</v>
      </c>
      <c r="G7" s="1" t="s">
        <v>174</v>
      </c>
      <c r="H7" s="1" t="s">
        <v>175</v>
      </c>
      <c r="I7" s="1" t="s">
        <v>127</v>
      </c>
      <c r="J7" s="1" t="s">
        <v>128</v>
      </c>
      <c r="K7" s="1" t="s">
        <v>129</v>
      </c>
      <c r="L7" s="9">
        <v>-19687.86</v>
      </c>
      <c r="M7" s="1" t="s">
        <v>103</v>
      </c>
      <c r="N7" s="1" t="s">
        <v>176</v>
      </c>
      <c r="O7" s="1" t="s">
        <v>175</v>
      </c>
      <c r="P7" s="1" t="s">
        <v>127</v>
      </c>
      <c r="Q7" s="1" t="s">
        <v>131</v>
      </c>
      <c r="R7" s="1"/>
      <c r="S7" s="9">
        <v>19687.86</v>
      </c>
      <c r="T7" s="1">
        <v>0</v>
      </c>
      <c r="U7" s="1" t="s">
        <v>132</v>
      </c>
      <c r="V7" s="1" t="s">
        <v>15</v>
      </c>
      <c r="W7" s="1" t="s">
        <v>17</v>
      </c>
      <c r="X7" s="1" t="s">
        <v>111</v>
      </c>
      <c r="Y7" s="1"/>
      <c r="Z7" s="1" t="s">
        <v>177</v>
      </c>
      <c r="AA7" s="1" t="s">
        <v>17</v>
      </c>
      <c r="AB7" s="1">
        <v>0</v>
      </c>
      <c r="AC7" s="1" t="s">
        <v>17</v>
      </c>
      <c r="AD7" t="s">
        <v>112</v>
      </c>
      <c r="AE7" t="s">
        <v>113</v>
      </c>
      <c r="AF7" t="s">
        <v>178</v>
      </c>
      <c r="AG7" t="s">
        <v>114</v>
      </c>
      <c r="AH7" t="s">
        <v>175</v>
      </c>
      <c r="AI7" t="s">
        <v>175</v>
      </c>
      <c r="AJ7" t="s">
        <v>149</v>
      </c>
      <c r="AK7" t="s">
        <v>179</v>
      </c>
      <c r="AL7" t="s">
        <v>137</v>
      </c>
      <c r="AM7" t="s">
        <v>117</v>
      </c>
      <c r="AN7" t="s">
        <v>180</v>
      </c>
      <c r="AO7" t="s">
        <v>181</v>
      </c>
      <c r="AP7" t="s">
        <v>119</v>
      </c>
      <c r="AQ7" t="s">
        <v>119</v>
      </c>
      <c r="AR7" t="s">
        <v>180</v>
      </c>
      <c r="AS7" t="s">
        <v>182</v>
      </c>
      <c r="AT7" t="s">
        <v>176</v>
      </c>
    </row>
    <row r="8" spans="1:46">
      <c r="A8" s="1" t="s">
        <v>183</v>
      </c>
      <c r="B8" s="1" t="s">
        <v>184</v>
      </c>
      <c r="C8" s="1" t="s">
        <v>185</v>
      </c>
      <c r="D8" s="1" t="s">
        <v>101</v>
      </c>
      <c r="E8" s="1" t="s">
        <v>124</v>
      </c>
      <c r="F8" s="1" t="s">
        <v>103</v>
      </c>
      <c r="G8" s="1" t="s">
        <v>186</v>
      </c>
      <c r="H8" s="1" t="s">
        <v>187</v>
      </c>
      <c r="I8" s="1" t="s">
        <v>127</v>
      </c>
      <c r="J8" s="1" t="s">
        <v>128</v>
      </c>
      <c r="K8" s="1" t="s">
        <v>129</v>
      </c>
      <c r="L8" s="9">
        <v>-14451.72</v>
      </c>
      <c r="M8" s="1" t="s">
        <v>103</v>
      </c>
      <c r="N8" s="1" t="s">
        <v>186</v>
      </c>
      <c r="O8" s="1" t="s">
        <v>187</v>
      </c>
      <c r="P8" s="1" t="s">
        <v>127</v>
      </c>
      <c r="Q8" s="1" t="s">
        <v>131</v>
      </c>
      <c r="R8" s="1"/>
      <c r="S8" s="9">
        <v>14451.72</v>
      </c>
      <c r="T8" s="1">
        <v>0</v>
      </c>
      <c r="U8" s="1" t="s">
        <v>132</v>
      </c>
      <c r="V8" s="1" t="s">
        <v>15</v>
      </c>
      <c r="W8" s="1" t="s">
        <v>17</v>
      </c>
      <c r="X8" s="1" t="s">
        <v>111</v>
      </c>
      <c r="Y8" s="1"/>
      <c r="Z8" s="1" t="s">
        <v>105</v>
      </c>
      <c r="AA8" s="1" t="s">
        <v>17</v>
      </c>
      <c r="AB8" s="1">
        <v>0</v>
      </c>
      <c r="AC8" s="1" t="s">
        <v>17</v>
      </c>
      <c r="AD8" t="s">
        <v>112</v>
      </c>
      <c r="AE8" t="s">
        <v>113</v>
      </c>
      <c r="AF8" t="s">
        <v>188</v>
      </c>
      <c r="AG8" t="s">
        <v>114</v>
      </c>
      <c r="AH8" t="s">
        <v>187</v>
      </c>
      <c r="AI8" t="s">
        <v>187</v>
      </c>
      <c r="AJ8" t="s">
        <v>149</v>
      </c>
      <c r="AK8" t="s">
        <v>189</v>
      </c>
      <c r="AL8" t="s">
        <v>137</v>
      </c>
      <c r="AM8" t="s">
        <v>117</v>
      </c>
      <c r="AN8" t="s">
        <v>190</v>
      </c>
      <c r="AO8" t="s">
        <v>191</v>
      </c>
      <c r="AP8" t="s">
        <v>119</v>
      </c>
      <c r="AQ8" t="s">
        <v>119</v>
      </c>
      <c r="AR8" t="s">
        <v>190</v>
      </c>
      <c r="AS8" t="s">
        <v>192</v>
      </c>
      <c r="AT8" t="s">
        <v>193</v>
      </c>
    </row>
    <row r="9" spans="1:46">
      <c r="A9" s="1" t="s">
        <v>194</v>
      </c>
      <c r="B9" s="1" t="s">
        <v>195</v>
      </c>
      <c r="C9" s="1" t="s">
        <v>196</v>
      </c>
      <c r="D9" s="1" t="s">
        <v>101</v>
      </c>
      <c r="E9" s="1" t="s">
        <v>102</v>
      </c>
      <c r="F9" s="1" t="s">
        <v>103</v>
      </c>
      <c r="G9" s="1" t="s">
        <v>197</v>
      </c>
      <c r="H9" s="1" t="s">
        <v>198</v>
      </c>
      <c r="I9" s="1" t="s">
        <v>106</v>
      </c>
      <c r="J9" s="1" t="s">
        <v>107</v>
      </c>
      <c r="K9" s="1"/>
      <c r="L9" s="9">
        <v>14451.72</v>
      </c>
      <c r="M9" s="1" t="s">
        <v>103</v>
      </c>
      <c r="N9" s="1" t="s">
        <v>197</v>
      </c>
      <c r="O9" s="1"/>
      <c r="P9" s="1" t="s">
        <v>106</v>
      </c>
      <c r="Q9" s="1" t="s">
        <v>108</v>
      </c>
      <c r="R9" s="1" t="s">
        <v>109</v>
      </c>
      <c r="S9" s="9">
        <v>-14451.72</v>
      </c>
      <c r="T9" s="1">
        <v>0</v>
      </c>
      <c r="U9" s="1" t="s">
        <v>110</v>
      </c>
      <c r="V9" s="1" t="s">
        <v>15</v>
      </c>
      <c r="W9" s="1" t="s">
        <v>17</v>
      </c>
      <c r="X9" s="1" t="s">
        <v>111</v>
      </c>
      <c r="Y9" s="1"/>
      <c r="Z9" s="1" t="s">
        <v>198</v>
      </c>
      <c r="AA9" s="1" t="s">
        <v>17</v>
      </c>
      <c r="AB9" s="1">
        <v>0</v>
      </c>
      <c r="AC9" s="1" t="s">
        <v>17</v>
      </c>
      <c r="AD9" t="s">
        <v>112</v>
      </c>
      <c r="AE9" t="s">
        <v>113</v>
      </c>
      <c r="AF9" t="s">
        <v>198</v>
      </c>
      <c r="AG9" t="s">
        <v>114</v>
      </c>
      <c r="AH9" t="s">
        <v>199</v>
      </c>
      <c r="AI9" t="s">
        <v>199</v>
      </c>
      <c r="AJ9" t="s">
        <v>17</v>
      </c>
      <c r="AK9" t="s">
        <v>200</v>
      </c>
      <c r="AL9" t="s">
        <v>17</v>
      </c>
      <c r="AM9" t="s">
        <v>117</v>
      </c>
      <c r="AN9" t="s">
        <v>197</v>
      </c>
      <c r="AO9" t="s">
        <v>118</v>
      </c>
      <c r="AP9" t="s">
        <v>119</v>
      </c>
      <c r="AQ9" t="s">
        <v>119</v>
      </c>
      <c r="AR9" t="s">
        <v>197</v>
      </c>
      <c r="AS9" t="s">
        <v>120</v>
      </c>
      <c r="AT9" t="s">
        <v>197</v>
      </c>
    </row>
    <row r="10" spans="1:46">
      <c r="A10" s="1" t="s">
        <v>201</v>
      </c>
      <c r="B10" s="1" t="s">
        <v>202</v>
      </c>
      <c r="C10" s="1" t="s">
        <v>203</v>
      </c>
      <c r="D10" s="1" t="s">
        <v>101</v>
      </c>
      <c r="E10" s="1" t="s">
        <v>102</v>
      </c>
      <c r="F10" s="1" t="s">
        <v>103</v>
      </c>
      <c r="G10" s="1" t="s">
        <v>204</v>
      </c>
      <c r="H10" s="1" t="s">
        <v>205</v>
      </c>
      <c r="I10" s="1" t="s">
        <v>106</v>
      </c>
      <c r="J10" s="1" t="s">
        <v>107</v>
      </c>
      <c r="K10" s="1"/>
      <c r="L10" s="9">
        <v>16755.62</v>
      </c>
      <c r="M10" s="1" t="s">
        <v>103</v>
      </c>
      <c r="N10" s="1" t="s">
        <v>204</v>
      </c>
      <c r="O10" s="1"/>
      <c r="P10" s="1" t="s">
        <v>106</v>
      </c>
      <c r="Q10" s="1" t="s">
        <v>108</v>
      </c>
      <c r="R10" s="1" t="s">
        <v>109</v>
      </c>
      <c r="S10" s="9">
        <v>-16755.62</v>
      </c>
      <c r="T10" s="1">
        <v>0</v>
      </c>
      <c r="U10" s="1" t="s">
        <v>110</v>
      </c>
      <c r="V10" s="1" t="s">
        <v>15</v>
      </c>
      <c r="W10" s="1" t="s">
        <v>17</v>
      </c>
      <c r="X10" s="1" t="s">
        <v>111</v>
      </c>
      <c r="Y10" s="1"/>
      <c r="Z10" s="1" t="s">
        <v>205</v>
      </c>
      <c r="AA10" s="1" t="s">
        <v>17</v>
      </c>
      <c r="AB10" s="1">
        <v>0</v>
      </c>
      <c r="AC10" s="1" t="s">
        <v>17</v>
      </c>
      <c r="AD10" t="s">
        <v>112</v>
      </c>
      <c r="AE10" t="s">
        <v>113</v>
      </c>
      <c r="AF10" t="s">
        <v>205</v>
      </c>
      <c r="AG10" t="s">
        <v>114</v>
      </c>
      <c r="AH10" t="s">
        <v>206</v>
      </c>
      <c r="AI10" t="s">
        <v>206</v>
      </c>
      <c r="AJ10" t="s">
        <v>17</v>
      </c>
      <c r="AK10" t="s">
        <v>136</v>
      </c>
      <c r="AL10" t="s">
        <v>17</v>
      </c>
      <c r="AM10" t="s">
        <v>117</v>
      </c>
      <c r="AN10" t="s">
        <v>204</v>
      </c>
      <c r="AO10" t="s">
        <v>207</v>
      </c>
      <c r="AP10" t="s">
        <v>119</v>
      </c>
      <c r="AQ10" t="s">
        <v>119</v>
      </c>
      <c r="AR10" t="s">
        <v>204</v>
      </c>
      <c r="AS10" t="s">
        <v>208</v>
      </c>
      <c r="AT10" t="s">
        <v>204</v>
      </c>
    </row>
    <row r="11" spans="1:46">
      <c r="A11" s="1" t="s">
        <v>209</v>
      </c>
      <c r="B11" s="1" t="s">
        <v>210</v>
      </c>
      <c r="C11" s="1" t="s">
        <v>211</v>
      </c>
      <c r="D11" s="1" t="s">
        <v>101</v>
      </c>
      <c r="E11" s="1" t="s">
        <v>102</v>
      </c>
      <c r="F11" s="1" t="s">
        <v>103</v>
      </c>
      <c r="G11" s="1" t="s">
        <v>212</v>
      </c>
      <c r="H11" s="1" t="s">
        <v>213</v>
      </c>
      <c r="I11" s="1" t="s">
        <v>106</v>
      </c>
      <c r="J11" s="1" t="s">
        <v>107</v>
      </c>
      <c r="K11" s="1"/>
      <c r="L11" s="9">
        <v>13613.94</v>
      </c>
      <c r="M11" s="1" t="s">
        <v>103</v>
      </c>
      <c r="N11" s="1" t="s">
        <v>212</v>
      </c>
      <c r="O11" s="1"/>
      <c r="P11" s="1" t="s">
        <v>106</v>
      </c>
      <c r="Q11" s="1" t="s">
        <v>108</v>
      </c>
      <c r="R11" s="1" t="s">
        <v>109</v>
      </c>
      <c r="S11" s="9">
        <v>-13613.94</v>
      </c>
      <c r="T11" s="1">
        <v>0</v>
      </c>
      <c r="U11" s="1" t="s">
        <v>110</v>
      </c>
      <c r="V11" s="1" t="s">
        <v>15</v>
      </c>
      <c r="W11" s="1" t="s">
        <v>17</v>
      </c>
      <c r="X11" s="1" t="s">
        <v>111</v>
      </c>
      <c r="Y11" s="1"/>
      <c r="Z11" s="1" t="s">
        <v>213</v>
      </c>
      <c r="AA11" s="1" t="s">
        <v>17</v>
      </c>
      <c r="AB11" s="1">
        <v>0</v>
      </c>
      <c r="AC11" s="1" t="s">
        <v>17</v>
      </c>
      <c r="AD11" t="s">
        <v>112</v>
      </c>
      <c r="AE11" t="s">
        <v>113</v>
      </c>
      <c r="AF11" t="s">
        <v>213</v>
      </c>
      <c r="AG11" t="s">
        <v>114</v>
      </c>
      <c r="AH11" t="s">
        <v>214</v>
      </c>
      <c r="AI11" t="s">
        <v>214</v>
      </c>
      <c r="AJ11" t="s">
        <v>17</v>
      </c>
      <c r="AK11" t="s">
        <v>200</v>
      </c>
      <c r="AL11" t="s">
        <v>17</v>
      </c>
      <c r="AM11" t="s">
        <v>117</v>
      </c>
      <c r="AN11" t="s">
        <v>212</v>
      </c>
      <c r="AO11" t="s">
        <v>215</v>
      </c>
      <c r="AP11" t="s">
        <v>119</v>
      </c>
      <c r="AQ11" t="s">
        <v>119</v>
      </c>
      <c r="AR11" t="s">
        <v>212</v>
      </c>
      <c r="AS11" t="s">
        <v>216</v>
      </c>
      <c r="AT11" t="s">
        <v>212</v>
      </c>
    </row>
    <row r="12" spans="1:46">
      <c r="A12" s="1" t="s">
        <v>217</v>
      </c>
      <c r="B12" s="1" t="s">
        <v>218</v>
      </c>
      <c r="C12" s="1" t="s">
        <v>219</v>
      </c>
      <c r="D12" s="1" t="s">
        <v>101</v>
      </c>
      <c r="E12" s="1" t="s">
        <v>124</v>
      </c>
      <c r="F12" s="1" t="s">
        <v>103</v>
      </c>
      <c r="G12" s="1" t="s">
        <v>138</v>
      </c>
      <c r="H12" s="1" t="s">
        <v>220</v>
      </c>
      <c r="I12" s="1" t="s">
        <v>127</v>
      </c>
      <c r="J12" s="1" t="s">
        <v>128</v>
      </c>
      <c r="K12" s="1" t="s">
        <v>129</v>
      </c>
      <c r="L12" s="9">
        <v>-15498.94</v>
      </c>
      <c r="M12" s="1" t="s">
        <v>103</v>
      </c>
      <c r="N12" s="1" t="s">
        <v>221</v>
      </c>
      <c r="O12" s="1" t="s">
        <v>220</v>
      </c>
      <c r="P12" s="1" t="s">
        <v>127</v>
      </c>
      <c r="Q12" s="1" t="s">
        <v>131</v>
      </c>
      <c r="R12" s="1"/>
      <c r="S12" s="9">
        <v>15498.94</v>
      </c>
      <c r="T12" s="1">
        <v>0</v>
      </c>
      <c r="U12" s="1" t="s">
        <v>132</v>
      </c>
      <c r="V12" s="1" t="s">
        <v>15</v>
      </c>
      <c r="W12" s="1" t="s">
        <v>17</v>
      </c>
      <c r="X12" s="1" t="s">
        <v>111</v>
      </c>
      <c r="Y12" s="1"/>
      <c r="Z12" s="1" t="s">
        <v>222</v>
      </c>
      <c r="AA12" s="1" t="s">
        <v>17</v>
      </c>
      <c r="AB12" s="1">
        <v>0</v>
      </c>
      <c r="AC12" s="1" t="s">
        <v>17</v>
      </c>
      <c r="AD12" t="s">
        <v>112</v>
      </c>
      <c r="AE12" t="s">
        <v>113</v>
      </c>
      <c r="AF12" t="s">
        <v>223</v>
      </c>
      <c r="AG12" t="s">
        <v>114</v>
      </c>
      <c r="AH12" t="s">
        <v>220</v>
      </c>
      <c r="AI12" t="s">
        <v>220</v>
      </c>
      <c r="AJ12" t="s">
        <v>135</v>
      </c>
      <c r="AK12" t="s">
        <v>200</v>
      </c>
      <c r="AL12" t="s">
        <v>137</v>
      </c>
      <c r="AM12" t="s">
        <v>117</v>
      </c>
      <c r="AN12" t="s">
        <v>224</v>
      </c>
      <c r="AO12" t="s">
        <v>139</v>
      </c>
      <c r="AP12" t="s">
        <v>119</v>
      </c>
      <c r="AQ12" t="s">
        <v>119</v>
      </c>
      <c r="AR12" t="s">
        <v>224</v>
      </c>
      <c r="AS12" t="s">
        <v>140</v>
      </c>
      <c r="AT12" t="s">
        <v>221</v>
      </c>
    </row>
    <row r="13" spans="1:46">
      <c r="A13" s="1" t="s">
        <v>225</v>
      </c>
      <c r="B13" s="1" t="s">
        <v>226</v>
      </c>
      <c r="C13" s="1" t="s">
        <v>227</v>
      </c>
      <c r="D13" s="1" t="s">
        <v>101</v>
      </c>
      <c r="E13" s="1" t="s">
        <v>102</v>
      </c>
      <c r="F13" s="1" t="s">
        <v>103</v>
      </c>
      <c r="G13" s="1" t="s">
        <v>228</v>
      </c>
      <c r="H13" s="1" t="s">
        <v>229</v>
      </c>
      <c r="I13" s="1" t="s">
        <v>106</v>
      </c>
      <c r="J13" s="1" t="s">
        <v>107</v>
      </c>
      <c r="K13" s="1"/>
      <c r="L13" s="9">
        <v>38859</v>
      </c>
      <c r="M13" s="1" t="s">
        <v>103</v>
      </c>
      <c r="N13" s="1" t="s">
        <v>228</v>
      </c>
      <c r="O13" s="1"/>
      <c r="P13" s="1" t="s">
        <v>106</v>
      </c>
      <c r="Q13" s="1" t="s">
        <v>108</v>
      </c>
      <c r="R13" s="1" t="s">
        <v>230</v>
      </c>
      <c r="S13" s="9">
        <v>-38859</v>
      </c>
      <c r="T13" s="1">
        <v>0</v>
      </c>
      <c r="U13" s="1" t="s">
        <v>110</v>
      </c>
      <c r="V13" s="1" t="s">
        <v>15</v>
      </c>
      <c r="W13" s="1" t="s">
        <v>17</v>
      </c>
      <c r="X13" s="1" t="s">
        <v>111</v>
      </c>
      <c r="Y13" s="1"/>
      <c r="Z13" s="1" t="s">
        <v>229</v>
      </c>
      <c r="AA13" s="1" t="s">
        <v>17</v>
      </c>
      <c r="AB13" s="1">
        <v>0</v>
      </c>
      <c r="AC13" s="1" t="s">
        <v>17</v>
      </c>
      <c r="AD13" t="s">
        <v>112</v>
      </c>
      <c r="AE13" t="s">
        <v>231</v>
      </c>
      <c r="AF13" t="s">
        <v>229</v>
      </c>
      <c r="AG13" t="s">
        <v>114</v>
      </c>
      <c r="AH13" t="s">
        <v>232</v>
      </c>
      <c r="AI13" t="s">
        <v>232</v>
      </c>
      <c r="AJ13" t="s">
        <v>17</v>
      </c>
      <c r="AK13" t="s">
        <v>233</v>
      </c>
      <c r="AL13" t="s">
        <v>17</v>
      </c>
      <c r="AM13" t="s">
        <v>117</v>
      </c>
      <c r="AN13" t="s">
        <v>228</v>
      </c>
      <c r="AO13" t="s">
        <v>234</v>
      </c>
      <c r="AP13" t="s">
        <v>119</v>
      </c>
      <c r="AQ13" t="s">
        <v>119</v>
      </c>
      <c r="AR13" t="s">
        <v>228</v>
      </c>
      <c r="AS13" t="s">
        <v>235</v>
      </c>
      <c r="AT13" t="s">
        <v>228</v>
      </c>
    </row>
    <row r="14" spans="1:46">
      <c r="A14" s="1" t="s">
        <v>236</v>
      </c>
      <c r="B14" s="1" t="s">
        <v>237</v>
      </c>
      <c r="C14" s="1" t="s">
        <v>238</v>
      </c>
      <c r="D14" s="1" t="s">
        <v>36</v>
      </c>
      <c r="E14" s="1" t="s">
        <v>124</v>
      </c>
      <c r="F14" s="1" t="s">
        <v>103</v>
      </c>
      <c r="G14" s="1" t="s">
        <v>239</v>
      </c>
      <c r="H14" s="1" t="s">
        <v>240</v>
      </c>
      <c r="I14" s="1" t="s">
        <v>127</v>
      </c>
      <c r="J14" s="1" t="s">
        <v>241</v>
      </c>
      <c r="K14" s="1" t="s">
        <v>242</v>
      </c>
      <c r="L14" s="9">
        <v>-8120</v>
      </c>
      <c r="M14" s="1" t="s">
        <v>103</v>
      </c>
      <c r="N14" s="1" t="s">
        <v>239</v>
      </c>
      <c r="O14" s="1" t="s">
        <v>240</v>
      </c>
      <c r="P14" s="1" t="s">
        <v>127</v>
      </c>
      <c r="Q14" s="1" t="s">
        <v>131</v>
      </c>
      <c r="R14" s="1"/>
      <c r="S14" s="9">
        <v>8260</v>
      </c>
      <c r="T14" s="1">
        <v>140</v>
      </c>
      <c r="U14" s="1" t="s">
        <v>243</v>
      </c>
      <c r="V14" s="1" t="s">
        <v>15</v>
      </c>
      <c r="W14" s="1" t="s">
        <v>17</v>
      </c>
      <c r="X14" s="1" t="s">
        <v>111</v>
      </c>
      <c r="Y14" s="1"/>
      <c r="Z14" s="1" t="s">
        <v>147</v>
      </c>
      <c r="AA14" s="1" t="s">
        <v>17</v>
      </c>
      <c r="AB14" s="1">
        <v>-140</v>
      </c>
      <c r="AC14" s="1" t="s">
        <v>17</v>
      </c>
      <c r="AD14" t="s">
        <v>112</v>
      </c>
      <c r="AE14" t="s">
        <v>113</v>
      </c>
      <c r="AF14" t="s">
        <v>244</v>
      </c>
      <c r="AG14" t="s">
        <v>114</v>
      </c>
      <c r="AH14" t="s">
        <v>240</v>
      </c>
      <c r="AI14" t="s">
        <v>240</v>
      </c>
      <c r="AJ14" t="s">
        <v>149</v>
      </c>
      <c r="AK14" t="s">
        <v>150</v>
      </c>
      <c r="AL14" t="s">
        <v>137</v>
      </c>
      <c r="AM14" t="s">
        <v>117</v>
      </c>
      <c r="AN14" t="s">
        <v>245</v>
      </c>
      <c r="AO14" t="s">
        <v>246</v>
      </c>
      <c r="AP14" t="s">
        <v>119</v>
      </c>
      <c r="AQ14" t="s">
        <v>119</v>
      </c>
      <c r="AR14" t="s">
        <v>245</v>
      </c>
      <c r="AS14" t="s">
        <v>247</v>
      </c>
      <c r="AT14" t="s">
        <v>151</v>
      </c>
    </row>
    <row r="15" spans="1:46">
      <c r="A15" s="1" t="s">
        <v>248</v>
      </c>
      <c r="B15" s="1" t="s">
        <v>249</v>
      </c>
      <c r="C15" s="1" t="s">
        <v>250</v>
      </c>
      <c r="D15" s="1" t="s">
        <v>40</v>
      </c>
      <c r="E15" s="1" t="s">
        <v>124</v>
      </c>
      <c r="F15" s="1" t="s">
        <v>103</v>
      </c>
      <c r="G15" s="1" t="s">
        <v>251</v>
      </c>
      <c r="H15" s="1" t="s">
        <v>252</v>
      </c>
      <c r="I15" s="1" t="s">
        <v>127</v>
      </c>
      <c r="J15" s="1" t="s">
        <v>128</v>
      </c>
      <c r="K15" s="1" t="s">
        <v>253</v>
      </c>
      <c r="L15" s="9">
        <v>-64849</v>
      </c>
      <c r="M15" s="1" t="s">
        <v>103</v>
      </c>
      <c r="N15" s="1" t="s">
        <v>251</v>
      </c>
      <c r="O15" s="1" t="s">
        <v>252</v>
      </c>
      <c r="P15" s="1" t="s">
        <v>127</v>
      </c>
      <c r="Q15" s="1" t="s">
        <v>131</v>
      </c>
      <c r="R15" s="1"/>
      <c r="S15" s="9">
        <v>64849.120000000003</v>
      </c>
      <c r="T15" s="1">
        <v>0.12000000000261934</v>
      </c>
      <c r="U15" s="1" t="s">
        <v>146</v>
      </c>
      <c r="V15" s="1" t="s">
        <v>15</v>
      </c>
      <c r="W15" s="1" t="s">
        <v>17</v>
      </c>
      <c r="X15" s="1" t="s">
        <v>111</v>
      </c>
      <c r="Y15" s="1"/>
      <c r="Z15" s="1" t="s">
        <v>254</v>
      </c>
      <c r="AA15" s="1" t="s">
        <v>17</v>
      </c>
      <c r="AB15" s="1">
        <v>0</v>
      </c>
      <c r="AC15" s="1" t="s">
        <v>17</v>
      </c>
      <c r="AD15" t="s">
        <v>112</v>
      </c>
      <c r="AE15" t="s">
        <v>231</v>
      </c>
      <c r="AF15" t="s">
        <v>255</v>
      </c>
      <c r="AG15" t="s">
        <v>114</v>
      </c>
      <c r="AH15" t="s">
        <v>252</v>
      </c>
      <c r="AI15" t="s">
        <v>256</v>
      </c>
      <c r="AJ15" t="s">
        <v>135</v>
      </c>
      <c r="AK15" t="s">
        <v>257</v>
      </c>
      <c r="AL15" t="s">
        <v>137</v>
      </c>
      <c r="AM15" t="s">
        <v>117</v>
      </c>
      <c r="AN15" t="s">
        <v>258</v>
      </c>
      <c r="AO15" t="s">
        <v>259</v>
      </c>
      <c r="AP15" t="s">
        <v>119</v>
      </c>
      <c r="AQ15" t="s">
        <v>119</v>
      </c>
      <c r="AR15" t="s">
        <v>258</v>
      </c>
      <c r="AS15" t="s">
        <v>260</v>
      </c>
      <c r="AT15" t="s">
        <v>261</v>
      </c>
    </row>
    <row r="16" spans="1:46">
      <c r="A16" s="1" t="s">
        <v>262</v>
      </c>
      <c r="B16" s="1" t="s">
        <v>263</v>
      </c>
      <c r="C16" s="1" t="s">
        <v>264</v>
      </c>
      <c r="D16" s="1" t="s">
        <v>36</v>
      </c>
      <c r="E16" s="1" t="s">
        <v>124</v>
      </c>
      <c r="F16" s="1" t="s">
        <v>103</v>
      </c>
      <c r="G16" s="1" t="s">
        <v>265</v>
      </c>
      <c r="H16" s="1" t="s">
        <v>266</v>
      </c>
      <c r="I16" s="1" t="s">
        <v>127</v>
      </c>
      <c r="J16" s="1" t="s">
        <v>241</v>
      </c>
      <c r="K16" s="1" t="s">
        <v>267</v>
      </c>
      <c r="L16" s="9">
        <v>-8120</v>
      </c>
      <c r="M16" s="1" t="s">
        <v>103</v>
      </c>
      <c r="N16" s="1" t="s">
        <v>265</v>
      </c>
      <c r="O16" s="1" t="s">
        <v>266</v>
      </c>
      <c r="P16" s="1" t="s">
        <v>127</v>
      </c>
      <c r="Q16" s="1" t="s">
        <v>131</v>
      </c>
      <c r="R16" s="1"/>
      <c r="S16" s="9">
        <v>8260</v>
      </c>
      <c r="T16" s="1">
        <v>140</v>
      </c>
      <c r="U16" s="1" t="s">
        <v>243</v>
      </c>
      <c r="V16" s="1" t="s">
        <v>15</v>
      </c>
      <c r="W16" s="1" t="s">
        <v>17</v>
      </c>
      <c r="X16" s="1" t="s">
        <v>111</v>
      </c>
      <c r="Y16" s="1"/>
      <c r="Z16" s="1" t="s">
        <v>268</v>
      </c>
      <c r="AA16" s="1" t="s">
        <v>17</v>
      </c>
      <c r="AB16" s="1">
        <v>-140</v>
      </c>
      <c r="AC16" s="1" t="s">
        <v>17</v>
      </c>
      <c r="AD16" t="s">
        <v>112</v>
      </c>
      <c r="AE16" t="s">
        <v>113</v>
      </c>
      <c r="AF16" t="s">
        <v>269</v>
      </c>
      <c r="AG16" t="s">
        <v>114</v>
      </c>
      <c r="AH16" t="s">
        <v>266</v>
      </c>
      <c r="AI16" t="s">
        <v>266</v>
      </c>
      <c r="AJ16" t="s">
        <v>135</v>
      </c>
      <c r="AK16" t="s">
        <v>200</v>
      </c>
      <c r="AL16" t="s">
        <v>137</v>
      </c>
      <c r="AM16" t="s">
        <v>117</v>
      </c>
      <c r="AN16" t="s">
        <v>197</v>
      </c>
      <c r="AO16" t="s">
        <v>246</v>
      </c>
      <c r="AP16" t="s">
        <v>119</v>
      </c>
      <c r="AQ16" t="s">
        <v>119</v>
      </c>
      <c r="AR16" t="s">
        <v>197</v>
      </c>
      <c r="AS16" t="s">
        <v>247</v>
      </c>
      <c r="AT16" t="s">
        <v>270</v>
      </c>
    </row>
    <row r="17" spans="1:46">
      <c r="A17" s="1" t="s">
        <v>271</v>
      </c>
      <c r="B17" s="1" t="s">
        <v>272</v>
      </c>
      <c r="C17" s="1" t="s">
        <v>273</v>
      </c>
      <c r="D17" s="1" t="s">
        <v>101</v>
      </c>
      <c r="E17" s="1" t="s">
        <v>124</v>
      </c>
      <c r="F17" s="1" t="s">
        <v>103</v>
      </c>
      <c r="G17" s="1" t="s">
        <v>274</v>
      </c>
      <c r="H17" s="1" t="s">
        <v>275</v>
      </c>
      <c r="I17" s="1" t="s">
        <v>127</v>
      </c>
      <c r="J17" s="1" t="s">
        <v>128</v>
      </c>
      <c r="K17" s="1" t="s">
        <v>129</v>
      </c>
      <c r="L17" s="9">
        <v>-11938.37</v>
      </c>
      <c r="M17" s="1" t="s">
        <v>103</v>
      </c>
      <c r="N17" s="1" t="s">
        <v>274</v>
      </c>
      <c r="O17" s="1" t="s">
        <v>275</v>
      </c>
      <c r="P17" s="1" t="s">
        <v>127</v>
      </c>
      <c r="Q17" s="1" t="s">
        <v>131</v>
      </c>
      <c r="R17" s="1"/>
      <c r="S17" s="9">
        <v>11938.37</v>
      </c>
      <c r="T17" s="1">
        <v>0</v>
      </c>
      <c r="U17" s="1" t="s">
        <v>132</v>
      </c>
      <c r="V17" s="1" t="s">
        <v>15</v>
      </c>
      <c r="W17" s="1" t="s">
        <v>17</v>
      </c>
      <c r="X17" s="1" t="s">
        <v>111</v>
      </c>
      <c r="Y17" s="1"/>
      <c r="Z17" s="1" t="s">
        <v>276</v>
      </c>
      <c r="AA17" s="1" t="s">
        <v>17</v>
      </c>
      <c r="AB17" s="1">
        <v>0</v>
      </c>
      <c r="AC17" s="1" t="s">
        <v>17</v>
      </c>
      <c r="AD17" t="s">
        <v>112</v>
      </c>
      <c r="AE17" t="s">
        <v>113</v>
      </c>
      <c r="AF17" t="s">
        <v>277</v>
      </c>
      <c r="AG17" t="s">
        <v>114</v>
      </c>
      <c r="AH17" t="s">
        <v>275</v>
      </c>
      <c r="AI17" t="s">
        <v>275</v>
      </c>
      <c r="AJ17" t="s">
        <v>149</v>
      </c>
      <c r="AK17" t="s">
        <v>150</v>
      </c>
      <c r="AL17" t="s">
        <v>137</v>
      </c>
      <c r="AM17" t="s">
        <v>117</v>
      </c>
      <c r="AN17" t="s">
        <v>278</v>
      </c>
      <c r="AO17" t="s">
        <v>279</v>
      </c>
      <c r="AP17" t="s">
        <v>119</v>
      </c>
      <c r="AQ17" t="s">
        <v>119</v>
      </c>
      <c r="AR17" t="s">
        <v>278</v>
      </c>
      <c r="AS17" t="s">
        <v>280</v>
      </c>
      <c r="AT17" t="s">
        <v>274</v>
      </c>
    </row>
    <row r="18" spans="1:46">
      <c r="A18" s="1" t="s">
        <v>281</v>
      </c>
      <c r="B18" s="1" t="s">
        <v>282</v>
      </c>
      <c r="C18" s="1" t="s">
        <v>283</v>
      </c>
      <c r="D18" s="1" t="s">
        <v>101</v>
      </c>
      <c r="E18" s="1" t="s">
        <v>124</v>
      </c>
      <c r="F18" s="1" t="s">
        <v>103</v>
      </c>
      <c r="G18" s="1" t="s">
        <v>190</v>
      </c>
      <c r="H18" s="1" t="s">
        <v>284</v>
      </c>
      <c r="I18" s="1" t="s">
        <v>127</v>
      </c>
      <c r="J18" s="1" t="s">
        <v>128</v>
      </c>
      <c r="K18" s="1" t="s">
        <v>129</v>
      </c>
      <c r="L18" s="9">
        <v>-17802.84</v>
      </c>
      <c r="M18" s="1" t="s">
        <v>103</v>
      </c>
      <c r="N18" s="1" t="s">
        <v>190</v>
      </c>
      <c r="O18" s="1" t="s">
        <v>284</v>
      </c>
      <c r="P18" s="1" t="s">
        <v>127</v>
      </c>
      <c r="Q18" s="1" t="s">
        <v>131</v>
      </c>
      <c r="R18" s="1"/>
      <c r="S18" s="9">
        <v>17802.84</v>
      </c>
      <c r="T18" s="1">
        <v>0</v>
      </c>
      <c r="U18" s="1" t="s">
        <v>132</v>
      </c>
      <c r="V18" s="1" t="s">
        <v>15</v>
      </c>
      <c r="W18" s="1" t="s">
        <v>17</v>
      </c>
      <c r="X18" s="1" t="s">
        <v>111</v>
      </c>
      <c r="Y18" s="1"/>
      <c r="Z18" s="1" t="s">
        <v>285</v>
      </c>
      <c r="AA18" s="1" t="s">
        <v>17</v>
      </c>
      <c r="AB18" s="1">
        <v>0</v>
      </c>
      <c r="AC18" s="1" t="s">
        <v>17</v>
      </c>
      <c r="AD18" t="s">
        <v>112</v>
      </c>
      <c r="AE18" t="s">
        <v>113</v>
      </c>
      <c r="AF18" t="s">
        <v>286</v>
      </c>
      <c r="AG18" t="s">
        <v>114</v>
      </c>
      <c r="AH18" t="s">
        <v>284</v>
      </c>
      <c r="AI18" t="s">
        <v>284</v>
      </c>
      <c r="AJ18" t="s">
        <v>149</v>
      </c>
      <c r="AK18" t="s">
        <v>116</v>
      </c>
      <c r="AL18" t="s">
        <v>137</v>
      </c>
      <c r="AM18" t="s">
        <v>117</v>
      </c>
      <c r="AN18" t="s">
        <v>287</v>
      </c>
      <c r="AO18" t="s">
        <v>288</v>
      </c>
      <c r="AP18" t="s">
        <v>119</v>
      </c>
      <c r="AQ18" t="s">
        <v>119</v>
      </c>
      <c r="AR18" t="s">
        <v>287</v>
      </c>
      <c r="AS18" t="s">
        <v>289</v>
      </c>
      <c r="AT18" t="s">
        <v>290</v>
      </c>
    </row>
    <row r="19" spans="1:46">
      <c r="A19" s="1" t="s">
        <v>291</v>
      </c>
      <c r="B19" s="1" t="s">
        <v>292</v>
      </c>
      <c r="C19" s="1" t="s">
        <v>293</v>
      </c>
      <c r="D19" s="1" t="s">
        <v>101</v>
      </c>
      <c r="E19" s="1" t="s">
        <v>124</v>
      </c>
      <c r="F19" s="1" t="s">
        <v>103</v>
      </c>
      <c r="G19" s="1" t="s">
        <v>294</v>
      </c>
      <c r="H19" s="1" t="s">
        <v>295</v>
      </c>
      <c r="I19" s="1" t="s">
        <v>127</v>
      </c>
      <c r="J19" s="1" t="s">
        <v>128</v>
      </c>
      <c r="K19" s="1" t="s">
        <v>129</v>
      </c>
      <c r="L19" s="9">
        <v>-14661.16</v>
      </c>
      <c r="M19" s="1" t="s">
        <v>103</v>
      </c>
      <c r="N19" s="1" t="s">
        <v>294</v>
      </c>
      <c r="O19" s="1" t="s">
        <v>295</v>
      </c>
      <c r="P19" s="1" t="s">
        <v>127</v>
      </c>
      <c r="Q19" s="1" t="s">
        <v>131</v>
      </c>
      <c r="R19" s="1"/>
      <c r="S19" s="9">
        <v>14661.16</v>
      </c>
      <c r="T19" s="1">
        <v>0</v>
      </c>
      <c r="U19" s="1" t="s">
        <v>132</v>
      </c>
      <c r="V19" s="1" t="s">
        <v>15</v>
      </c>
      <c r="W19" s="1" t="s">
        <v>17</v>
      </c>
      <c r="X19" s="1" t="s">
        <v>111</v>
      </c>
      <c r="Y19" s="1"/>
      <c r="Z19" s="1" t="s">
        <v>296</v>
      </c>
      <c r="AA19" s="1" t="s">
        <v>17</v>
      </c>
      <c r="AB19" s="1">
        <v>0</v>
      </c>
      <c r="AC19" s="1" t="s">
        <v>17</v>
      </c>
      <c r="AD19" t="s">
        <v>112</v>
      </c>
      <c r="AE19" t="s">
        <v>113</v>
      </c>
      <c r="AF19" t="s">
        <v>297</v>
      </c>
      <c r="AG19" t="s">
        <v>114</v>
      </c>
      <c r="AH19" t="s">
        <v>295</v>
      </c>
      <c r="AI19" t="s">
        <v>295</v>
      </c>
      <c r="AJ19" t="s">
        <v>135</v>
      </c>
      <c r="AK19" t="s">
        <v>257</v>
      </c>
      <c r="AL19" t="s">
        <v>137</v>
      </c>
      <c r="AM19" t="s">
        <v>117</v>
      </c>
      <c r="AN19" t="s">
        <v>298</v>
      </c>
      <c r="AO19" t="s">
        <v>299</v>
      </c>
      <c r="AP19" t="s">
        <v>119</v>
      </c>
      <c r="AQ19" t="s">
        <v>119</v>
      </c>
      <c r="AR19" t="s">
        <v>298</v>
      </c>
      <c r="AS19" t="s">
        <v>300</v>
      </c>
      <c r="AT19" t="s">
        <v>301</v>
      </c>
    </row>
    <row r="20" spans="1:46">
      <c r="A20" s="1" t="s">
        <v>302</v>
      </c>
      <c r="B20" s="1" t="s">
        <v>303</v>
      </c>
      <c r="C20" s="1" t="s">
        <v>304</v>
      </c>
      <c r="D20" s="1" t="s">
        <v>101</v>
      </c>
      <c r="E20" s="1" t="s">
        <v>102</v>
      </c>
      <c r="F20" s="1" t="s">
        <v>103</v>
      </c>
      <c r="G20" s="1" t="s">
        <v>305</v>
      </c>
      <c r="H20" s="1" t="s">
        <v>306</v>
      </c>
      <c r="I20" s="1" t="s">
        <v>106</v>
      </c>
      <c r="J20" s="1" t="s">
        <v>107</v>
      </c>
      <c r="K20" s="1"/>
      <c r="L20" s="9">
        <v>18431.189999999999</v>
      </c>
      <c r="M20" s="1" t="s">
        <v>103</v>
      </c>
      <c r="N20" s="1" t="s">
        <v>305</v>
      </c>
      <c r="O20" s="1"/>
      <c r="P20" s="1" t="s">
        <v>106</v>
      </c>
      <c r="Q20" s="1" t="s">
        <v>108</v>
      </c>
      <c r="R20" s="1" t="s">
        <v>109</v>
      </c>
      <c r="S20" s="9">
        <v>-18431.189999999999</v>
      </c>
      <c r="T20" s="1">
        <v>0</v>
      </c>
      <c r="U20" s="1" t="s">
        <v>110</v>
      </c>
      <c r="V20" s="1" t="s">
        <v>15</v>
      </c>
      <c r="W20" s="1" t="s">
        <v>17</v>
      </c>
      <c r="X20" s="1" t="s">
        <v>111</v>
      </c>
      <c r="Y20" s="1"/>
      <c r="Z20" s="1" t="s">
        <v>306</v>
      </c>
      <c r="AA20" s="1" t="s">
        <v>17</v>
      </c>
      <c r="AB20" s="1">
        <v>0</v>
      </c>
      <c r="AC20" s="1" t="s">
        <v>17</v>
      </c>
      <c r="AD20" t="s">
        <v>112</v>
      </c>
      <c r="AE20" t="s">
        <v>113</v>
      </c>
      <c r="AF20" t="s">
        <v>306</v>
      </c>
      <c r="AG20" t="s">
        <v>114</v>
      </c>
      <c r="AH20" t="s">
        <v>307</v>
      </c>
      <c r="AI20" t="s">
        <v>307</v>
      </c>
      <c r="AJ20" t="s">
        <v>17</v>
      </c>
      <c r="AK20" t="s">
        <v>308</v>
      </c>
      <c r="AL20" t="s">
        <v>17</v>
      </c>
      <c r="AM20" t="s">
        <v>117</v>
      </c>
      <c r="AN20" t="s">
        <v>305</v>
      </c>
      <c r="AO20" t="s">
        <v>309</v>
      </c>
      <c r="AP20" t="s">
        <v>119</v>
      </c>
      <c r="AQ20" t="s">
        <v>119</v>
      </c>
      <c r="AR20" t="s">
        <v>305</v>
      </c>
      <c r="AS20" t="s">
        <v>310</v>
      </c>
      <c r="AT20" t="s">
        <v>305</v>
      </c>
    </row>
    <row r="21" spans="1:46">
      <c r="A21" s="1" t="s">
        <v>311</v>
      </c>
      <c r="B21" s="1" t="s">
        <v>312</v>
      </c>
      <c r="C21" s="1" t="s">
        <v>313</v>
      </c>
      <c r="D21" s="1" t="s">
        <v>101</v>
      </c>
      <c r="E21" s="1" t="s">
        <v>124</v>
      </c>
      <c r="F21" s="1" t="s">
        <v>103</v>
      </c>
      <c r="G21" s="1" t="s">
        <v>314</v>
      </c>
      <c r="H21" s="1" t="s">
        <v>315</v>
      </c>
      <c r="I21" s="1" t="s">
        <v>127</v>
      </c>
      <c r="J21" s="1" t="s">
        <v>128</v>
      </c>
      <c r="K21" s="1" t="s">
        <v>129</v>
      </c>
      <c r="L21" s="9">
        <v>-17174.509999999998</v>
      </c>
      <c r="M21" s="1" t="s">
        <v>103</v>
      </c>
      <c r="N21" s="1" t="s">
        <v>316</v>
      </c>
      <c r="O21" s="1" t="s">
        <v>315</v>
      </c>
      <c r="P21" s="1" t="s">
        <v>127</v>
      </c>
      <c r="Q21" s="1" t="s">
        <v>131</v>
      </c>
      <c r="R21" s="1"/>
      <c r="S21" s="9">
        <v>17174.509999999998</v>
      </c>
      <c r="T21" s="1">
        <v>0</v>
      </c>
      <c r="U21" s="1" t="s">
        <v>132</v>
      </c>
      <c r="V21" s="1" t="s">
        <v>15</v>
      </c>
      <c r="W21" s="1" t="s">
        <v>17</v>
      </c>
      <c r="X21" s="1" t="s">
        <v>111</v>
      </c>
      <c r="Y21" s="1"/>
      <c r="Z21" s="1" t="s">
        <v>317</v>
      </c>
      <c r="AA21" s="1" t="s">
        <v>17</v>
      </c>
      <c r="AB21" s="1">
        <v>0</v>
      </c>
      <c r="AC21" s="1" t="s">
        <v>17</v>
      </c>
      <c r="AD21" t="s">
        <v>112</v>
      </c>
      <c r="AE21" t="s">
        <v>113</v>
      </c>
      <c r="AF21" t="s">
        <v>318</v>
      </c>
      <c r="AG21" t="s">
        <v>114</v>
      </c>
      <c r="AH21" t="s">
        <v>315</v>
      </c>
      <c r="AI21" t="s">
        <v>319</v>
      </c>
      <c r="AJ21" t="s">
        <v>135</v>
      </c>
      <c r="AK21" t="s">
        <v>179</v>
      </c>
      <c r="AL21" t="s">
        <v>137</v>
      </c>
      <c r="AM21" t="s">
        <v>117</v>
      </c>
      <c r="AN21" t="s">
        <v>320</v>
      </c>
      <c r="AO21" t="s">
        <v>321</v>
      </c>
      <c r="AP21" t="s">
        <v>119</v>
      </c>
      <c r="AQ21" t="s">
        <v>119</v>
      </c>
      <c r="AR21" t="s">
        <v>320</v>
      </c>
      <c r="AS21" t="s">
        <v>322</v>
      </c>
      <c r="AT21" t="s">
        <v>316</v>
      </c>
    </row>
    <row r="22" spans="1:46">
      <c r="A22" s="1" t="s">
        <v>323</v>
      </c>
      <c r="B22" s="1" t="s">
        <v>324</v>
      </c>
      <c r="C22" s="1" t="s">
        <v>325</v>
      </c>
      <c r="D22" s="1" t="s">
        <v>101</v>
      </c>
      <c r="E22" s="1" t="s">
        <v>102</v>
      </c>
      <c r="F22" s="1" t="s">
        <v>103</v>
      </c>
      <c r="G22" s="1" t="s">
        <v>290</v>
      </c>
      <c r="H22" s="1" t="s">
        <v>326</v>
      </c>
      <c r="I22" s="1" t="s">
        <v>106</v>
      </c>
      <c r="J22" s="1" t="s">
        <v>107</v>
      </c>
      <c r="K22" s="1"/>
      <c r="L22" s="9">
        <v>31207</v>
      </c>
      <c r="M22" s="1" t="s">
        <v>103</v>
      </c>
      <c r="N22" s="1" t="s">
        <v>290</v>
      </c>
      <c r="O22" s="1"/>
      <c r="P22" s="1" t="s">
        <v>106</v>
      </c>
      <c r="Q22" s="1" t="s">
        <v>108</v>
      </c>
      <c r="R22" s="1" t="s">
        <v>109</v>
      </c>
      <c r="S22" s="9">
        <v>-31207</v>
      </c>
      <c r="T22" s="1">
        <v>0</v>
      </c>
      <c r="U22" s="1" t="s">
        <v>110</v>
      </c>
      <c r="V22" s="1" t="s">
        <v>15</v>
      </c>
      <c r="W22" s="1" t="s">
        <v>17</v>
      </c>
      <c r="X22" s="1" t="s">
        <v>111</v>
      </c>
      <c r="Y22" s="1"/>
      <c r="Z22" s="1" t="s">
        <v>326</v>
      </c>
      <c r="AA22" s="1" t="s">
        <v>17</v>
      </c>
      <c r="AB22" s="1">
        <v>0</v>
      </c>
      <c r="AC22" s="1" t="s">
        <v>17</v>
      </c>
      <c r="AD22" t="s">
        <v>112</v>
      </c>
      <c r="AE22" t="s">
        <v>113</v>
      </c>
      <c r="AF22" t="s">
        <v>326</v>
      </c>
      <c r="AG22" t="s">
        <v>114</v>
      </c>
      <c r="AH22" t="s">
        <v>327</v>
      </c>
      <c r="AI22" t="s">
        <v>327</v>
      </c>
      <c r="AJ22" t="s">
        <v>17</v>
      </c>
      <c r="AK22" t="s">
        <v>189</v>
      </c>
      <c r="AL22" t="s">
        <v>17</v>
      </c>
      <c r="AM22" t="s">
        <v>117</v>
      </c>
      <c r="AN22" t="s">
        <v>290</v>
      </c>
      <c r="AO22" t="s">
        <v>328</v>
      </c>
      <c r="AP22" t="s">
        <v>119</v>
      </c>
      <c r="AQ22" t="s">
        <v>119</v>
      </c>
      <c r="AR22" t="s">
        <v>290</v>
      </c>
      <c r="AS22" t="s">
        <v>329</v>
      </c>
      <c r="AT22" t="s">
        <v>290</v>
      </c>
    </row>
    <row r="23" spans="1:46">
      <c r="A23" s="1" t="s">
        <v>330</v>
      </c>
      <c r="B23" s="1" t="s">
        <v>331</v>
      </c>
      <c r="C23" s="1" t="s">
        <v>332</v>
      </c>
      <c r="D23" s="1" t="s">
        <v>36</v>
      </c>
      <c r="E23" s="1" t="s">
        <v>124</v>
      </c>
      <c r="F23" s="1" t="s">
        <v>103</v>
      </c>
      <c r="G23" s="1" t="s">
        <v>333</v>
      </c>
      <c r="H23" s="1" t="s">
        <v>334</v>
      </c>
      <c r="I23" s="1" t="s">
        <v>127</v>
      </c>
      <c r="J23" s="1" t="s">
        <v>241</v>
      </c>
      <c r="K23" s="1" t="s">
        <v>335</v>
      </c>
      <c r="L23" s="9">
        <v>-121800</v>
      </c>
      <c r="M23" s="1" t="s">
        <v>103</v>
      </c>
      <c r="N23" s="1" t="s">
        <v>333</v>
      </c>
      <c r="O23" s="1" t="s">
        <v>334</v>
      </c>
      <c r="P23" s="1" t="s">
        <v>127</v>
      </c>
      <c r="Q23" s="1" t="s">
        <v>131</v>
      </c>
      <c r="R23" s="1"/>
      <c r="S23" s="9">
        <v>123900</v>
      </c>
      <c r="T23" s="1">
        <v>2100</v>
      </c>
      <c r="U23" s="1" t="s">
        <v>243</v>
      </c>
      <c r="V23" s="1" t="s">
        <v>15</v>
      </c>
      <c r="W23" s="1" t="s">
        <v>17</v>
      </c>
      <c r="X23" s="1" t="s">
        <v>111</v>
      </c>
      <c r="Y23" s="1"/>
      <c r="Z23" s="1" t="s">
        <v>336</v>
      </c>
      <c r="AA23" s="1" t="s">
        <v>17</v>
      </c>
      <c r="AB23" s="1">
        <v>-2100</v>
      </c>
      <c r="AC23" s="1" t="s">
        <v>17</v>
      </c>
      <c r="AD23" t="s">
        <v>112</v>
      </c>
      <c r="AE23" t="s">
        <v>113</v>
      </c>
      <c r="AF23" t="s">
        <v>337</v>
      </c>
      <c r="AG23" t="s">
        <v>114</v>
      </c>
      <c r="AH23" t="s">
        <v>334</v>
      </c>
      <c r="AI23" t="s">
        <v>334</v>
      </c>
      <c r="AJ23" t="s">
        <v>135</v>
      </c>
      <c r="AK23" t="s">
        <v>257</v>
      </c>
      <c r="AL23" t="s">
        <v>137</v>
      </c>
      <c r="AM23" t="s">
        <v>117</v>
      </c>
      <c r="AN23" t="s">
        <v>338</v>
      </c>
      <c r="AO23" t="s">
        <v>339</v>
      </c>
      <c r="AP23" t="s">
        <v>119</v>
      </c>
      <c r="AQ23" t="s">
        <v>119</v>
      </c>
      <c r="AR23" t="s">
        <v>338</v>
      </c>
      <c r="AS23" t="s">
        <v>340</v>
      </c>
      <c r="AT23" t="s">
        <v>341</v>
      </c>
    </row>
    <row r="24" spans="1:46">
      <c r="A24" s="1" t="s">
        <v>342</v>
      </c>
      <c r="B24" s="1" t="s">
        <v>343</v>
      </c>
      <c r="C24" s="1" t="s">
        <v>344</v>
      </c>
      <c r="D24" s="1" t="s">
        <v>101</v>
      </c>
      <c r="E24" s="1" t="s">
        <v>102</v>
      </c>
      <c r="F24" s="1" t="s">
        <v>103</v>
      </c>
      <c r="G24" s="1" t="s">
        <v>298</v>
      </c>
      <c r="H24" s="1" t="s">
        <v>345</v>
      </c>
      <c r="I24" s="1" t="s">
        <v>106</v>
      </c>
      <c r="J24" s="1" t="s">
        <v>107</v>
      </c>
      <c r="K24" s="1"/>
      <c r="L24" s="9">
        <v>16127.29</v>
      </c>
      <c r="M24" s="1" t="s">
        <v>103</v>
      </c>
      <c r="N24" s="1" t="s">
        <v>298</v>
      </c>
      <c r="O24" s="1"/>
      <c r="P24" s="1" t="s">
        <v>106</v>
      </c>
      <c r="Q24" s="1" t="s">
        <v>108</v>
      </c>
      <c r="R24" s="1" t="s">
        <v>109</v>
      </c>
      <c r="S24" s="9">
        <v>-16127.29</v>
      </c>
      <c r="T24" s="1">
        <v>0</v>
      </c>
      <c r="U24" s="1" t="s">
        <v>110</v>
      </c>
      <c r="V24" s="1" t="s">
        <v>15</v>
      </c>
      <c r="W24" s="1" t="s">
        <v>17</v>
      </c>
      <c r="X24" s="1" t="s">
        <v>111</v>
      </c>
      <c r="Y24" s="1"/>
      <c r="Z24" s="1" t="s">
        <v>345</v>
      </c>
      <c r="AA24" s="1" t="s">
        <v>17</v>
      </c>
      <c r="AB24" s="1">
        <v>0</v>
      </c>
      <c r="AC24" s="1" t="s">
        <v>17</v>
      </c>
      <c r="AD24" t="s">
        <v>112</v>
      </c>
      <c r="AE24" t="s">
        <v>113</v>
      </c>
      <c r="AF24" t="s">
        <v>345</v>
      </c>
      <c r="AG24" t="s">
        <v>114</v>
      </c>
      <c r="AH24" t="s">
        <v>346</v>
      </c>
      <c r="AI24" t="s">
        <v>346</v>
      </c>
      <c r="AJ24" t="s">
        <v>17</v>
      </c>
      <c r="AK24" t="s">
        <v>257</v>
      </c>
      <c r="AL24" t="s">
        <v>17</v>
      </c>
      <c r="AM24" t="s">
        <v>117</v>
      </c>
      <c r="AN24" t="s">
        <v>298</v>
      </c>
      <c r="AO24" t="s">
        <v>347</v>
      </c>
      <c r="AP24" t="s">
        <v>119</v>
      </c>
      <c r="AQ24" t="s">
        <v>119</v>
      </c>
      <c r="AR24" t="s">
        <v>298</v>
      </c>
      <c r="AS24" t="s">
        <v>348</v>
      </c>
      <c r="AT24" t="s">
        <v>298</v>
      </c>
    </row>
    <row r="25" spans="1:46">
      <c r="A25" s="1" t="s">
        <v>349</v>
      </c>
      <c r="B25" s="1" t="s">
        <v>350</v>
      </c>
      <c r="C25" s="1" t="s">
        <v>351</v>
      </c>
      <c r="D25" s="1" t="s">
        <v>101</v>
      </c>
      <c r="E25" s="1" t="s">
        <v>352</v>
      </c>
      <c r="F25" s="1" t="s">
        <v>103</v>
      </c>
      <c r="G25" s="1" t="s">
        <v>353</v>
      </c>
      <c r="H25" s="1" t="s">
        <v>354</v>
      </c>
      <c r="I25" s="1" t="s">
        <v>106</v>
      </c>
      <c r="J25" s="1" t="s">
        <v>107</v>
      </c>
      <c r="K25" s="1"/>
      <c r="L25" s="9">
        <v>55663.4</v>
      </c>
      <c r="M25" s="1" t="s">
        <v>103</v>
      </c>
      <c r="N25" s="1" t="s">
        <v>355</v>
      </c>
      <c r="O25" s="1"/>
      <c r="P25" s="1" t="s">
        <v>106</v>
      </c>
      <c r="Q25" s="1" t="s">
        <v>108</v>
      </c>
      <c r="R25" s="1" t="s">
        <v>109</v>
      </c>
      <c r="S25" s="9">
        <v>-55663.4</v>
      </c>
      <c r="T25" s="1">
        <v>0</v>
      </c>
      <c r="U25" s="1" t="s">
        <v>356</v>
      </c>
      <c r="V25" s="1" t="s">
        <v>15</v>
      </c>
      <c r="W25" s="1" t="s">
        <v>17</v>
      </c>
      <c r="X25" s="1" t="s">
        <v>111</v>
      </c>
      <c r="Y25" s="1"/>
      <c r="Z25" s="1" t="s">
        <v>354</v>
      </c>
      <c r="AA25" s="1" t="s">
        <v>17</v>
      </c>
      <c r="AB25" s="1">
        <v>0</v>
      </c>
      <c r="AC25" s="1" t="s">
        <v>17</v>
      </c>
      <c r="AD25" t="s">
        <v>112</v>
      </c>
      <c r="AE25" t="s">
        <v>113</v>
      </c>
      <c r="AF25" t="s">
        <v>354</v>
      </c>
      <c r="AG25" t="s">
        <v>114</v>
      </c>
      <c r="AH25" t="s">
        <v>357</v>
      </c>
      <c r="AI25" t="s">
        <v>357</v>
      </c>
      <c r="AJ25" t="s">
        <v>17</v>
      </c>
      <c r="AK25" t="s">
        <v>136</v>
      </c>
      <c r="AL25" t="s">
        <v>17</v>
      </c>
      <c r="AM25" t="s">
        <v>117</v>
      </c>
      <c r="AN25" t="s">
        <v>353</v>
      </c>
      <c r="AO25" t="s">
        <v>358</v>
      </c>
      <c r="AP25" t="s">
        <v>119</v>
      </c>
      <c r="AQ25" t="s">
        <v>119</v>
      </c>
      <c r="AR25" t="s">
        <v>353</v>
      </c>
      <c r="AS25" t="s">
        <v>359</v>
      </c>
      <c r="AT25" t="s">
        <v>353</v>
      </c>
    </row>
    <row r="26" spans="1:46">
      <c r="A26" s="1" t="s">
        <v>360</v>
      </c>
      <c r="B26" s="1" t="s">
        <v>361</v>
      </c>
      <c r="C26" s="1" t="s">
        <v>362</v>
      </c>
      <c r="D26" s="1" t="s">
        <v>101</v>
      </c>
      <c r="E26" s="1" t="s">
        <v>102</v>
      </c>
      <c r="F26" s="1" t="s">
        <v>103</v>
      </c>
      <c r="G26" s="1" t="s">
        <v>363</v>
      </c>
      <c r="H26" s="1" t="s">
        <v>364</v>
      </c>
      <c r="I26" s="1" t="s">
        <v>106</v>
      </c>
      <c r="J26" s="1" t="s">
        <v>107</v>
      </c>
      <c r="K26" s="1"/>
      <c r="L26" s="9">
        <v>36588.019999999997</v>
      </c>
      <c r="M26" s="1" t="s">
        <v>103</v>
      </c>
      <c r="N26" s="1" t="s">
        <v>363</v>
      </c>
      <c r="O26" s="1"/>
      <c r="P26" s="1" t="s">
        <v>106</v>
      </c>
      <c r="Q26" s="1" t="s">
        <v>108</v>
      </c>
      <c r="R26" s="1" t="s">
        <v>230</v>
      </c>
      <c r="S26" s="9">
        <v>-36588.019999999997</v>
      </c>
      <c r="T26" s="1">
        <v>0</v>
      </c>
      <c r="U26" s="1" t="s">
        <v>110</v>
      </c>
      <c r="V26" s="1" t="s">
        <v>15</v>
      </c>
      <c r="W26" s="1" t="s">
        <v>17</v>
      </c>
      <c r="X26" s="1" t="s">
        <v>111</v>
      </c>
      <c r="Y26" s="1"/>
      <c r="Z26" s="1" t="s">
        <v>364</v>
      </c>
      <c r="AA26" s="1" t="s">
        <v>17</v>
      </c>
      <c r="AB26" s="1">
        <v>0</v>
      </c>
      <c r="AC26" s="1" t="s">
        <v>17</v>
      </c>
      <c r="AD26" t="s">
        <v>112</v>
      </c>
      <c r="AE26" t="s">
        <v>231</v>
      </c>
      <c r="AF26" t="s">
        <v>364</v>
      </c>
      <c r="AG26" t="s">
        <v>114</v>
      </c>
      <c r="AH26" t="s">
        <v>365</v>
      </c>
      <c r="AI26" t="s">
        <v>365</v>
      </c>
      <c r="AJ26" t="s">
        <v>17</v>
      </c>
      <c r="AK26" t="s">
        <v>233</v>
      </c>
      <c r="AL26" t="s">
        <v>17</v>
      </c>
      <c r="AM26" t="s">
        <v>117</v>
      </c>
      <c r="AN26" t="s">
        <v>363</v>
      </c>
      <c r="AO26" t="s">
        <v>366</v>
      </c>
      <c r="AP26" t="s">
        <v>119</v>
      </c>
      <c r="AQ26" t="s">
        <v>119</v>
      </c>
      <c r="AR26" t="s">
        <v>363</v>
      </c>
      <c r="AS26" t="s">
        <v>367</v>
      </c>
      <c r="AT26" t="s">
        <v>363</v>
      </c>
    </row>
    <row r="27" spans="1:46">
      <c r="A27" s="1" t="s">
        <v>368</v>
      </c>
      <c r="B27" s="1" t="s">
        <v>369</v>
      </c>
      <c r="C27" s="1" t="s">
        <v>370</v>
      </c>
      <c r="D27" s="1" t="s">
        <v>101</v>
      </c>
      <c r="E27" s="1" t="s">
        <v>124</v>
      </c>
      <c r="F27" s="1" t="s">
        <v>103</v>
      </c>
      <c r="G27" s="1" t="s">
        <v>371</v>
      </c>
      <c r="H27" s="1" t="s">
        <v>372</v>
      </c>
      <c r="I27" s="1" t="s">
        <v>127</v>
      </c>
      <c r="J27" s="1" t="s">
        <v>128</v>
      </c>
      <c r="K27" s="1" t="s">
        <v>129</v>
      </c>
      <c r="L27" s="9">
        <v>-18431.189999999999</v>
      </c>
      <c r="M27" s="1" t="s">
        <v>103</v>
      </c>
      <c r="N27" s="1" t="s">
        <v>371</v>
      </c>
      <c r="O27" s="1" t="s">
        <v>372</v>
      </c>
      <c r="P27" s="1" t="s">
        <v>127</v>
      </c>
      <c r="Q27" s="1" t="s">
        <v>131</v>
      </c>
      <c r="R27" s="1"/>
      <c r="S27" s="9">
        <v>18431.189999999999</v>
      </c>
      <c r="T27" s="1">
        <v>0</v>
      </c>
      <c r="U27" s="1" t="s">
        <v>132</v>
      </c>
      <c r="V27" s="1" t="s">
        <v>15</v>
      </c>
      <c r="W27" s="1" t="s">
        <v>17</v>
      </c>
      <c r="X27" s="1" t="s">
        <v>111</v>
      </c>
      <c r="Y27" s="1"/>
      <c r="Z27" s="1" t="s">
        <v>373</v>
      </c>
      <c r="AA27" s="1" t="s">
        <v>17</v>
      </c>
      <c r="AB27" s="1">
        <v>0</v>
      </c>
      <c r="AC27" s="1" t="s">
        <v>17</v>
      </c>
      <c r="AD27" t="s">
        <v>112</v>
      </c>
      <c r="AE27" t="s">
        <v>113</v>
      </c>
      <c r="AF27" t="s">
        <v>374</v>
      </c>
      <c r="AG27" t="s">
        <v>114</v>
      </c>
      <c r="AH27" t="s">
        <v>372</v>
      </c>
      <c r="AI27" t="s">
        <v>372</v>
      </c>
      <c r="AJ27" t="s">
        <v>149</v>
      </c>
      <c r="AK27" t="s">
        <v>179</v>
      </c>
      <c r="AL27" t="s">
        <v>137</v>
      </c>
      <c r="AM27" t="s">
        <v>117</v>
      </c>
      <c r="AN27" t="s">
        <v>375</v>
      </c>
      <c r="AO27" t="s">
        <v>376</v>
      </c>
      <c r="AP27" t="s">
        <v>119</v>
      </c>
      <c r="AQ27" t="s">
        <v>119</v>
      </c>
      <c r="AR27" t="s">
        <v>375</v>
      </c>
      <c r="AS27" t="s">
        <v>377</v>
      </c>
      <c r="AT27" t="s">
        <v>378</v>
      </c>
    </row>
    <row r="28" spans="1:46">
      <c r="A28" s="1" t="s">
        <v>379</v>
      </c>
      <c r="B28" s="1" t="s">
        <v>380</v>
      </c>
      <c r="C28" s="1" t="s">
        <v>381</v>
      </c>
      <c r="D28" s="1" t="s">
        <v>40</v>
      </c>
      <c r="E28" s="1" t="s">
        <v>124</v>
      </c>
      <c r="F28" s="1" t="s">
        <v>103</v>
      </c>
      <c r="G28" s="1" t="s">
        <v>382</v>
      </c>
      <c r="H28" s="1" t="s">
        <v>383</v>
      </c>
      <c r="I28" s="1" t="s">
        <v>127</v>
      </c>
      <c r="J28" s="1" t="s">
        <v>128</v>
      </c>
      <c r="K28" s="1" t="s">
        <v>129</v>
      </c>
      <c r="L28" s="9">
        <v>-17803</v>
      </c>
      <c r="M28" s="1" t="s">
        <v>103</v>
      </c>
      <c r="N28" s="1" t="s">
        <v>382</v>
      </c>
      <c r="O28" s="1" t="s">
        <v>383</v>
      </c>
      <c r="P28" s="1" t="s">
        <v>127</v>
      </c>
      <c r="Q28" s="1" t="s">
        <v>131</v>
      </c>
      <c r="R28" s="1"/>
      <c r="S28" s="9">
        <v>17802.84</v>
      </c>
      <c r="T28" s="1">
        <v>-0.15999999999985448</v>
      </c>
      <c r="U28" s="1" t="s">
        <v>146</v>
      </c>
      <c r="V28" s="1" t="s">
        <v>15</v>
      </c>
      <c r="W28" s="1" t="s">
        <v>17</v>
      </c>
      <c r="X28" s="1" t="s">
        <v>111</v>
      </c>
      <c r="Y28" s="1"/>
      <c r="Z28" s="1" t="s">
        <v>384</v>
      </c>
      <c r="AA28" s="1" t="s">
        <v>17</v>
      </c>
      <c r="AB28" s="1">
        <v>0</v>
      </c>
      <c r="AC28" s="1" t="s">
        <v>17</v>
      </c>
      <c r="AD28" t="s">
        <v>112</v>
      </c>
      <c r="AE28" t="s">
        <v>113</v>
      </c>
      <c r="AF28" t="s">
        <v>385</v>
      </c>
      <c r="AG28" t="s">
        <v>114</v>
      </c>
      <c r="AH28" t="s">
        <v>383</v>
      </c>
      <c r="AI28" t="s">
        <v>383</v>
      </c>
      <c r="AJ28" t="s">
        <v>135</v>
      </c>
      <c r="AK28" t="s">
        <v>179</v>
      </c>
      <c r="AL28" t="s">
        <v>137</v>
      </c>
      <c r="AM28" t="s">
        <v>117</v>
      </c>
      <c r="AN28" t="s">
        <v>386</v>
      </c>
      <c r="AO28" t="s">
        <v>387</v>
      </c>
      <c r="AP28" t="s">
        <v>119</v>
      </c>
      <c r="AQ28" t="s">
        <v>119</v>
      </c>
      <c r="AR28" t="s">
        <v>386</v>
      </c>
      <c r="AS28" t="s">
        <v>388</v>
      </c>
      <c r="AT28" t="s">
        <v>389</v>
      </c>
    </row>
    <row r="29" spans="1:46">
      <c r="A29" s="1" t="s">
        <v>390</v>
      </c>
      <c r="B29" s="1" t="s">
        <v>391</v>
      </c>
      <c r="C29" s="1" t="s">
        <v>392</v>
      </c>
      <c r="D29" s="1" t="s">
        <v>101</v>
      </c>
      <c r="E29" s="1" t="s">
        <v>124</v>
      </c>
      <c r="F29" s="1" t="s">
        <v>103</v>
      </c>
      <c r="G29" s="1" t="s">
        <v>393</v>
      </c>
      <c r="H29" s="1" t="s">
        <v>394</v>
      </c>
      <c r="I29" s="1" t="s">
        <v>127</v>
      </c>
      <c r="J29" s="1" t="s">
        <v>128</v>
      </c>
      <c r="K29" s="1" t="s">
        <v>129</v>
      </c>
      <c r="L29" s="9">
        <v>-16127.29</v>
      </c>
      <c r="M29" s="1" t="s">
        <v>103</v>
      </c>
      <c r="N29" s="1" t="s">
        <v>395</v>
      </c>
      <c r="O29" s="1" t="s">
        <v>394</v>
      </c>
      <c r="P29" s="1" t="s">
        <v>127</v>
      </c>
      <c r="Q29" s="1" t="s">
        <v>131</v>
      </c>
      <c r="R29" s="1"/>
      <c r="S29" s="9">
        <v>16127.29</v>
      </c>
      <c r="T29" s="1">
        <v>0</v>
      </c>
      <c r="U29" s="1" t="s">
        <v>132</v>
      </c>
      <c r="V29" s="1" t="s">
        <v>15</v>
      </c>
      <c r="W29" s="1" t="s">
        <v>17</v>
      </c>
      <c r="X29" s="1" t="s">
        <v>111</v>
      </c>
      <c r="Y29" s="1"/>
      <c r="Z29" s="1" t="s">
        <v>396</v>
      </c>
      <c r="AA29" s="1" t="s">
        <v>17</v>
      </c>
      <c r="AB29" s="1">
        <v>0</v>
      </c>
      <c r="AC29" s="1" t="s">
        <v>17</v>
      </c>
      <c r="AD29" t="s">
        <v>112</v>
      </c>
      <c r="AE29" t="s">
        <v>113</v>
      </c>
      <c r="AF29" t="s">
        <v>397</v>
      </c>
      <c r="AG29" t="s">
        <v>114</v>
      </c>
      <c r="AH29" t="s">
        <v>394</v>
      </c>
      <c r="AI29" t="s">
        <v>394</v>
      </c>
      <c r="AJ29" t="s">
        <v>135</v>
      </c>
      <c r="AK29" t="s">
        <v>200</v>
      </c>
      <c r="AL29" t="s">
        <v>137</v>
      </c>
      <c r="AM29" t="s">
        <v>117</v>
      </c>
      <c r="AN29" t="s">
        <v>398</v>
      </c>
      <c r="AO29" t="s">
        <v>399</v>
      </c>
      <c r="AP29" t="s">
        <v>119</v>
      </c>
      <c r="AQ29" t="s">
        <v>119</v>
      </c>
      <c r="AR29" t="s">
        <v>400</v>
      </c>
      <c r="AS29" t="s">
        <v>401</v>
      </c>
      <c r="AT29" t="s">
        <v>395</v>
      </c>
    </row>
    <row r="30" spans="1:46">
      <c r="A30" s="1" t="s">
        <v>402</v>
      </c>
      <c r="B30" s="1" t="s">
        <v>403</v>
      </c>
      <c r="C30" s="1" t="s">
        <v>404</v>
      </c>
      <c r="D30" s="1" t="s">
        <v>36</v>
      </c>
      <c r="E30" s="1" t="s">
        <v>124</v>
      </c>
      <c r="F30" s="1" t="s">
        <v>103</v>
      </c>
      <c r="G30" s="1" t="s">
        <v>261</v>
      </c>
      <c r="H30" s="1" t="s">
        <v>405</v>
      </c>
      <c r="I30" s="1" t="s">
        <v>127</v>
      </c>
      <c r="J30" s="1" t="s">
        <v>241</v>
      </c>
      <c r="K30" s="1" t="s">
        <v>406</v>
      </c>
      <c r="L30" s="9">
        <v>-29000</v>
      </c>
      <c r="M30" s="1" t="s">
        <v>103</v>
      </c>
      <c r="N30" s="1" t="s">
        <v>261</v>
      </c>
      <c r="O30" s="1" t="s">
        <v>405</v>
      </c>
      <c r="P30" s="1" t="s">
        <v>127</v>
      </c>
      <c r="Q30" s="1" t="s">
        <v>131</v>
      </c>
      <c r="R30" s="1"/>
      <c r="S30" s="9">
        <v>29500</v>
      </c>
      <c r="T30" s="1">
        <v>500</v>
      </c>
      <c r="U30" s="1" t="s">
        <v>243</v>
      </c>
      <c r="V30" s="1" t="s">
        <v>15</v>
      </c>
      <c r="W30" s="1" t="s">
        <v>17</v>
      </c>
      <c r="X30" s="1" t="s">
        <v>111</v>
      </c>
      <c r="Y30" s="1"/>
      <c r="Z30" s="1" t="s">
        <v>254</v>
      </c>
      <c r="AA30" s="1" t="s">
        <v>17</v>
      </c>
      <c r="AB30" s="1">
        <v>-500</v>
      </c>
      <c r="AC30" s="1" t="s">
        <v>17</v>
      </c>
      <c r="AD30" t="s">
        <v>112</v>
      </c>
      <c r="AE30" t="s">
        <v>231</v>
      </c>
      <c r="AF30" t="s">
        <v>407</v>
      </c>
      <c r="AG30" t="s">
        <v>114</v>
      </c>
      <c r="AH30" t="s">
        <v>405</v>
      </c>
      <c r="AI30" t="s">
        <v>405</v>
      </c>
      <c r="AJ30" t="s">
        <v>135</v>
      </c>
      <c r="AK30" t="s">
        <v>408</v>
      </c>
      <c r="AL30" t="s">
        <v>137</v>
      </c>
      <c r="AM30" t="s">
        <v>117</v>
      </c>
      <c r="AN30" t="s">
        <v>409</v>
      </c>
      <c r="AO30" t="s">
        <v>410</v>
      </c>
      <c r="AP30" t="s">
        <v>119</v>
      </c>
      <c r="AQ30" t="s">
        <v>119</v>
      </c>
      <c r="AR30" t="s">
        <v>409</v>
      </c>
      <c r="AS30" t="s">
        <v>411</v>
      </c>
      <c r="AT30" t="s">
        <v>412</v>
      </c>
    </row>
    <row r="31" spans="1:46">
      <c r="A31" s="1" t="s">
        <v>413</v>
      </c>
      <c r="B31" s="1" t="s">
        <v>414</v>
      </c>
      <c r="C31" s="1" t="s">
        <v>415</v>
      </c>
      <c r="D31" s="1" t="s">
        <v>101</v>
      </c>
      <c r="E31" s="1" t="s">
        <v>124</v>
      </c>
      <c r="F31" s="1" t="s">
        <v>103</v>
      </c>
      <c r="G31" s="1" t="s">
        <v>416</v>
      </c>
      <c r="H31" s="1" t="s">
        <v>417</v>
      </c>
      <c r="I31" s="1" t="s">
        <v>127</v>
      </c>
      <c r="J31" s="1" t="s">
        <v>128</v>
      </c>
      <c r="K31" s="1" t="s">
        <v>129</v>
      </c>
      <c r="L31" s="9">
        <v>-17802.84</v>
      </c>
      <c r="M31" s="1" t="s">
        <v>103</v>
      </c>
      <c r="N31" s="1" t="s">
        <v>416</v>
      </c>
      <c r="O31" s="1" t="s">
        <v>417</v>
      </c>
      <c r="P31" s="1" t="s">
        <v>127</v>
      </c>
      <c r="Q31" s="1" t="s">
        <v>131</v>
      </c>
      <c r="R31" s="1"/>
      <c r="S31" s="9">
        <v>17802.84</v>
      </c>
      <c r="T31" s="1">
        <v>0</v>
      </c>
      <c r="U31" s="1" t="s">
        <v>132</v>
      </c>
      <c r="V31" s="1" t="s">
        <v>15</v>
      </c>
      <c r="W31" s="1" t="s">
        <v>17</v>
      </c>
      <c r="X31" s="1" t="s">
        <v>111</v>
      </c>
      <c r="Y31" s="1"/>
      <c r="Z31" s="1" t="s">
        <v>418</v>
      </c>
      <c r="AA31" s="1" t="s">
        <v>17</v>
      </c>
      <c r="AB31" s="1">
        <v>0</v>
      </c>
      <c r="AC31" s="1" t="s">
        <v>17</v>
      </c>
      <c r="AD31" t="s">
        <v>112</v>
      </c>
      <c r="AE31" t="s">
        <v>113</v>
      </c>
      <c r="AF31" t="s">
        <v>419</v>
      </c>
      <c r="AG31" t="s">
        <v>114</v>
      </c>
      <c r="AH31" t="s">
        <v>417</v>
      </c>
      <c r="AI31" t="s">
        <v>417</v>
      </c>
      <c r="AJ31" t="s">
        <v>149</v>
      </c>
      <c r="AK31" t="s">
        <v>308</v>
      </c>
      <c r="AL31" t="s">
        <v>137</v>
      </c>
      <c r="AM31" t="s">
        <v>117</v>
      </c>
      <c r="AN31" t="s">
        <v>305</v>
      </c>
      <c r="AO31" t="s">
        <v>288</v>
      </c>
      <c r="AP31" t="s">
        <v>119</v>
      </c>
      <c r="AQ31" t="s">
        <v>119</v>
      </c>
      <c r="AR31" t="s">
        <v>305</v>
      </c>
      <c r="AS31" t="s">
        <v>289</v>
      </c>
      <c r="AT31" t="s">
        <v>420</v>
      </c>
    </row>
    <row r="32" spans="1:46">
      <c r="A32" s="1" t="s">
        <v>421</v>
      </c>
      <c r="B32" s="1" t="s">
        <v>422</v>
      </c>
      <c r="C32" s="1" t="s">
        <v>423</v>
      </c>
      <c r="D32" s="1" t="s">
        <v>101</v>
      </c>
      <c r="E32" s="1" t="s">
        <v>124</v>
      </c>
      <c r="F32" s="1" t="s">
        <v>103</v>
      </c>
      <c r="G32" s="1" t="s">
        <v>424</v>
      </c>
      <c r="H32" s="1" t="s">
        <v>425</v>
      </c>
      <c r="I32" s="1" t="s">
        <v>127</v>
      </c>
      <c r="J32" s="1" t="s">
        <v>128</v>
      </c>
      <c r="K32" s="1" t="s">
        <v>129</v>
      </c>
      <c r="L32" s="9">
        <v>-15289.51</v>
      </c>
      <c r="M32" s="1" t="s">
        <v>103</v>
      </c>
      <c r="N32" s="1" t="s">
        <v>424</v>
      </c>
      <c r="O32" s="1" t="s">
        <v>425</v>
      </c>
      <c r="P32" s="1" t="s">
        <v>127</v>
      </c>
      <c r="Q32" s="1" t="s">
        <v>131</v>
      </c>
      <c r="R32" s="1"/>
      <c r="S32" s="9">
        <v>15289.51</v>
      </c>
      <c r="T32" s="1">
        <v>0</v>
      </c>
      <c r="U32" s="1" t="s">
        <v>132</v>
      </c>
      <c r="V32" s="1" t="s">
        <v>15</v>
      </c>
      <c r="W32" s="1" t="s">
        <v>17</v>
      </c>
      <c r="X32" s="1" t="s">
        <v>111</v>
      </c>
      <c r="Y32" s="1"/>
      <c r="Z32" s="1" t="s">
        <v>426</v>
      </c>
      <c r="AA32" s="1" t="s">
        <v>17</v>
      </c>
      <c r="AB32" s="1">
        <v>0</v>
      </c>
      <c r="AC32" s="1" t="s">
        <v>17</v>
      </c>
      <c r="AD32" t="s">
        <v>112</v>
      </c>
      <c r="AE32" t="s">
        <v>113</v>
      </c>
      <c r="AF32" t="s">
        <v>427</v>
      </c>
      <c r="AG32" t="s">
        <v>114</v>
      </c>
      <c r="AH32" t="s">
        <v>425</v>
      </c>
      <c r="AI32" t="s">
        <v>425</v>
      </c>
      <c r="AJ32" t="s">
        <v>135</v>
      </c>
      <c r="AK32" t="s">
        <v>408</v>
      </c>
      <c r="AL32" t="s">
        <v>137</v>
      </c>
      <c r="AM32" t="s">
        <v>117</v>
      </c>
      <c r="AN32" t="s">
        <v>428</v>
      </c>
      <c r="AO32" t="s">
        <v>429</v>
      </c>
      <c r="AP32" t="s">
        <v>119</v>
      </c>
      <c r="AQ32" t="s">
        <v>119</v>
      </c>
      <c r="AR32" t="s">
        <v>428</v>
      </c>
      <c r="AS32" t="s">
        <v>430</v>
      </c>
      <c r="AT32" t="s">
        <v>431</v>
      </c>
    </row>
    <row r="33" spans="1:46">
      <c r="A33" s="1" t="s">
        <v>432</v>
      </c>
      <c r="B33" s="1" t="s">
        <v>433</v>
      </c>
      <c r="C33" s="1" t="s">
        <v>434</v>
      </c>
      <c r="D33" s="1" t="s">
        <v>101</v>
      </c>
      <c r="E33" s="1" t="s">
        <v>102</v>
      </c>
      <c r="F33" s="1" t="s">
        <v>103</v>
      </c>
      <c r="G33" s="1" t="s">
        <v>435</v>
      </c>
      <c r="H33" s="1" t="s">
        <v>436</v>
      </c>
      <c r="I33" s="1" t="s">
        <v>106</v>
      </c>
      <c r="J33" s="1" t="s">
        <v>107</v>
      </c>
      <c r="K33" s="1"/>
      <c r="L33" s="9">
        <v>31206</v>
      </c>
      <c r="M33" s="1" t="s">
        <v>103</v>
      </c>
      <c r="N33" s="1" t="s">
        <v>435</v>
      </c>
      <c r="O33" s="1"/>
      <c r="P33" s="1" t="s">
        <v>106</v>
      </c>
      <c r="Q33" s="1" t="s">
        <v>108</v>
      </c>
      <c r="R33" s="1" t="s">
        <v>109</v>
      </c>
      <c r="S33" s="9">
        <v>-31206</v>
      </c>
      <c r="T33" s="1">
        <v>0</v>
      </c>
      <c r="U33" s="1" t="s">
        <v>110</v>
      </c>
      <c r="V33" s="1" t="s">
        <v>15</v>
      </c>
      <c r="W33" s="1" t="s">
        <v>17</v>
      </c>
      <c r="X33" s="1" t="s">
        <v>111</v>
      </c>
      <c r="Y33" s="1"/>
      <c r="Z33" s="1" t="s">
        <v>436</v>
      </c>
      <c r="AA33" s="1" t="s">
        <v>17</v>
      </c>
      <c r="AB33" s="1">
        <v>0</v>
      </c>
      <c r="AC33" s="1" t="s">
        <v>17</v>
      </c>
      <c r="AD33" t="s">
        <v>112</v>
      </c>
      <c r="AE33" t="s">
        <v>113</v>
      </c>
      <c r="AF33" t="s">
        <v>436</v>
      </c>
      <c r="AG33" t="s">
        <v>114</v>
      </c>
      <c r="AH33" t="s">
        <v>437</v>
      </c>
      <c r="AI33" t="s">
        <v>437</v>
      </c>
      <c r="AJ33" t="s">
        <v>17</v>
      </c>
      <c r="AK33" t="s">
        <v>116</v>
      </c>
      <c r="AL33" t="s">
        <v>17</v>
      </c>
      <c r="AM33" t="s">
        <v>117</v>
      </c>
      <c r="AN33" t="s">
        <v>435</v>
      </c>
      <c r="AO33" t="s">
        <v>438</v>
      </c>
      <c r="AP33" t="s">
        <v>119</v>
      </c>
      <c r="AQ33" t="s">
        <v>119</v>
      </c>
      <c r="AR33" t="s">
        <v>435</v>
      </c>
      <c r="AS33" t="s">
        <v>439</v>
      </c>
      <c r="AT33" t="s">
        <v>435</v>
      </c>
    </row>
    <row r="34" spans="1:46">
      <c r="A34" s="1" t="s">
        <v>440</v>
      </c>
      <c r="B34" s="1" t="s">
        <v>441</v>
      </c>
      <c r="C34" s="1" t="s">
        <v>442</v>
      </c>
      <c r="D34" s="1" t="s">
        <v>101</v>
      </c>
      <c r="E34" s="1" t="s">
        <v>124</v>
      </c>
      <c r="F34" s="1" t="s">
        <v>103</v>
      </c>
      <c r="G34" s="1" t="s">
        <v>443</v>
      </c>
      <c r="H34" s="1" t="s">
        <v>444</v>
      </c>
      <c r="I34" s="1" t="s">
        <v>127</v>
      </c>
      <c r="J34" s="1" t="s">
        <v>128</v>
      </c>
      <c r="K34" s="1" t="s">
        <v>129</v>
      </c>
      <c r="L34" s="9">
        <v>-14870.62</v>
      </c>
      <c r="M34" s="1" t="s">
        <v>103</v>
      </c>
      <c r="N34" s="1" t="s">
        <v>445</v>
      </c>
      <c r="O34" s="1" t="s">
        <v>444</v>
      </c>
      <c r="P34" s="1" t="s">
        <v>127</v>
      </c>
      <c r="Q34" s="1" t="s">
        <v>131</v>
      </c>
      <c r="R34" s="1"/>
      <c r="S34" s="9">
        <v>14870.62</v>
      </c>
      <c r="T34" s="1">
        <v>0</v>
      </c>
      <c r="U34" s="1" t="s">
        <v>132</v>
      </c>
      <c r="V34" s="1" t="s">
        <v>15</v>
      </c>
      <c r="W34" s="1" t="s">
        <v>17</v>
      </c>
      <c r="X34" s="1" t="s">
        <v>111</v>
      </c>
      <c r="Y34" s="1"/>
      <c r="Z34" s="1" t="s">
        <v>446</v>
      </c>
      <c r="AA34" s="1" t="s">
        <v>17</v>
      </c>
      <c r="AB34" s="1">
        <v>0</v>
      </c>
      <c r="AC34" s="1" t="s">
        <v>17</v>
      </c>
      <c r="AD34" t="s">
        <v>112</v>
      </c>
      <c r="AE34" t="s">
        <v>113</v>
      </c>
      <c r="AF34" t="s">
        <v>447</v>
      </c>
      <c r="AG34" t="s">
        <v>114</v>
      </c>
      <c r="AH34" t="s">
        <v>444</v>
      </c>
      <c r="AI34" t="s">
        <v>444</v>
      </c>
      <c r="AJ34" t="s">
        <v>135</v>
      </c>
      <c r="AK34" t="s">
        <v>200</v>
      </c>
      <c r="AL34" t="s">
        <v>137</v>
      </c>
      <c r="AM34" t="s">
        <v>117</v>
      </c>
      <c r="AN34" t="s">
        <v>448</v>
      </c>
      <c r="AO34" t="s">
        <v>449</v>
      </c>
      <c r="AP34" t="s">
        <v>119</v>
      </c>
      <c r="AQ34" t="s">
        <v>119</v>
      </c>
      <c r="AR34" t="s">
        <v>448</v>
      </c>
      <c r="AS34" t="s">
        <v>450</v>
      </c>
      <c r="AT34" t="s">
        <v>443</v>
      </c>
    </row>
    <row r="35" spans="1:46">
      <c r="A35" s="1" t="s">
        <v>451</v>
      </c>
      <c r="B35" s="1" t="s">
        <v>452</v>
      </c>
      <c r="C35" s="1" t="s">
        <v>453</v>
      </c>
      <c r="D35" s="1" t="s">
        <v>101</v>
      </c>
      <c r="E35" s="1" t="s">
        <v>102</v>
      </c>
      <c r="F35" s="1" t="s">
        <v>103</v>
      </c>
      <c r="G35" s="1" t="s">
        <v>454</v>
      </c>
      <c r="H35" s="1" t="s">
        <v>455</v>
      </c>
      <c r="I35" s="1" t="s">
        <v>106</v>
      </c>
      <c r="J35" s="1" t="s">
        <v>107</v>
      </c>
      <c r="K35" s="1"/>
      <c r="L35" s="9">
        <v>29531</v>
      </c>
      <c r="M35" s="1" t="s">
        <v>103</v>
      </c>
      <c r="N35" s="1" t="s">
        <v>454</v>
      </c>
      <c r="O35" s="1"/>
      <c r="P35" s="1" t="s">
        <v>106</v>
      </c>
      <c r="Q35" s="1" t="s">
        <v>108</v>
      </c>
      <c r="R35" s="1" t="s">
        <v>109</v>
      </c>
      <c r="S35" s="9">
        <v>-29531</v>
      </c>
      <c r="T35" s="1">
        <v>0</v>
      </c>
      <c r="U35" s="1" t="s">
        <v>110</v>
      </c>
      <c r="V35" s="1" t="s">
        <v>15</v>
      </c>
      <c r="W35" s="1" t="s">
        <v>17</v>
      </c>
      <c r="X35" s="1" t="s">
        <v>111</v>
      </c>
      <c r="Y35" s="1"/>
      <c r="Z35" s="1" t="s">
        <v>455</v>
      </c>
      <c r="AA35" s="1" t="s">
        <v>17</v>
      </c>
      <c r="AB35" s="1">
        <v>0</v>
      </c>
      <c r="AC35" s="1" t="s">
        <v>17</v>
      </c>
      <c r="AD35" t="s">
        <v>112</v>
      </c>
      <c r="AE35" t="s">
        <v>113</v>
      </c>
      <c r="AF35" t="s">
        <v>455</v>
      </c>
      <c r="AG35" t="s">
        <v>114</v>
      </c>
      <c r="AH35" t="s">
        <v>456</v>
      </c>
      <c r="AI35" t="s">
        <v>456</v>
      </c>
      <c r="AJ35" t="s">
        <v>17</v>
      </c>
      <c r="AK35" t="s">
        <v>200</v>
      </c>
      <c r="AL35" t="s">
        <v>17</v>
      </c>
      <c r="AM35" t="s">
        <v>117</v>
      </c>
      <c r="AN35" t="s">
        <v>454</v>
      </c>
      <c r="AO35" t="s">
        <v>457</v>
      </c>
      <c r="AP35" t="s">
        <v>119</v>
      </c>
      <c r="AQ35" t="s">
        <v>119</v>
      </c>
      <c r="AR35" t="s">
        <v>454</v>
      </c>
      <c r="AS35" t="s">
        <v>458</v>
      </c>
      <c r="AT35" t="s">
        <v>454</v>
      </c>
    </row>
    <row r="36" spans="1:46">
      <c r="A36" s="1" t="s">
        <v>459</v>
      </c>
      <c r="B36" s="1" t="s">
        <v>460</v>
      </c>
      <c r="C36" s="1" t="s">
        <v>461</v>
      </c>
      <c r="D36" s="1" t="s">
        <v>101</v>
      </c>
      <c r="E36" s="1" t="s">
        <v>124</v>
      </c>
      <c r="F36" s="1" t="s">
        <v>103</v>
      </c>
      <c r="G36" s="1" t="s">
        <v>462</v>
      </c>
      <c r="H36" s="1" t="s">
        <v>463</v>
      </c>
      <c r="I36" s="1" t="s">
        <v>127</v>
      </c>
      <c r="J36" s="1" t="s">
        <v>128</v>
      </c>
      <c r="K36" s="1" t="s">
        <v>129</v>
      </c>
      <c r="L36" s="9">
        <v>-12985.61</v>
      </c>
      <c r="M36" s="1" t="s">
        <v>103</v>
      </c>
      <c r="N36" s="1" t="s">
        <v>464</v>
      </c>
      <c r="O36" s="1" t="s">
        <v>463</v>
      </c>
      <c r="P36" s="1" t="s">
        <v>127</v>
      </c>
      <c r="Q36" s="1" t="s">
        <v>131</v>
      </c>
      <c r="R36" s="1"/>
      <c r="S36" s="9">
        <v>12985.61</v>
      </c>
      <c r="T36" s="1">
        <v>0</v>
      </c>
      <c r="U36" s="1" t="s">
        <v>132</v>
      </c>
      <c r="V36" s="1" t="s">
        <v>15</v>
      </c>
      <c r="W36" s="1" t="s">
        <v>17</v>
      </c>
      <c r="X36" s="1" t="s">
        <v>111</v>
      </c>
      <c r="Y36" s="1"/>
      <c r="Z36" s="1" t="s">
        <v>465</v>
      </c>
      <c r="AA36" s="1" t="s">
        <v>17</v>
      </c>
      <c r="AB36" s="1">
        <v>0</v>
      </c>
      <c r="AC36" s="1" t="s">
        <v>17</v>
      </c>
      <c r="AD36" t="s">
        <v>112</v>
      </c>
      <c r="AE36" t="s">
        <v>113</v>
      </c>
      <c r="AF36" t="s">
        <v>466</v>
      </c>
      <c r="AG36" t="s">
        <v>114</v>
      </c>
      <c r="AH36" t="s">
        <v>463</v>
      </c>
      <c r="AI36" t="s">
        <v>463</v>
      </c>
      <c r="AJ36" t="s">
        <v>135</v>
      </c>
      <c r="AK36" t="s">
        <v>200</v>
      </c>
      <c r="AL36" t="s">
        <v>137</v>
      </c>
      <c r="AM36" t="s">
        <v>117</v>
      </c>
      <c r="AN36" t="s">
        <v>448</v>
      </c>
      <c r="AO36" t="s">
        <v>467</v>
      </c>
      <c r="AP36" t="s">
        <v>119</v>
      </c>
      <c r="AQ36" t="s">
        <v>119</v>
      </c>
      <c r="AR36" t="s">
        <v>448</v>
      </c>
      <c r="AS36" t="s">
        <v>468</v>
      </c>
      <c r="AT36" t="s">
        <v>469</v>
      </c>
    </row>
    <row r="37" spans="1:46">
      <c r="A37" s="1" t="s">
        <v>470</v>
      </c>
      <c r="B37" s="1" t="s">
        <v>471</v>
      </c>
      <c r="C37" s="1" t="s">
        <v>472</v>
      </c>
      <c r="D37" s="1" t="s">
        <v>40</v>
      </c>
      <c r="E37" s="1" t="s">
        <v>124</v>
      </c>
      <c r="F37" s="1" t="s">
        <v>103</v>
      </c>
      <c r="G37" s="1" t="s">
        <v>473</v>
      </c>
      <c r="H37" s="1" t="s">
        <v>474</v>
      </c>
      <c r="I37" s="1" t="s">
        <v>127</v>
      </c>
      <c r="J37" s="1" t="s">
        <v>128</v>
      </c>
      <c r="K37" s="1" t="s">
        <v>253</v>
      </c>
      <c r="L37" s="9">
        <v>-24728</v>
      </c>
      <c r="M37" s="1" t="s">
        <v>103</v>
      </c>
      <c r="N37" s="1" t="s">
        <v>473</v>
      </c>
      <c r="O37" s="1" t="s">
        <v>474</v>
      </c>
      <c r="P37" s="1" t="s">
        <v>127</v>
      </c>
      <c r="Q37" s="1" t="s">
        <v>131</v>
      </c>
      <c r="R37" s="1"/>
      <c r="S37" s="9">
        <v>24728.46</v>
      </c>
      <c r="T37" s="1">
        <v>0.45999999999912689</v>
      </c>
      <c r="U37" s="1" t="s">
        <v>146</v>
      </c>
      <c r="V37" s="1" t="s">
        <v>15</v>
      </c>
      <c r="W37" s="1" t="s">
        <v>17</v>
      </c>
      <c r="X37" s="1" t="s">
        <v>111</v>
      </c>
      <c r="Y37" s="1"/>
      <c r="Z37" s="1" t="s">
        <v>475</v>
      </c>
      <c r="AA37" s="1" t="s">
        <v>17</v>
      </c>
      <c r="AB37" s="1">
        <v>0</v>
      </c>
      <c r="AC37" s="1" t="s">
        <v>17</v>
      </c>
      <c r="AD37" t="s">
        <v>112</v>
      </c>
      <c r="AE37" t="s">
        <v>231</v>
      </c>
      <c r="AF37" t="s">
        <v>476</v>
      </c>
      <c r="AG37" t="s">
        <v>114</v>
      </c>
      <c r="AH37" t="s">
        <v>474</v>
      </c>
      <c r="AI37" t="s">
        <v>474</v>
      </c>
      <c r="AJ37" t="s">
        <v>135</v>
      </c>
      <c r="AK37" t="s">
        <v>233</v>
      </c>
      <c r="AL37" t="s">
        <v>137</v>
      </c>
      <c r="AM37" t="s">
        <v>117</v>
      </c>
      <c r="AN37" t="s">
        <v>477</v>
      </c>
      <c r="AO37" t="s">
        <v>478</v>
      </c>
      <c r="AP37" t="s">
        <v>119</v>
      </c>
      <c r="AQ37" t="s">
        <v>119</v>
      </c>
      <c r="AR37" t="s">
        <v>477</v>
      </c>
      <c r="AS37" t="s">
        <v>479</v>
      </c>
      <c r="AT37" t="s">
        <v>477</v>
      </c>
    </row>
    <row r="38" spans="1:46">
      <c r="A38" s="1" t="s">
        <v>480</v>
      </c>
      <c r="B38" s="1" t="s">
        <v>481</v>
      </c>
      <c r="C38" s="1" t="s">
        <v>482</v>
      </c>
      <c r="D38" s="1" t="s">
        <v>101</v>
      </c>
      <c r="E38" s="1" t="s">
        <v>483</v>
      </c>
      <c r="F38" s="1" t="s">
        <v>103</v>
      </c>
      <c r="G38" s="1" t="s">
        <v>484</v>
      </c>
      <c r="H38" s="1" t="s">
        <v>485</v>
      </c>
      <c r="I38" s="1" t="s">
        <v>106</v>
      </c>
      <c r="J38" s="1" t="s">
        <v>107</v>
      </c>
      <c r="K38" s="1"/>
      <c r="L38" s="9">
        <v>15498.94</v>
      </c>
      <c r="M38" s="1" t="s">
        <v>103</v>
      </c>
      <c r="N38" s="1" t="s">
        <v>484</v>
      </c>
      <c r="O38" s="1"/>
      <c r="P38" s="1" t="s">
        <v>106</v>
      </c>
      <c r="Q38" s="1" t="s">
        <v>108</v>
      </c>
      <c r="R38" s="1" t="s">
        <v>109</v>
      </c>
      <c r="S38" s="9">
        <v>-15498.94</v>
      </c>
      <c r="T38" s="1">
        <v>0</v>
      </c>
      <c r="U38" s="1" t="s">
        <v>486</v>
      </c>
      <c r="V38" s="1" t="s">
        <v>15</v>
      </c>
      <c r="W38" s="1" t="s">
        <v>17</v>
      </c>
      <c r="X38" s="1" t="s">
        <v>111</v>
      </c>
      <c r="Y38" s="1"/>
      <c r="Z38" s="1" t="s">
        <v>485</v>
      </c>
      <c r="AA38" s="1" t="s">
        <v>17</v>
      </c>
      <c r="AB38" s="1">
        <v>0</v>
      </c>
      <c r="AC38" s="1" t="s">
        <v>17</v>
      </c>
      <c r="AD38" t="s">
        <v>112</v>
      </c>
      <c r="AE38" t="s">
        <v>113</v>
      </c>
      <c r="AF38" t="s">
        <v>485</v>
      </c>
      <c r="AG38" t="s">
        <v>487</v>
      </c>
      <c r="AH38" t="s">
        <v>488</v>
      </c>
      <c r="AI38" t="s">
        <v>488</v>
      </c>
      <c r="AJ38" t="s">
        <v>17</v>
      </c>
      <c r="AK38" t="s">
        <v>189</v>
      </c>
      <c r="AL38" t="s">
        <v>17</v>
      </c>
      <c r="AM38" t="s">
        <v>117</v>
      </c>
      <c r="AN38" t="s">
        <v>484</v>
      </c>
      <c r="AO38" t="s">
        <v>169</v>
      </c>
      <c r="AP38" t="s">
        <v>119</v>
      </c>
      <c r="AQ38" t="s">
        <v>119</v>
      </c>
      <c r="AR38" t="s">
        <v>484</v>
      </c>
      <c r="AS38" t="s">
        <v>170</v>
      </c>
      <c r="AT38" t="s">
        <v>484</v>
      </c>
    </row>
    <row r="39" spans="1:46">
      <c r="A39" s="1" t="s">
        <v>489</v>
      </c>
      <c r="B39" s="1" t="s">
        <v>490</v>
      </c>
      <c r="C39" s="1" t="s">
        <v>482</v>
      </c>
      <c r="D39" s="1" t="s">
        <v>101</v>
      </c>
      <c r="E39" s="1" t="s">
        <v>483</v>
      </c>
      <c r="F39" s="1" t="s">
        <v>103</v>
      </c>
      <c r="G39" s="1" t="s">
        <v>484</v>
      </c>
      <c r="H39" s="1" t="s">
        <v>491</v>
      </c>
      <c r="I39" s="1" t="s">
        <v>106</v>
      </c>
      <c r="J39" s="1" t="s">
        <v>107</v>
      </c>
      <c r="K39" s="1"/>
      <c r="L39" s="9">
        <v>95505.13</v>
      </c>
      <c r="M39" s="1" t="s">
        <v>103</v>
      </c>
      <c r="N39" s="1" t="s">
        <v>484</v>
      </c>
      <c r="O39" s="1"/>
      <c r="P39" s="1" t="s">
        <v>106</v>
      </c>
      <c r="Q39" s="1" t="s">
        <v>108</v>
      </c>
      <c r="R39" s="1" t="s">
        <v>109</v>
      </c>
      <c r="S39" s="9">
        <v>-95505.13</v>
      </c>
      <c r="T39" s="1">
        <v>0</v>
      </c>
      <c r="U39" s="1" t="s">
        <v>486</v>
      </c>
      <c r="V39" s="1" t="s">
        <v>15</v>
      </c>
      <c r="W39" s="1" t="s">
        <v>17</v>
      </c>
      <c r="X39" s="1" t="s">
        <v>111</v>
      </c>
      <c r="Y39" s="1"/>
      <c r="Z39" s="1" t="s">
        <v>491</v>
      </c>
      <c r="AA39" s="1" t="s">
        <v>17</v>
      </c>
      <c r="AB39" s="1">
        <v>0</v>
      </c>
      <c r="AC39" s="1" t="s">
        <v>17</v>
      </c>
      <c r="AD39" t="s">
        <v>112</v>
      </c>
      <c r="AE39" t="s">
        <v>113</v>
      </c>
      <c r="AF39" t="s">
        <v>491</v>
      </c>
      <c r="AG39" t="s">
        <v>114</v>
      </c>
      <c r="AH39" t="s">
        <v>488</v>
      </c>
      <c r="AI39" t="s">
        <v>488</v>
      </c>
      <c r="AJ39" t="s">
        <v>17</v>
      </c>
      <c r="AK39" t="s">
        <v>189</v>
      </c>
      <c r="AL39" t="s">
        <v>17</v>
      </c>
      <c r="AM39" t="s">
        <v>117</v>
      </c>
      <c r="AN39" t="s">
        <v>484</v>
      </c>
      <c r="AO39" t="s">
        <v>492</v>
      </c>
      <c r="AP39" t="s">
        <v>119</v>
      </c>
      <c r="AQ39" t="s">
        <v>119</v>
      </c>
      <c r="AR39" t="s">
        <v>484</v>
      </c>
      <c r="AS39" t="s">
        <v>493</v>
      </c>
      <c r="AT39" t="s">
        <v>484</v>
      </c>
    </row>
    <row r="40" spans="1:46">
      <c r="A40" s="1" t="s">
        <v>494</v>
      </c>
      <c r="B40" s="1" t="s">
        <v>495</v>
      </c>
      <c r="C40" s="1" t="s">
        <v>496</v>
      </c>
      <c r="D40" s="1" t="s">
        <v>40</v>
      </c>
      <c r="E40" s="1" t="s">
        <v>124</v>
      </c>
      <c r="F40" s="1" t="s">
        <v>103</v>
      </c>
      <c r="G40" s="1" t="s">
        <v>130</v>
      </c>
      <c r="H40" s="1" t="s">
        <v>497</v>
      </c>
      <c r="I40" s="1" t="s">
        <v>127</v>
      </c>
      <c r="J40" s="1" t="s">
        <v>128</v>
      </c>
      <c r="K40" s="1" t="s">
        <v>129</v>
      </c>
      <c r="L40" s="9">
        <v>-15080</v>
      </c>
      <c r="M40" s="1" t="s">
        <v>103</v>
      </c>
      <c r="N40" s="1" t="s">
        <v>498</v>
      </c>
      <c r="O40" s="1" t="s">
        <v>497</v>
      </c>
      <c r="P40" s="1" t="s">
        <v>127</v>
      </c>
      <c r="Q40" s="1" t="s">
        <v>131</v>
      </c>
      <c r="R40" s="1"/>
      <c r="S40" s="9">
        <v>15080.05</v>
      </c>
      <c r="T40" s="1">
        <v>4.9999999999272404E-2</v>
      </c>
      <c r="U40" s="1" t="s">
        <v>146</v>
      </c>
      <c r="V40" s="1" t="s">
        <v>15</v>
      </c>
      <c r="W40" s="1" t="s">
        <v>17</v>
      </c>
      <c r="X40" s="1" t="s">
        <v>111</v>
      </c>
      <c r="Y40" s="1"/>
      <c r="Z40" s="1" t="s">
        <v>499</v>
      </c>
      <c r="AA40" s="1" t="s">
        <v>17</v>
      </c>
      <c r="AB40" s="1">
        <v>0</v>
      </c>
      <c r="AC40" s="1" t="s">
        <v>17</v>
      </c>
      <c r="AD40" t="s">
        <v>112</v>
      </c>
      <c r="AE40" t="s">
        <v>113</v>
      </c>
      <c r="AF40" t="s">
        <v>500</v>
      </c>
      <c r="AG40" t="s">
        <v>114</v>
      </c>
      <c r="AH40" t="s">
        <v>497</v>
      </c>
      <c r="AI40" t="s">
        <v>497</v>
      </c>
      <c r="AJ40" t="s">
        <v>135</v>
      </c>
      <c r="AK40" t="s">
        <v>136</v>
      </c>
      <c r="AL40" t="s">
        <v>137</v>
      </c>
      <c r="AM40" t="s">
        <v>117</v>
      </c>
      <c r="AN40" t="s">
        <v>138</v>
      </c>
      <c r="AO40" t="s">
        <v>501</v>
      </c>
      <c r="AP40" t="s">
        <v>119</v>
      </c>
      <c r="AQ40" t="s">
        <v>119</v>
      </c>
      <c r="AR40" t="s">
        <v>138</v>
      </c>
      <c r="AS40" t="s">
        <v>502</v>
      </c>
      <c r="AT40" t="s">
        <v>503</v>
      </c>
    </row>
    <row r="41" spans="1:46">
      <c r="A41" s="1" t="s">
        <v>504</v>
      </c>
      <c r="B41" s="1" t="s">
        <v>505</v>
      </c>
      <c r="C41" s="1" t="s">
        <v>506</v>
      </c>
      <c r="D41" s="1" t="s">
        <v>40</v>
      </c>
      <c r="E41" s="1" t="s">
        <v>124</v>
      </c>
      <c r="F41" s="1" t="s">
        <v>103</v>
      </c>
      <c r="G41" s="1" t="s">
        <v>507</v>
      </c>
      <c r="H41" s="1" t="s">
        <v>508</v>
      </c>
      <c r="I41" s="1" t="s">
        <v>127</v>
      </c>
      <c r="J41" s="1" t="s">
        <v>128</v>
      </c>
      <c r="K41" s="1" t="s">
        <v>129</v>
      </c>
      <c r="L41" s="9">
        <v>-14032</v>
      </c>
      <c r="M41" s="1" t="s">
        <v>103</v>
      </c>
      <c r="N41" s="1" t="s">
        <v>507</v>
      </c>
      <c r="O41" s="1" t="s">
        <v>508</v>
      </c>
      <c r="P41" s="1" t="s">
        <v>127</v>
      </c>
      <c r="Q41" s="1" t="s">
        <v>131</v>
      </c>
      <c r="R41" s="1"/>
      <c r="S41" s="9">
        <v>14032.83</v>
      </c>
      <c r="T41" s="1">
        <v>0.82999999999992724</v>
      </c>
      <c r="U41" s="1" t="s">
        <v>146</v>
      </c>
      <c r="V41" s="1" t="s">
        <v>15</v>
      </c>
      <c r="W41" s="1" t="s">
        <v>17</v>
      </c>
      <c r="X41" s="1" t="s">
        <v>111</v>
      </c>
      <c r="Y41" s="1"/>
      <c r="Z41" s="1" t="s">
        <v>509</v>
      </c>
      <c r="AA41" s="1" t="s">
        <v>17</v>
      </c>
      <c r="AB41" s="1">
        <v>0</v>
      </c>
      <c r="AC41" s="1" t="s">
        <v>17</v>
      </c>
      <c r="AD41" t="s">
        <v>112</v>
      </c>
      <c r="AE41" t="s">
        <v>113</v>
      </c>
      <c r="AF41" t="s">
        <v>510</v>
      </c>
      <c r="AG41" t="s">
        <v>114</v>
      </c>
      <c r="AH41" t="s">
        <v>508</v>
      </c>
      <c r="AI41" t="s">
        <v>508</v>
      </c>
      <c r="AJ41" t="s">
        <v>149</v>
      </c>
      <c r="AK41" t="s">
        <v>189</v>
      </c>
      <c r="AL41" t="s">
        <v>137</v>
      </c>
      <c r="AM41" t="s">
        <v>117</v>
      </c>
      <c r="AN41" t="s">
        <v>511</v>
      </c>
      <c r="AO41" t="s">
        <v>512</v>
      </c>
      <c r="AP41" t="s">
        <v>119</v>
      </c>
      <c r="AQ41" t="s">
        <v>119</v>
      </c>
      <c r="AR41" t="s">
        <v>511</v>
      </c>
      <c r="AS41" t="s">
        <v>513</v>
      </c>
      <c r="AT41" t="s">
        <v>507</v>
      </c>
    </row>
    <row r="42" spans="1:46">
      <c r="A42" s="1" t="s">
        <v>514</v>
      </c>
      <c r="B42" s="1" t="s">
        <v>515</v>
      </c>
      <c r="C42" s="1" t="s">
        <v>516</v>
      </c>
      <c r="D42" s="1" t="s">
        <v>101</v>
      </c>
      <c r="E42" s="1" t="s">
        <v>124</v>
      </c>
      <c r="F42" s="1" t="s">
        <v>103</v>
      </c>
      <c r="G42" s="1" t="s">
        <v>517</v>
      </c>
      <c r="H42" s="1" t="s">
        <v>518</v>
      </c>
      <c r="I42" s="1" t="s">
        <v>127</v>
      </c>
      <c r="J42" s="1" t="s">
        <v>128</v>
      </c>
      <c r="K42" s="1" t="s">
        <v>129</v>
      </c>
      <c r="L42" s="9">
        <v>-8377.82</v>
      </c>
      <c r="M42" s="1" t="s">
        <v>103</v>
      </c>
      <c r="N42" s="1" t="s">
        <v>517</v>
      </c>
      <c r="O42" s="1" t="s">
        <v>518</v>
      </c>
      <c r="P42" s="1" t="s">
        <v>127</v>
      </c>
      <c r="Q42" s="1" t="s">
        <v>131</v>
      </c>
      <c r="R42" s="1"/>
      <c r="S42" s="9">
        <v>8377.82</v>
      </c>
      <c r="T42" s="1">
        <v>0</v>
      </c>
      <c r="U42" s="1" t="s">
        <v>132</v>
      </c>
      <c r="V42" s="1" t="s">
        <v>15</v>
      </c>
      <c r="W42" s="1" t="s">
        <v>17</v>
      </c>
      <c r="X42" s="1" t="s">
        <v>111</v>
      </c>
      <c r="Y42" s="1"/>
      <c r="Z42" s="1" t="s">
        <v>396</v>
      </c>
      <c r="AA42" s="1" t="s">
        <v>17</v>
      </c>
      <c r="AB42" s="1">
        <v>0</v>
      </c>
      <c r="AC42" s="1" t="s">
        <v>17</v>
      </c>
      <c r="AD42" t="s">
        <v>112</v>
      </c>
      <c r="AE42" t="s">
        <v>113</v>
      </c>
      <c r="AF42" t="s">
        <v>519</v>
      </c>
      <c r="AG42" t="s">
        <v>114</v>
      </c>
      <c r="AH42" t="s">
        <v>518</v>
      </c>
      <c r="AI42" t="s">
        <v>518</v>
      </c>
      <c r="AJ42" t="s">
        <v>135</v>
      </c>
      <c r="AK42" t="s">
        <v>200</v>
      </c>
      <c r="AL42" t="s">
        <v>137</v>
      </c>
      <c r="AM42" t="s">
        <v>117</v>
      </c>
      <c r="AN42" t="s">
        <v>398</v>
      </c>
      <c r="AO42" t="s">
        <v>520</v>
      </c>
      <c r="AP42" t="s">
        <v>119</v>
      </c>
      <c r="AQ42" t="s">
        <v>119</v>
      </c>
      <c r="AR42" t="s">
        <v>400</v>
      </c>
      <c r="AS42" t="s">
        <v>521</v>
      </c>
      <c r="AT42" t="s">
        <v>522</v>
      </c>
    </row>
    <row r="43" spans="1:46">
      <c r="A43" s="1" t="s">
        <v>523</v>
      </c>
      <c r="B43" s="1" t="s">
        <v>524</v>
      </c>
      <c r="C43" s="1" t="s">
        <v>525</v>
      </c>
      <c r="D43" s="1" t="s">
        <v>40</v>
      </c>
      <c r="E43" s="1" t="s">
        <v>124</v>
      </c>
      <c r="F43" s="1" t="s">
        <v>103</v>
      </c>
      <c r="G43" s="1" t="s">
        <v>526</v>
      </c>
      <c r="H43" s="1" t="s">
        <v>527</v>
      </c>
      <c r="I43" s="1" t="s">
        <v>127</v>
      </c>
      <c r="J43" s="1" t="s">
        <v>128</v>
      </c>
      <c r="K43" s="1" t="s">
        <v>129</v>
      </c>
      <c r="L43" s="9">
        <v>-16965</v>
      </c>
      <c r="M43" s="1" t="s">
        <v>103</v>
      </c>
      <c r="N43" s="1" t="s">
        <v>528</v>
      </c>
      <c r="O43" s="1" t="s">
        <v>527</v>
      </c>
      <c r="P43" s="1" t="s">
        <v>127</v>
      </c>
      <c r="Q43" s="1" t="s">
        <v>131</v>
      </c>
      <c r="R43" s="1"/>
      <c r="S43" s="9">
        <v>16965.080000000002</v>
      </c>
      <c r="T43" s="1">
        <v>8.000000000174623E-2</v>
      </c>
      <c r="U43" s="1" t="s">
        <v>146</v>
      </c>
      <c r="V43" s="1" t="s">
        <v>15</v>
      </c>
      <c r="W43" s="1" t="s">
        <v>17</v>
      </c>
      <c r="X43" s="1" t="s">
        <v>111</v>
      </c>
      <c r="Y43" s="1"/>
      <c r="Z43" s="1" t="s">
        <v>529</v>
      </c>
      <c r="AA43" s="1" t="s">
        <v>17</v>
      </c>
      <c r="AB43" s="1">
        <v>0</v>
      </c>
      <c r="AC43" s="1" t="s">
        <v>17</v>
      </c>
      <c r="AD43" t="s">
        <v>112</v>
      </c>
      <c r="AE43" t="s">
        <v>113</v>
      </c>
      <c r="AF43" t="s">
        <v>530</v>
      </c>
      <c r="AG43" t="s">
        <v>114</v>
      </c>
      <c r="AH43" t="s">
        <v>527</v>
      </c>
      <c r="AI43" t="s">
        <v>527</v>
      </c>
      <c r="AJ43" t="s">
        <v>149</v>
      </c>
      <c r="AK43" t="s">
        <v>116</v>
      </c>
      <c r="AL43" t="s">
        <v>137</v>
      </c>
      <c r="AM43" t="s">
        <v>117</v>
      </c>
      <c r="AN43" t="s">
        <v>531</v>
      </c>
      <c r="AO43" t="s">
        <v>532</v>
      </c>
      <c r="AP43" t="s">
        <v>119</v>
      </c>
      <c r="AQ43" t="s">
        <v>119</v>
      </c>
      <c r="AR43" t="s">
        <v>531</v>
      </c>
      <c r="AS43" t="s">
        <v>533</v>
      </c>
      <c r="AT43" t="s">
        <v>534</v>
      </c>
    </row>
    <row r="44" spans="1:46">
      <c r="A44" s="1" t="s">
        <v>535</v>
      </c>
      <c r="B44" s="1" t="s">
        <v>536</v>
      </c>
      <c r="C44" s="1" t="s">
        <v>537</v>
      </c>
      <c r="D44" s="1" t="s">
        <v>101</v>
      </c>
      <c r="E44" s="1" t="s">
        <v>124</v>
      </c>
      <c r="F44" s="1" t="s">
        <v>103</v>
      </c>
      <c r="G44" s="1" t="s">
        <v>538</v>
      </c>
      <c r="H44" s="1" t="s">
        <v>539</v>
      </c>
      <c r="I44" s="1" t="s">
        <v>127</v>
      </c>
      <c r="J44" s="1" t="s">
        <v>128</v>
      </c>
      <c r="K44" s="1" t="s">
        <v>129</v>
      </c>
      <c r="L44" s="9">
        <v>-16127.29</v>
      </c>
      <c r="M44" s="1" t="s">
        <v>103</v>
      </c>
      <c r="N44" s="1" t="s">
        <v>538</v>
      </c>
      <c r="O44" s="1" t="s">
        <v>539</v>
      </c>
      <c r="P44" s="1" t="s">
        <v>127</v>
      </c>
      <c r="Q44" s="1" t="s">
        <v>131</v>
      </c>
      <c r="R44" s="1"/>
      <c r="S44" s="9">
        <v>16127.29</v>
      </c>
      <c r="T44" s="1">
        <v>0</v>
      </c>
      <c r="U44" s="1" t="s">
        <v>132</v>
      </c>
      <c r="V44" s="1" t="s">
        <v>15</v>
      </c>
      <c r="W44" s="1" t="s">
        <v>17</v>
      </c>
      <c r="X44" s="1" t="s">
        <v>111</v>
      </c>
      <c r="Y44" s="1"/>
      <c r="Z44" s="1" t="s">
        <v>345</v>
      </c>
      <c r="AA44" s="1" t="s">
        <v>17</v>
      </c>
      <c r="AB44" s="1">
        <v>0</v>
      </c>
      <c r="AC44" s="1" t="s">
        <v>17</v>
      </c>
      <c r="AD44" t="s">
        <v>112</v>
      </c>
      <c r="AE44" t="s">
        <v>113</v>
      </c>
      <c r="AF44" t="s">
        <v>540</v>
      </c>
      <c r="AG44" t="s">
        <v>114</v>
      </c>
      <c r="AH44" t="s">
        <v>539</v>
      </c>
      <c r="AI44" t="s">
        <v>539</v>
      </c>
      <c r="AJ44" t="s">
        <v>135</v>
      </c>
      <c r="AK44" t="s">
        <v>257</v>
      </c>
      <c r="AL44" t="s">
        <v>137</v>
      </c>
      <c r="AM44" t="s">
        <v>117</v>
      </c>
      <c r="AN44" t="s">
        <v>541</v>
      </c>
      <c r="AO44" t="s">
        <v>399</v>
      </c>
      <c r="AP44" t="s">
        <v>119</v>
      </c>
      <c r="AQ44" t="s">
        <v>119</v>
      </c>
      <c r="AR44" t="s">
        <v>541</v>
      </c>
      <c r="AS44" t="s">
        <v>401</v>
      </c>
      <c r="AT44" t="s">
        <v>542</v>
      </c>
    </row>
    <row r="45" spans="1:46">
      <c r="A45" s="1" t="s">
        <v>543</v>
      </c>
      <c r="B45" s="1" t="s">
        <v>544</v>
      </c>
      <c r="C45" s="1" t="s">
        <v>545</v>
      </c>
      <c r="D45" s="1" t="s">
        <v>101</v>
      </c>
      <c r="E45" s="1" t="s">
        <v>124</v>
      </c>
      <c r="F45" s="1" t="s">
        <v>103</v>
      </c>
      <c r="G45" s="1" t="s">
        <v>375</v>
      </c>
      <c r="H45" s="1" t="s">
        <v>546</v>
      </c>
      <c r="I45" s="1" t="s">
        <v>127</v>
      </c>
      <c r="J45" s="1" t="s">
        <v>128</v>
      </c>
      <c r="K45" s="1" t="s">
        <v>129</v>
      </c>
      <c r="L45" s="9">
        <v>-4817.25</v>
      </c>
      <c r="M45" s="1" t="s">
        <v>103</v>
      </c>
      <c r="N45" s="1" t="s">
        <v>547</v>
      </c>
      <c r="O45" s="1" t="s">
        <v>546</v>
      </c>
      <c r="P45" s="1" t="s">
        <v>127</v>
      </c>
      <c r="Q45" s="1" t="s">
        <v>131</v>
      </c>
      <c r="R45" s="1"/>
      <c r="S45" s="9">
        <v>4817.25</v>
      </c>
      <c r="T45" s="1">
        <v>0</v>
      </c>
      <c r="U45" s="1" t="s">
        <v>132</v>
      </c>
      <c r="V45" s="1" t="s">
        <v>15</v>
      </c>
      <c r="W45" s="1" t="s">
        <v>17</v>
      </c>
      <c r="X45" s="1" t="s">
        <v>111</v>
      </c>
      <c r="Y45" s="1"/>
      <c r="Z45" s="1" t="s">
        <v>177</v>
      </c>
      <c r="AA45" s="1" t="s">
        <v>17</v>
      </c>
      <c r="AB45" s="1">
        <v>0</v>
      </c>
      <c r="AC45" s="1" t="s">
        <v>17</v>
      </c>
      <c r="AD45" t="s">
        <v>112</v>
      </c>
      <c r="AE45" t="s">
        <v>113</v>
      </c>
      <c r="AF45" t="s">
        <v>548</v>
      </c>
      <c r="AG45" t="s">
        <v>114</v>
      </c>
      <c r="AH45" t="s">
        <v>546</v>
      </c>
      <c r="AI45" t="s">
        <v>546</v>
      </c>
      <c r="AJ45" t="s">
        <v>149</v>
      </c>
      <c r="AK45" t="s">
        <v>179</v>
      </c>
      <c r="AL45" t="s">
        <v>137</v>
      </c>
      <c r="AM45" t="s">
        <v>117</v>
      </c>
      <c r="AN45" t="s">
        <v>180</v>
      </c>
      <c r="AO45" t="s">
        <v>549</v>
      </c>
      <c r="AP45" t="s">
        <v>119</v>
      </c>
      <c r="AQ45" t="s">
        <v>119</v>
      </c>
      <c r="AR45" t="s">
        <v>180</v>
      </c>
      <c r="AS45" t="s">
        <v>550</v>
      </c>
      <c r="AT45" t="s">
        <v>547</v>
      </c>
    </row>
    <row r="46" spans="1:46">
      <c r="A46" s="1" t="s">
        <v>551</v>
      </c>
      <c r="B46" s="1" t="s">
        <v>552</v>
      </c>
      <c r="C46" s="1" t="s">
        <v>553</v>
      </c>
      <c r="D46" s="1" t="s">
        <v>101</v>
      </c>
      <c r="E46" s="1" t="s">
        <v>554</v>
      </c>
      <c r="F46" s="1" t="s">
        <v>103</v>
      </c>
      <c r="G46" s="1" t="s">
        <v>294</v>
      </c>
      <c r="H46" s="1" t="s">
        <v>555</v>
      </c>
      <c r="I46" s="1" t="s">
        <v>127</v>
      </c>
      <c r="J46" s="1" t="s">
        <v>128</v>
      </c>
      <c r="K46" s="1" t="s">
        <v>129</v>
      </c>
      <c r="L46" s="9">
        <v>-15289.51</v>
      </c>
      <c r="M46" s="1" t="s">
        <v>103</v>
      </c>
      <c r="N46" s="1" t="s">
        <v>301</v>
      </c>
      <c r="O46" s="1" t="s">
        <v>556</v>
      </c>
      <c r="P46" s="1" t="s">
        <v>127</v>
      </c>
      <c r="Q46" s="1" t="s">
        <v>131</v>
      </c>
      <c r="R46" s="1"/>
      <c r="S46" s="9">
        <v>15289.51</v>
      </c>
      <c r="T46" s="1">
        <v>0</v>
      </c>
      <c r="U46" s="1" t="s">
        <v>557</v>
      </c>
      <c r="V46" s="1" t="s">
        <v>15</v>
      </c>
      <c r="W46" s="1" t="s">
        <v>17</v>
      </c>
      <c r="X46" s="1" t="s">
        <v>111</v>
      </c>
      <c r="Y46" s="1"/>
      <c r="Z46" s="1" t="s">
        <v>296</v>
      </c>
      <c r="AA46" s="1" t="s">
        <v>17</v>
      </c>
      <c r="AB46" s="1">
        <v>0</v>
      </c>
      <c r="AC46" s="1" t="s">
        <v>17</v>
      </c>
      <c r="AD46" t="s">
        <v>112</v>
      </c>
      <c r="AE46" t="s">
        <v>113</v>
      </c>
      <c r="AF46" t="s">
        <v>558</v>
      </c>
      <c r="AG46" t="s">
        <v>114</v>
      </c>
      <c r="AH46" t="s">
        <v>555</v>
      </c>
      <c r="AI46" t="s">
        <v>556</v>
      </c>
      <c r="AJ46" t="s">
        <v>135</v>
      </c>
      <c r="AK46" t="s">
        <v>408</v>
      </c>
      <c r="AL46" t="s">
        <v>137</v>
      </c>
      <c r="AM46" t="s">
        <v>117</v>
      </c>
      <c r="AN46" t="s">
        <v>559</v>
      </c>
      <c r="AO46" t="s">
        <v>429</v>
      </c>
      <c r="AP46" t="s">
        <v>119</v>
      </c>
      <c r="AQ46" t="s">
        <v>119</v>
      </c>
      <c r="AR46" t="s">
        <v>559</v>
      </c>
      <c r="AS46" t="s">
        <v>430</v>
      </c>
      <c r="AT46" t="s">
        <v>298</v>
      </c>
    </row>
    <row r="47" spans="1:46">
      <c r="A47" s="1" t="s">
        <v>560</v>
      </c>
      <c r="B47" s="1" t="s">
        <v>561</v>
      </c>
      <c r="C47" s="1" t="s">
        <v>562</v>
      </c>
      <c r="D47" s="1" t="s">
        <v>101</v>
      </c>
      <c r="E47" s="1" t="s">
        <v>124</v>
      </c>
      <c r="F47" s="1" t="s">
        <v>103</v>
      </c>
      <c r="G47" s="1" t="s">
        <v>270</v>
      </c>
      <c r="H47" s="1" t="s">
        <v>563</v>
      </c>
      <c r="I47" s="1" t="s">
        <v>127</v>
      </c>
      <c r="J47" s="1" t="s">
        <v>128</v>
      </c>
      <c r="K47" s="1" t="s">
        <v>129</v>
      </c>
      <c r="L47" s="9">
        <v>-14032.83</v>
      </c>
      <c r="M47" s="1" t="s">
        <v>103</v>
      </c>
      <c r="N47" s="1" t="s">
        <v>564</v>
      </c>
      <c r="O47" s="1" t="s">
        <v>563</v>
      </c>
      <c r="P47" s="1" t="s">
        <v>127</v>
      </c>
      <c r="Q47" s="1" t="s">
        <v>131</v>
      </c>
      <c r="R47" s="1"/>
      <c r="S47" s="9">
        <v>14032.83</v>
      </c>
      <c r="T47" s="1">
        <v>0</v>
      </c>
      <c r="U47" s="1" t="s">
        <v>132</v>
      </c>
      <c r="V47" s="1" t="s">
        <v>15</v>
      </c>
      <c r="W47" s="1" t="s">
        <v>17</v>
      </c>
      <c r="X47" s="1" t="s">
        <v>111</v>
      </c>
      <c r="Y47" s="1"/>
      <c r="Z47" s="1" t="s">
        <v>565</v>
      </c>
      <c r="AA47" s="1" t="s">
        <v>17</v>
      </c>
      <c r="AB47" s="1">
        <v>0</v>
      </c>
      <c r="AC47" s="1" t="s">
        <v>17</v>
      </c>
      <c r="AD47" t="s">
        <v>112</v>
      </c>
      <c r="AE47" t="s">
        <v>113</v>
      </c>
      <c r="AF47" t="s">
        <v>566</v>
      </c>
      <c r="AG47" t="s">
        <v>114</v>
      </c>
      <c r="AH47" t="s">
        <v>563</v>
      </c>
      <c r="AI47" t="s">
        <v>563</v>
      </c>
      <c r="AJ47" t="s">
        <v>135</v>
      </c>
      <c r="AK47" t="s">
        <v>136</v>
      </c>
      <c r="AL47" t="s">
        <v>137</v>
      </c>
      <c r="AM47" t="s">
        <v>117</v>
      </c>
      <c r="AN47" t="s">
        <v>221</v>
      </c>
      <c r="AO47" t="s">
        <v>567</v>
      </c>
      <c r="AP47" t="s">
        <v>119</v>
      </c>
      <c r="AQ47" t="s">
        <v>119</v>
      </c>
      <c r="AR47" t="s">
        <v>221</v>
      </c>
      <c r="AS47" t="s">
        <v>568</v>
      </c>
      <c r="AT47" t="s">
        <v>569</v>
      </c>
    </row>
    <row r="48" spans="1:46">
      <c r="A48" s="1" t="s">
        <v>570</v>
      </c>
      <c r="B48" s="1" t="s">
        <v>571</v>
      </c>
      <c r="C48" s="1" t="s">
        <v>572</v>
      </c>
      <c r="D48" s="1" t="s">
        <v>40</v>
      </c>
      <c r="E48" s="1" t="s">
        <v>124</v>
      </c>
      <c r="F48" s="1" t="s">
        <v>103</v>
      </c>
      <c r="G48" s="1" t="s">
        <v>573</v>
      </c>
      <c r="H48" s="1" t="s">
        <v>574</v>
      </c>
      <c r="I48" s="1" t="s">
        <v>127</v>
      </c>
      <c r="J48" s="1" t="s">
        <v>128</v>
      </c>
      <c r="K48" s="1" t="s">
        <v>129</v>
      </c>
      <c r="L48" s="9">
        <v>-18431</v>
      </c>
      <c r="M48" s="1" t="s">
        <v>103</v>
      </c>
      <c r="N48" s="1" t="s">
        <v>573</v>
      </c>
      <c r="O48" s="1" t="s">
        <v>574</v>
      </c>
      <c r="P48" s="1" t="s">
        <v>127</v>
      </c>
      <c r="Q48" s="1" t="s">
        <v>131</v>
      </c>
      <c r="R48" s="1"/>
      <c r="S48" s="9">
        <v>18431.189999999999</v>
      </c>
      <c r="T48" s="1">
        <v>0.18999999999869033</v>
      </c>
      <c r="U48" s="1" t="s">
        <v>146</v>
      </c>
      <c r="V48" s="1" t="s">
        <v>15</v>
      </c>
      <c r="W48" s="1" t="s">
        <v>17</v>
      </c>
      <c r="X48" s="1" t="s">
        <v>111</v>
      </c>
      <c r="Y48" s="1"/>
      <c r="Z48" s="1" t="s">
        <v>491</v>
      </c>
      <c r="AA48" s="1" t="s">
        <v>17</v>
      </c>
      <c r="AB48" s="1">
        <v>0</v>
      </c>
      <c r="AC48" s="1" t="s">
        <v>17</v>
      </c>
      <c r="AD48" t="s">
        <v>112</v>
      </c>
      <c r="AE48" t="s">
        <v>113</v>
      </c>
      <c r="AF48" t="s">
        <v>575</v>
      </c>
      <c r="AG48" t="s">
        <v>114</v>
      </c>
      <c r="AH48" t="s">
        <v>574</v>
      </c>
      <c r="AI48" t="s">
        <v>574</v>
      </c>
      <c r="AJ48" t="s">
        <v>149</v>
      </c>
      <c r="AK48" t="s">
        <v>308</v>
      </c>
      <c r="AL48" t="s">
        <v>137</v>
      </c>
      <c r="AM48" t="s">
        <v>117</v>
      </c>
      <c r="AN48" t="s">
        <v>576</v>
      </c>
      <c r="AO48" t="s">
        <v>577</v>
      </c>
      <c r="AP48" t="s">
        <v>119</v>
      </c>
      <c r="AQ48" t="s">
        <v>119</v>
      </c>
      <c r="AR48" t="s">
        <v>576</v>
      </c>
      <c r="AS48" t="s">
        <v>578</v>
      </c>
      <c r="AT48" t="s">
        <v>573</v>
      </c>
    </row>
    <row r="49" spans="1:46">
      <c r="A49" s="1" t="s">
        <v>579</v>
      </c>
      <c r="B49" s="1" t="s">
        <v>580</v>
      </c>
      <c r="C49" s="1" t="s">
        <v>581</v>
      </c>
      <c r="D49" s="1" t="s">
        <v>101</v>
      </c>
      <c r="E49" s="1" t="s">
        <v>124</v>
      </c>
      <c r="F49" s="1" t="s">
        <v>103</v>
      </c>
      <c r="G49" s="1" t="s">
        <v>582</v>
      </c>
      <c r="H49" s="1" t="s">
        <v>583</v>
      </c>
      <c r="I49" s="1" t="s">
        <v>127</v>
      </c>
      <c r="J49" s="1" t="s">
        <v>128</v>
      </c>
      <c r="K49" s="1" t="s">
        <v>253</v>
      </c>
      <c r="L49" s="9">
        <v>-30658.240000000002</v>
      </c>
      <c r="M49" s="1" t="s">
        <v>103</v>
      </c>
      <c r="N49" s="1" t="s">
        <v>582</v>
      </c>
      <c r="O49" s="1" t="s">
        <v>583</v>
      </c>
      <c r="P49" s="1" t="s">
        <v>127</v>
      </c>
      <c r="Q49" s="1" t="s">
        <v>131</v>
      </c>
      <c r="R49" s="1"/>
      <c r="S49" s="9">
        <v>30658.240000000002</v>
      </c>
      <c r="T49" s="1">
        <v>0</v>
      </c>
      <c r="U49" s="1" t="s">
        <v>132</v>
      </c>
      <c r="V49" s="1" t="s">
        <v>15</v>
      </c>
      <c r="W49" s="1" t="s">
        <v>17</v>
      </c>
      <c r="X49" s="1" t="s">
        <v>111</v>
      </c>
      <c r="Y49" s="1"/>
      <c r="Z49" s="1" t="s">
        <v>584</v>
      </c>
      <c r="AA49" s="1" t="s">
        <v>17</v>
      </c>
      <c r="AB49" s="1">
        <v>0</v>
      </c>
      <c r="AC49" s="1" t="s">
        <v>17</v>
      </c>
      <c r="AD49" t="s">
        <v>112</v>
      </c>
      <c r="AE49" t="s">
        <v>231</v>
      </c>
      <c r="AF49" t="s">
        <v>585</v>
      </c>
      <c r="AG49" t="s">
        <v>114</v>
      </c>
      <c r="AH49" t="s">
        <v>583</v>
      </c>
      <c r="AI49" t="s">
        <v>583</v>
      </c>
      <c r="AJ49" t="s">
        <v>135</v>
      </c>
      <c r="AK49" t="s">
        <v>408</v>
      </c>
      <c r="AL49" t="s">
        <v>137</v>
      </c>
      <c r="AM49" t="s">
        <v>117</v>
      </c>
      <c r="AN49" t="s">
        <v>586</v>
      </c>
      <c r="AO49" t="s">
        <v>587</v>
      </c>
      <c r="AP49" t="s">
        <v>119</v>
      </c>
      <c r="AQ49" t="s">
        <v>119</v>
      </c>
      <c r="AR49" t="s">
        <v>586</v>
      </c>
      <c r="AS49" t="s">
        <v>588</v>
      </c>
      <c r="AT49" t="s">
        <v>589</v>
      </c>
    </row>
    <row r="50" spans="1:46">
      <c r="A50" s="1" t="s">
        <v>590</v>
      </c>
      <c r="B50" s="1" t="s">
        <v>591</v>
      </c>
      <c r="C50" s="1" t="s">
        <v>592</v>
      </c>
      <c r="D50" s="1" t="s">
        <v>101</v>
      </c>
      <c r="E50" s="1" t="s">
        <v>102</v>
      </c>
      <c r="F50" s="1" t="s">
        <v>103</v>
      </c>
      <c r="G50" s="1" t="s">
        <v>180</v>
      </c>
      <c r="H50" s="1" t="s">
        <v>593</v>
      </c>
      <c r="I50" s="1" t="s">
        <v>106</v>
      </c>
      <c r="J50" s="1" t="s">
        <v>107</v>
      </c>
      <c r="K50" s="1"/>
      <c r="L50" s="9">
        <v>18012.3</v>
      </c>
      <c r="M50" s="1" t="s">
        <v>103</v>
      </c>
      <c r="N50" s="1" t="s">
        <v>180</v>
      </c>
      <c r="O50" s="1"/>
      <c r="P50" s="1" t="s">
        <v>106</v>
      </c>
      <c r="Q50" s="1" t="s">
        <v>108</v>
      </c>
      <c r="R50" s="1" t="s">
        <v>109</v>
      </c>
      <c r="S50" s="9">
        <v>-18012.3</v>
      </c>
      <c r="T50" s="1">
        <v>0</v>
      </c>
      <c r="U50" s="1" t="s">
        <v>110</v>
      </c>
      <c r="V50" s="1" t="s">
        <v>15</v>
      </c>
      <c r="W50" s="1" t="s">
        <v>17</v>
      </c>
      <c r="X50" s="1" t="s">
        <v>111</v>
      </c>
      <c r="Y50" s="1"/>
      <c r="Z50" s="1" t="s">
        <v>593</v>
      </c>
      <c r="AA50" s="1" t="s">
        <v>17</v>
      </c>
      <c r="AB50" s="1">
        <v>0</v>
      </c>
      <c r="AC50" s="1" t="s">
        <v>17</v>
      </c>
      <c r="AD50" t="s">
        <v>112</v>
      </c>
      <c r="AE50" t="s">
        <v>113</v>
      </c>
      <c r="AF50" t="s">
        <v>593</v>
      </c>
      <c r="AG50" t="s">
        <v>114</v>
      </c>
      <c r="AH50" t="s">
        <v>594</v>
      </c>
      <c r="AI50" t="s">
        <v>594</v>
      </c>
      <c r="AJ50" t="s">
        <v>17</v>
      </c>
      <c r="AK50" t="s">
        <v>179</v>
      </c>
      <c r="AL50" t="s">
        <v>17</v>
      </c>
      <c r="AM50" t="s">
        <v>117</v>
      </c>
      <c r="AN50" t="s">
        <v>180</v>
      </c>
      <c r="AO50" t="s">
        <v>595</v>
      </c>
      <c r="AP50" t="s">
        <v>119</v>
      </c>
      <c r="AQ50" t="s">
        <v>119</v>
      </c>
      <c r="AR50" t="s">
        <v>180</v>
      </c>
      <c r="AS50" t="s">
        <v>596</v>
      </c>
      <c r="AT50" t="s">
        <v>180</v>
      </c>
    </row>
    <row r="51" spans="1:46">
      <c r="A51" s="1" t="s">
        <v>597</v>
      </c>
      <c r="B51" s="1" t="s">
        <v>598</v>
      </c>
      <c r="C51" s="1" t="s">
        <v>599</v>
      </c>
      <c r="D51" s="1" t="s">
        <v>101</v>
      </c>
      <c r="E51" s="1" t="s">
        <v>124</v>
      </c>
      <c r="F51" s="1" t="s">
        <v>103</v>
      </c>
      <c r="G51" s="1" t="s">
        <v>151</v>
      </c>
      <c r="H51" s="1" t="s">
        <v>600</v>
      </c>
      <c r="I51" s="1" t="s">
        <v>127</v>
      </c>
      <c r="J51" s="1" t="s">
        <v>128</v>
      </c>
      <c r="K51" s="1" t="s">
        <v>129</v>
      </c>
      <c r="L51" s="9">
        <v>-11728.94</v>
      </c>
      <c r="M51" s="1" t="s">
        <v>103</v>
      </c>
      <c r="N51" s="1" t="s">
        <v>601</v>
      </c>
      <c r="O51" s="1" t="s">
        <v>600</v>
      </c>
      <c r="P51" s="1" t="s">
        <v>127</v>
      </c>
      <c r="Q51" s="1" t="s">
        <v>131</v>
      </c>
      <c r="R51" s="1"/>
      <c r="S51" s="9">
        <v>11728.94</v>
      </c>
      <c r="T51" s="1">
        <v>0</v>
      </c>
      <c r="U51" s="1" t="s">
        <v>132</v>
      </c>
      <c r="V51" s="1" t="s">
        <v>15</v>
      </c>
      <c r="W51" s="1" t="s">
        <v>17</v>
      </c>
      <c r="X51" s="1" t="s">
        <v>111</v>
      </c>
      <c r="Y51" s="1"/>
      <c r="Z51" s="1" t="s">
        <v>602</v>
      </c>
      <c r="AA51" s="1" t="s">
        <v>17</v>
      </c>
      <c r="AB51" s="1">
        <v>0</v>
      </c>
      <c r="AC51" s="1" t="s">
        <v>17</v>
      </c>
      <c r="AD51" t="s">
        <v>112</v>
      </c>
      <c r="AE51" t="s">
        <v>113</v>
      </c>
      <c r="AF51" t="s">
        <v>603</v>
      </c>
      <c r="AG51" t="s">
        <v>114</v>
      </c>
      <c r="AH51" t="s">
        <v>600</v>
      </c>
      <c r="AI51" t="s">
        <v>600</v>
      </c>
      <c r="AJ51" t="s">
        <v>149</v>
      </c>
      <c r="AK51" t="s">
        <v>150</v>
      </c>
      <c r="AL51" t="s">
        <v>137</v>
      </c>
      <c r="AM51" t="s">
        <v>117</v>
      </c>
      <c r="AN51" t="s">
        <v>604</v>
      </c>
      <c r="AO51" t="s">
        <v>605</v>
      </c>
      <c r="AP51" t="s">
        <v>119</v>
      </c>
      <c r="AQ51" t="s">
        <v>119</v>
      </c>
      <c r="AR51" t="s">
        <v>604</v>
      </c>
      <c r="AS51" t="s">
        <v>606</v>
      </c>
      <c r="AT51" t="s">
        <v>601</v>
      </c>
    </row>
    <row r="52" spans="1:46">
      <c r="A52" s="1" t="s">
        <v>607</v>
      </c>
      <c r="B52" s="1" t="s">
        <v>608</v>
      </c>
      <c r="C52" s="1" t="s">
        <v>609</v>
      </c>
      <c r="D52" s="1" t="s">
        <v>40</v>
      </c>
      <c r="E52" s="1" t="s">
        <v>124</v>
      </c>
      <c r="F52" s="1" t="s">
        <v>103</v>
      </c>
      <c r="G52" s="1" t="s">
        <v>610</v>
      </c>
      <c r="H52" s="1" t="s">
        <v>611</v>
      </c>
      <c r="I52" s="1" t="s">
        <v>127</v>
      </c>
      <c r="J52" s="1" t="s">
        <v>128</v>
      </c>
      <c r="K52" s="1" t="s">
        <v>129</v>
      </c>
      <c r="L52" s="9">
        <v>-15708</v>
      </c>
      <c r="M52" s="1" t="s">
        <v>103</v>
      </c>
      <c r="N52" s="1" t="s">
        <v>610</v>
      </c>
      <c r="O52" s="1" t="s">
        <v>611</v>
      </c>
      <c r="P52" s="1" t="s">
        <v>127</v>
      </c>
      <c r="Q52" s="1" t="s">
        <v>131</v>
      </c>
      <c r="R52" s="1"/>
      <c r="S52" s="9">
        <v>15708.4</v>
      </c>
      <c r="T52" s="1">
        <v>0.3999999999996362</v>
      </c>
      <c r="U52" s="1" t="s">
        <v>146</v>
      </c>
      <c r="V52" s="1" t="s">
        <v>15</v>
      </c>
      <c r="W52" s="1" t="s">
        <v>17</v>
      </c>
      <c r="X52" s="1" t="s">
        <v>111</v>
      </c>
      <c r="Y52" s="1"/>
      <c r="Z52" s="1" t="s">
        <v>436</v>
      </c>
      <c r="AA52" s="1" t="s">
        <v>17</v>
      </c>
      <c r="AB52" s="1">
        <v>0</v>
      </c>
      <c r="AC52" s="1" t="s">
        <v>17</v>
      </c>
      <c r="AD52" t="s">
        <v>112</v>
      </c>
      <c r="AE52" t="s">
        <v>113</v>
      </c>
      <c r="AF52" t="s">
        <v>612</v>
      </c>
      <c r="AG52" t="s">
        <v>114</v>
      </c>
      <c r="AH52" t="s">
        <v>611</v>
      </c>
      <c r="AI52" t="s">
        <v>611</v>
      </c>
      <c r="AJ52" t="s">
        <v>149</v>
      </c>
      <c r="AK52" t="s">
        <v>189</v>
      </c>
      <c r="AL52" t="s">
        <v>137</v>
      </c>
      <c r="AM52" t="s">
        <v>117</v>
      </c>
      <c r="AN52" t="s">
        <v>511</v>
      </c>
      <c r="AO52" t="s">
        <v>613</v>
      </c>
      <c r="AP52" t="s">
        <v>119</v>
      </c>
      <c r="AQ52" t="s">
        <v>119</v>
      </c>
      <c r="AR52" t="s">
        <v>511</v>
      </c>
      <c r="AS52" t="s">
        <v>614</v>
      </c>
      <c r="AT52" t="s">
        <v>610</v>
      </c>
    </row>
    <row r="53" spans="1:46">
      <c r="A53" s="1" t="s">
        <v>615</v>
      </c>
      <c r="B53" s="1" t="s">
        <v>616</v>
      </c>
      <c r="C53" s="1" t="s">
        <v>617</v>
      </c>
      <c r="D53" s="1" t="s">
        <v>101</v>
      </c>
      <c r="E53" s="1" t="s">
        <v>352</v>
      </c>
      <c r="F53" s="1" t="s">
        <v>103</v>
      </c>
      <c r="G53" s="1" t="s">
        <v>138</v>
      </c>
      <c r="H53" s="1" t="s">
        <v>618</v>
      </c>
      <c r="I53" s="1" t="s">
        <v>106</v>
      </c>
      <c r="J53" s="1" t="s">
        <v>107</v>
      </c>
      <c r="K53" s="1"/>
      <c r="L53" s="9">
        <v>17802.84</v>
      </c>
      <c r="M53" s="1" t="s">
        <v>103</v>
      </c>
      <c r="N53" s="1" t="s">
        <v>221</v>
      </c>
      <c r="O53" s="1"/>
      <c r="P53" s="1" t="s">
        <v>106</v>
      </c>
      <c r="Q53" s="1" t="s">
        <v>108</v>
      </c>
      <c r="R53" s="1" t="s">
        <v>109</v>
      </c>
      <c r="S53" s="9">
        <v>-17802.84</v>
      </c>
      <c r="T53" s="1">
        <v>0</v>
      </c>
      <c r="U53" s="1" t="s">
        <v>356</v>
      </c>
      <c r="V53" s="1" t="s">
        <v>15</v>
      </c>
      <c r="W53" s="1" t="s">
        <v>17</v>
      </c>
      <c r="X53" s="1" t="s">
        <v>111</v>
      </c>
      <c r="Y53" s="1"/>
      <c r="Z53" s="1" t="s">
        <v>618</v>
      </c>
      <c r="AA53" s="1" t="s">
        <v>17</v>
      </c>
      <c r="AB53" s="1">
        <v>0</v>
      </c>
      <c r="AC53" s="1" t="s">
        <v>17</v>
      </c>
      <c r="AD53" t="s">
        <v>112</v>
      </c>
      <c r="AE53" t="s">
        <v>113</v>
      </c>
      <c r="AF53" t="s">
        <v>618</v>
      </c>
      <c r="AG53" t="s">
        <v>114</v>
      </c>
      <c r="AH53" t="s">
        <v>619</v>
      </c>
      <c r="AI53" t="s">
        <v>619</v>
      </c>
      <c r="AJ53" t="s">
        <v>17</v>
      </c>
      <c r="AK53" t="s">
        <v>136</v>
      </c>
      <c r="AL53" t="s">
        <v>17</v>
      </c>
      <c r="AM53" t="s">
        <v>117</v>
      </c>
      <c r="AN53" t="s">
        <v>138</v>
      </c>
      <c r="AO53" t="s">
        <v>620</v>
      </c>
      <c r="AP53" t="s">
        <v>119</v>
      </c>
      <c r="AQ53" t="s">
        <v>119</v>
      </c>
      <c r="AR53" t="s">
        <v>138</v>
      </c>
      <c r="AS53" t="s">
        <v>621</v>
      </c>
      <c r="AT53" t="s">
        <v>138</v>
      </c>
    </row>
    <row r="54" spans="1:46">
      <c r="A54" s="1" t="s">
        <v>622</v>
      </c>
      <c r="B54" s="1" t="s">
        <v>623</v>
      </c>
      <c r="C54" s="1" t="s">
        <v>624</v>
      </c>
      <c r="D54" s="1" t="s">
        <v>101</v>
      </c>
      <c r="E54" s="1" t="s">
        <v>124</v>
      </c>
      <c r="F54" s="1" t="s">
        <v>103</v>
      </c>
      <c r="G54" s="1" t="s">
        <v>625</v>
      </c>
      <c r="H54" s="1" t="s">
        <v>626</v>
      </c>
      <c r="I54" s="1" t="s">
        <v>127</v>
      </c>
      <c r="J54" s="1" t="s">
        <v>128</v>
      </c>
      <c r="K54" s="1" t="s">
        <v>129</v>
      </c>
      <c r="L54" s="9">
        <v>-15708.4</v>
      </c>
      <c r="M54" s="1" t="s">
        <v>103</v>
      </c>
      <c r="N54" s="1" t="s">
        <v>625</v>
      </c>
      <c r="O54" s="1" t="s">
        <v>626</v>
      </c>
      <c r="P54" s="1" t="s">
        <v>127</v>
      </c>
      <c r="Q54" s="1" t="s">
        <v>131</v>
      </c>
      <c r="R54" s="1"/>
      <c r="S54" s="9">
        <v>15708.4</v>
      </c>
      <c r="T54" s="1">
        <v>0</v>
      </c>
      <c r="U54" s="1" t="s">
        <v>132</v>
      </c>
      <c r="V54" s="1" t="s">
        <v>15</v>
      </c>
      <c r="W54" s="1" t="s">
        <v>17</v>
      </c>
      <c r="X54" s="1" t="s">
        <v>111</v>
      </c>
      <c r="Y54" s="1"/>
      <c r="Z54" s="1" t="s">
        <v>627</v>
      </c>
      <c r="AA54" s="1" t="s">
        <v>17</v>
      </c>
      <c r="AB54" s="1">
        <v>0</v>
      </c>
      <c r="AC54" s="1" t="s">
        <v>17</v>
      </c>
      <c r="AD54" t="s">
        <v>112</v>
      </c>
      <c r="AE54" t="s">
        <v>113</v>
      </c>
      <c r="AF54" t="s">
        <v>628</v>
      </c>
      <c r="AG54" t="s">
        <v>114</v>
      </c>
      <c r="AH54" t="s">
        <v>626</v>
      </c>
      <c r="AI54" t="s">
        <v>626</v>
      </c>
      <c r="AJ54" t="s">
        <v>149</v>
      </c>
      <c r="AK54" t="s">
        <v>150</v>
      </c>
      <c r="AL54" t="s">
        <v>137</v>
      </c>
      <c r="AM54" t="s">
        <v>117</v>
      </c>
      <c r="AN54" t="s">
        <v>629</v>
      </c>
      <c r="AO54" t="s">
        <v>630</v>
      </c>
      <c r="AP54" t="s">
        <v>119</v>
      </c>
      <c r="AQ54" t="s">
        <v>119</v>
      </c>
      <c r="AR54" t="s">
        <v>629</v>
      </c>
      <c r="AS54" t="s">
        <v>631</v>
      </c>
      <c r="AT54" t="s">
        <v>625</v>
      </c>
    </row>
    <row r="55" spans="1:46">
      <c r="A55" s="1" t="s">
        <v>632</v>
      </c>
      <c r="B55" s="1" t="s">
        <v>633</v>
      </c>
      <c r="C55" s="1" t="s">
        <v>634</v>
      </c>
      <c r="D55" s="1" t="s">
        <v>101</v>
      </c>
      <c r="E55" s="1" t="s">
        <v>352</v>
      </c>
      <c r="F55" s="1" t="s">
        <v>103</v>
      </c>
      <c r="G55" s="1" t="s">
        <v>193</v>
      </c>
      <c r="H55" s="1" t="s">
        <v>635</v>
      </c>
      <c r="I55" s="1" t="s">
        <v>106</v>
      </c>
      <c r="J55" s="1" t="s">
        <v>107</v>
      </c>
      <c r="K55" s="1"/>
      <c r="L55" s="9">
        <v>77074.94</v>
      </c>
      <c r="M55" s="1" t="s">
        <v>103</v>
      </c>
      <c r="N55" s="1" t="s">
        <v>190</v>
      </c>
      <c r="O55" s="1"/>
      <c r="P55" s="1" t="s">
        <v>106</v>
      </c>
      <c r="Q55" s="1" t="s">
        <v>108</v>
      </c>
      <c r="R55" s="1" t="s">
        <v>109</v>
      </c>
      <c r="S55" s="9">
        <v>-77074.94</v>
      </c>
      <c r="T55" s="1">
        <v>0</v>
      </c>
      <c r="U55" s="1" t="s">
        <v>356</v>
      </c>
      <c r="V55" s="1" t="s">
        <v>15</v>
      </c>
      <c r="W55" s="1" t="s">
        <v>17</v>
      </c>
      <c r="X55" s="1" t="s">
        <v>111</v>
      </c>
      <c r="Y55" s="1"/>
      <c r="Z55" s="1" t="s">
        <v>635</v>
      </c>
      <c r="AA55" s="1" t="s">
        <v>17</v>
      </c>
      <c r="AB55" s="1">
        <v>0</v>
      </c>
      <c r="AC55" s="1" t="s">
        <v>17</v>
      </c>
      <c r="AD55" t="s">
        <v>112</v>
      </c>
      <c r="AE55" t="s">
        <v>113</v>
      </c>
      <c r="AF55" t="s">
        <v>635</v>
      </c>
      <c r="AG55" t="s">
        <v>114</v>
      </c>
      <c r="AH55" t="s">
        <v>636</v>
      </c>
      <c r="AI55" t="s">
        <v>636</v>
      </c>
      <c r="AJ55" t="s">
        <v>17</v>
      </c>
      <c r="AK55" t="s">
        <v>189</v>
      </c>
      <c r="AL55" t="s">
        <v>17</v>
      </c>
      <c r="AM55" t="s">
        <v>117</v>
      </c>
      <c r="AN55" t="s">
        <v>193</v>
      </c>
      <c r="AO55" t="s">
        <v>637</v>
      </c>
      <c r="AP55" t="s">
        <v>119</v>
      </c>
      <c r="AQ55" t="s">
        <v>119</v>
      </c>
      <c r="AR55" t="s">
        <v>193</v>
      </c>
      <c r="AS55" t="s">
        <v>638</v>
      </c>
      <c r="AT55" t="s">
        <v>193</v>
      </c>
    </row>
    <row r="56" spans="1:46">
      <c r="A56" s="1" t="s">
        <v>639</v>
      </c>
      <c r="B56" s="1" t="s">
        <v>640</v>
      </c>
      <c r="C56" s="1" t="s">
        <v>641</v>
      </c>
      <c r="D56" s="1" t="s">
        <v>101</v>
      </c>
      <c r="E56" s="1" t="s">
        <v>124</v>
      </c>
      <c r="F56" s="1" t="s">
        <v>103</v>
      </c>
      <c r="G56" s="1" t="s">
        <v>642</v>
      </c>
      <c r="H56" s="1" t="s">
        <v>643</v>
      </c>
      <c r="I56" s="1" t="s">
        <v>127</v>
      </c>
      <c r="J56" s="1" t="s">
        <v>128</v>
      </c>
      <c r="K56" s="1" t="s">
        <v>129</v>
      </c>
      <c r="L56" s="9">
        <v>-17174.509999999998</v>
      </c>
      <c r="M56" s="1" t="s">
        <v>103</v>
      </c>
      <c r="N56" s="1" t="s">
        <v>305</v>
      </c>
      <c r="O56" s="1" t="s">
        <v>643</v>
      </c>
      <c r="P56" s="1" t="s">
        <v>127</v>
      </c>
      <c r="Q56" s="1" t="s">
        <v>131</v>
      </c>
      <c r="R56" s="1"/>
      <c r="S56" s="9">
        <v>17174.509999999998</v>
      </c>
      <c r="T56" s="1">
        <v>0</v>
      </c>
      <c r="U56" s="1" t="s">
        <v>132</v>
      </c>
      <c r="V56" s="1" t="s">
        <v>15</v>
      </c>
      <c r="W56" s="1" t="s">
        <v>17</v>
      </c>
      <c r="X56" s="1" t="s">
        <v>111</v>
      </c>
      <c r="Y56" s="1"/>
      <c r="Z56" s="1" t="s">
        <v>491</v>
      </c>
      <c r="AA56" s="1" t="s">
        <v>17</v>
      </c>
      <c r="AB56" s="1">
        <v>0</v>
      </c>
      <c r="AC56" s="1" t="s">
        <v>17</v>
      </c>
      <c r="AD56" t="s">
        <v>112</v>
      </c>
      <c r="AE56" t="s">
        <v>113</v>
      </c>
      <c r="AF56" t="s">
        <v>644</v>
      </c>
      <c r="AG56" t="s">
        <v>114</v>
      </c>
      <c r="AH56" t="s">
        <v>643</v>
      </c>
      <c r="AI56" t="s">
        <v>643</v>
      </c>
      <c r="AJ56" t="s">
        <v>149</v>
      </c>
      <c r="AK56" t="s">
        <v>189</v>
      </c>
      <c r="AL56" t="s">
        <v>137</v>
      </c>
      <c r="AM56" t="s">
        <v>117</v>
      </c>
      <c r="AN56" t="s">
        <v>645</v>
      </c>
      <c r="AO56" t="s">
        <v>321</v>
      </c>
      <c r="AP56" t="s">
        <v>119</v>
      </c>
      <c r="AQ56" t="s">
        <v>119</v>
      </c>
      <c r="AR56" t="s">
        <v>645</v>
      </c>
      <c r="AS56" t="s">
        <v>322</v>
      </c>
      <c r="AT56" t="s">
        <v>646</v>
      </c>
    </row>
    <row r="57" spans="1:46">
      <c r="A57" s="1" t="s">
        <v>647</v>
      </c>
      <c r="B57" s="1" t="s">
        <v>648</v>
      </c>
      <c r="C57" s="1" t="s">
        <v>649</v>
      </c>
      <c r="D57" s="1" t="s">
        <v>101</v>
      </c>
      <c r="E57" s="1" t="s">
        <v>650</v>
      </c>
      <c r="F57" s="1" t="s">
        <v>103</v>
      </c>
      <c r="G57" s="1" t="s">
        <v>534</v>
      </c>
      <c r="H57" s="1" t="s">
        <v>651</v>
      </c>
      <c r="I57" s="1" t="s">
        <v>106</v>
      </c>
      <c r="J57" s="1" t="s">
        <v>107</v>
      </c>
      <c r="K57" s="1"/>
      <c r="L57" s="9">
        <v>17383.97</v>
      </c>
      <c r="M57" s="1" t="s">
        <v>103</v>
      </c>
      <c r="N57" s="1" t="s">
        <v>534</v>
      </c>
      <c r="O57" s="1"/>
      <c r="P57" s="1" t="s">
        <v>106</v>
      </c>
      <c r="Q57" s="1" t="s">
        <v>108</v>
      </c>
      <c r="R57" s="1" t="s">
        <v>109</v>
      </c>
      <c r="S57" s="9">
        <v>-17383.97</v>
      </c>
      <c r="T57" s="1">
        <v>0</v>
      </c>
      <c r="U57" s="1" t="s">
        <v>652</v>
      </c>
      <c r="V57" s="1" t="s">
        <v>15</v>
      </c>
      <c r="W57" s="1" t="s">
        <v>17</v>
      </c>
      <c r="X57" s="1" t="s">
        <v>111</v>
      </c>
      <c r="Y57" s="1"/>
      <c r="Z57" s="1" t="s">
        <v>651</v>
      </c>
      <c r="AA57" s="1" t="s">
        <v>17</v>
      </c>
      <c r="AB57" s="1">
        <v>0</v>
      </c>
      <c r="AC57" s="1" t="s">
        <v>17</v>
      </c>
      <c r="AD57" t="s">
        <v>112</v>
      </c>
      <c r="AE57" t="s">
        <v>113</v>
      </c>
      <c r="AF57" t="s">
        <v>651</v>
      </c>
      <c r="AG57" t="s">
        <v>114</v>
      </c>
      <c r="AH57" t="s">
        <v>653</v>
      </c>
      <c r="AI57" t="s">
        <v>653</v>
      </c>
      <c r="AJ57" t="s">
        <v>17</v>
      </c>
      <c r="AK57" t="s">
        <v>116</v>
      </c>
      <c r="AL57" t="s">
        <v>17</v>
      </c>
      <c r="AM57" t="s">
        <v>117</v>
      </c>
      <c r="AN57" t="s">
        <v>534</v>
      </c>
      <c r="AO57" t="s">
        <v>654</v>
      </c>
      <c r="AP57" t="s">
        <v>119</v>
      </c>
      <c r="AQ57" t="s">
        <v>119</v>
      </c>
      <c r="AR57" t="s">
        <v>534</v>
      </c>
      <c r="AS57" t="s">
        <v>655</v>
      </c>
      <c r="AT57" t="s">
        <v>534</v>
      </c>
    </row>
    <row r="58" spans="1:46">
      <c r="A58" s="1" t="s">
        <v>656</v>
      </c>
      <c r="B58" s="1" t="s">
        <v>657</v>
      </c>
      <c r="C58" s="1" t="s">
        <v>658</v>
      </c>
      <c r="D58" s="1" t="s">
        <v>40</v>
      </c>
      <c r="E58" s="1" t="s">
        <v>124</v>
      </c>
      <c r="F58" s="1" t="s">
        <v>103</v>
      </c>
      <c r="G58" s="1" t="s">
        <v>659</v>
      </c>
      <c r="H58" s="1" t="s">
        <v>660</v>
      </c>
      <c r="I58" s="1" t="s">
        <v>127</v>
      </c>
      <c r="J58" s="1" t="s">
        <v>128</v>
      </c>
      <c r="K58" s="1" t="s">
        <v>129</v>
      </c>
      <c r="L58" s="9">
        <v>-15498</v>
      </c>
      <c r="M58" s="1" t="s">
        <v>103</v>
      </c>
      <c r="N58" s="1" t="s">
        <v>659</v>
      </c>
      <c r="O58" s="1" t="s">
        <v>660</v>
      </c>
      <c r="P58" s="1" t="s">
        <v>127</v>
      </c>
      <c r="Q58" s="1" t="s">
        <v>131</v>
      </c>
      <c r="R58" s="1"/>
      <c r="S58" s="9">
        <v>15498.94</v>
      </c>
      <c r="T58" s="1">
        <v>0.94000000000050932</v>
      </c>
      <c r="U58" s="1" t="s">
        <v>146</v>
      </c>
      <c r="V58" s="1" t="s">
        <v>15</v>
      </c>
      <c r="W58" s="1" t="s">
        <v>17</v>
      </c>
      <c r="X58" s="1" t="s">
        <v>111</v>
      </c>
      <c r="Y58" s="1"/>
      <c r="Z58" s="1" t="s">
        <v>661</v>
      </c>
      <c r="AA58" s="1" t="s">
        <v>17</v>
      </c>
      <c r="AB58" s="1">
        <v>0</v>
      </c>
      <c r="AC58" s="1" t="s">
        <v>17</v>
      </c>
      <c r="AD58" t="s">
        <v>112</v>
      </c>
      <c r="AE58" t="s">
        <v>113</v>
      </c>
      <c r="AF58" t="s">
        <v>662</v>
      </c>
      <c r="AG58" t="s">
        <v>114</v>
      </c>
      <c r="AH58" t="s">
        <v>660</v>
      </c>
      <c r="AI58" t="s">
        <v>660</v>
      </c>
      <c r="AJ58" t="s">
        <v>135</v>
      </c>
      <c r="AK58" t="s">
        <v>663</v>
      </c>
      <c r="AL58" t="s">
        <v>137</v>
      </c>
      <c r="AM58" t="s">
        <v>117</v>
      </c>
      <c r="AN58" t="s">
        <v>664</v>
      </c>
      <c r="AO58" t="s">
        <v>665</v>
      </c>
      <c r="AP58" t="s">
        <v>119</v>
      </c>
      <c r="AQ58" t="s">
        <v>119</v>
      </c>
      <c r="AR58" t="s">
        <v>664</v>
      </c>
      <c r="AS58" t="s">
        <v>666</v>
      </c>
      <c r="AT58" t="s">
        <v>659</v>
      </c>
    </row>
    <row r="59" spans="1:46">
      <c r="A59" s="1" t="s">
        <v>667</v>
      </c>
      <c r="B59" s="1" t="s">
        <v>668</v>
      </c>
      <c r="C59" s="1" t="s">
        <v>669</v>
      </c>
      <c r="D59" s="1" t="s">
        <v>101</v>
      </c>
      <c r="E59" s="1" t="s">
        <v>124</v>
      </c>
      <c r="F59" s="1" t="s">
        <v>103</v>
      </c>
      <c r="G59" s="1" t="s">
        <v>398</v>
      </c>
      <c r="H59" s="1" t="s">
        <v>670</v>
      </c>
      <c r="I59" s="1" t="s">
        <v>127</v>
      </c>
      <c r="J59" s="1" t="s">
        <v>128</v>
      </c>
      <c r="K59" s="1" t="s">
        <v>129</v>
      </c>
      <c r="L59" s="9">
        <v>-15498.94</v>
      </c>
      <c r="M59" s="1" t="s">
        <v>103</v>
      </c>
      <c r="N59" s="1" t="s">
        <v>398</v>
      </c>
      <c r="O59" s="1" t="s">
        <v>670</v>
      </c>
      <c r="P59" s="1" t="s">
        <v>127</v>
      </c>
      <c r="Q59" s="1" t="s">
        <v>131</v>
      </c>
      <c r="R59" s="1"/>
      <c r="S59" s="9">
        <v>15498.94</v>
      </c>
      <c r="T59" s="1">
        <v>0</v>
      </c>
      <c r="U59" s="1" t="s">
        <v>132</v>
      </c>
      <c r="V59" s="1" t="s">
        <v>15</v>
      </c>
      <c r="W59" s="1" t="s">
        <v>17</v>
      </c>
      <c r="X59" s="1" t="s">
        <v>111</v>
      </c>
      <c r="Y59" s="1"/>
      <c r="Z59" s="1" t="s">
        <v>671</v>
      </c>
      <c r="AA59" s="1" t="s">
        <v>17</v>
      </c>
      <c r="AB59" s="1">
        <v>0</v>
      </c>
      <c r="AC59" s="1" t="s">
        <v>17</v>
      </c>
      <c r="AD59" t="s">
        <v>112</v>
      </c>
      <c r="AE59" t="s">
        <v>113</v>
      </c>
      <c r="AF59" t="s">
        <v>672</v>
      </c>
      <c r="AG59" t="s">
        <v>114</v>
      </c>
      <c r="AH59" t="s">
        <v>670</v>
      </c>
      <c r="AI59" t="s">
        <v>670</v>
      </c>
      <c r="AJ59" t="s">
        <v>135</v>
      </c>
      <c r="AK59" t="s">
        <v>257</v>
      </c>
      <c r="AL59" t="s">
        <v>137</v>
      </c>
      <c r="AM59" t="s">
        <v>117</v>
      </c>
      <c r="AN59" t="s">
        <v>673</v>
      </c>
      <c r="AO59" t="s">
        <v>139</v>
      </c>
      <c r="AP59" t="s">
        <v>119</v>
      </c>
      <c r="AQ59" t="s">
        <v>119</v>
      </c>
      <c r="AR59" t="s">
        <v>673</v>
      </c>
      <c r="AS59" t="s">
        <v>140</v>
      </c>
      <c r="AT59" t="s">
        <v>251</v>
      </c>
    </row>
    <row r="60" spans="1:46">
      <c r="A60" s="1" t="s">
        <v>674</v>
      </c>
      <c r="B60" s="1" t="s">
        <v>675</v>
      </c>
      <c r="C60" s="1" t="s">
        <v>676</v>
      </c>
      <c r="D60" s="1" t="s">
        <v>101</v>
      </c>
      <c r="E60" s="1" t="s">
        <v>124</v>
      </c>
      <c r="F60" s="1" t="s">
        <v>103</v>
      </c>
      <c r="G60" s="1" t="s">
        <v>386</v>
      </c>
      <c r="H60" s="1" t="s">
        <v>677</v>
      </c>
      <c r="I60" s="1" t="s">
        <v>127</v>
      </c>
      <c r="J60" s="1" t="s">
        <v>128</v>
      </c>
      <c r="K60" s="1" t="s">
        <v>129</v>
      </c>
      <c r="L60" s="9">
        <v>-16755.62</v>
      </c>
      <c r="M60" s="1" t="s">
        <v>103</v>
      </c>
      <c r="N60" s="1" t="s">
        <v>678</v>
      </c>
      <c r="O60" s="1" t="s">
        <v>677</v>
      </c>
      <c r="P60" s="1" t="s">
        <v>127</v>
      </c>
      <c r="Q60" s="1" t="s">
        <v>131</v>
      </c>
      <c r="R60" s="1"/>
      <c r="S60" s="9">
        <v>16755.62</v>
      </c>
      <c r="T60" s="1">
        <v>0</v>
      </c>
      <c r="U60" s="1" t="s">
        <v>132</v>
      </c>
      <c r="V60" s="1" t="s">
        <v>15</v>
      </c>
      <c r="W60" s="1" t="s">
        <v>17</v>
      </c>
      <c r="X60" s="1" t="s">
        <v>111</v>
      </c>
      <c r="Y60" s="1"/>
      <c r="Z60" s="1" t="s">
        <v>317</v>
      </c>
      <c r="AA60" s="1" t="s">
        <v>17</v>
      </c>
      <c r="AB60" s="1">
        <v>0</v>
      </c>
      <c r="AC60" s="1" t="s">
        <v>17</v>
      </c>
      <c r="AD60" t="s">
        <v>112</v>
      </c>
      <c r="AE60" t="s">
        <v>113</v>
      </c>
      <c r="AF60" t="s">
        <v>679</v>
      </c>
      <c r="AG60" t="s">
        <v>114</v>
      </c>
      <c r="AH60" t="s">
        <v>677</v>
      </c>
      <c r="AI60" t="s">
        <v>677</v>
      </c>
      <c r="AJ60" t="s">
        <v>135</v>
      </c>
      <c r="AK60" t="s">
        <v>179</v>
      </c>
      <c r="AL60" t="s">
        <v>137</v>
      </c>
      <c r="AM60" t="s">
        <v>117</v>
      </c>
      <c r="AN60" t="s">
        <v>680</v>
      </c>
      <c r="AO60" t="s">
        <v>681</v>
      </c>
      <c r="AP60" t="s">
        <v>119</v>
      </c>
      <c r="AQ60" t="s">
        <v>119</v>
      </c>
      <c r="AR60" t="s">
        <v>680</v>
      </c>
      <c r="AS60" t="s">
        <v>682</v>
      </c>
      <c r="AT60" t="s">
        <v>678</v>
      </c>
    </row>
    <row r="61" spans="1:46">
      <c r="A61" s="1" t="s">
        <v>683</v>
      </c>
      <c r="B61" s="1" t="s">
        <v>684</v>
      </c>
      <c r="C61" s="1" t="s">
        <v>685</v>
      </c>
      <c r="D61" s="1" t="s">
        <v>40</v>
      </c>
      <c r="E61" s="1" t="s">
        <v>124</v>
      </c>
      <c r="F61" s="1" t="s">
        <v>103</v>
      </c>
      <c r="G61" s="1" t="s">
        <v>686</v>
      </c>
      <c r="H61" s="1" t="s">
        <v>687</v>
      </c>
      <c r="I61" s="1" t="s">
        <v>127</v>
      </c>
      <c r="J61" s="1" t="s">
        <v>128</v>
      </c>
      <c r="K61" s="1" t="s">
        <v>129</v>
      </c>
      <c r="L61" s="9">
        <v>-18012.13</v>
      </c>
      <c r="M61" s="1" t="s">
        <v>103</v>
      </c>
      <c r="N61" s="1" t="s">
        <v>686</v>
      </c>
      <c r="O61" s="1" t="s">
        <v>687</v>
      </c>
      <c r="P61" s="1" t="s">
        <v>127</v>
      </c>
      <c r="Q61" s="1" t="s">
        <v>131</v>
      </c>
      <c r="R61" s="1"/>
      <c r="S61" s="9">
        <v>18012.3</v>
      </c>
      <c r="T61" s="1">
        <v>0.16999999999825377</v>
      </c>
      <c r="U61" s="1" t="s">
        <v>146</v>
      </c>
      <c r="V61" s="1" t="s">
        <v>15</v>
      </c>
      <c r="W61" s="1" t="s">
        <v>17</v>
      </c>
      <c r="X61" s="1" t="s">
        <v>111</v>
      </c>
      <c r="Y61" s="1"/>
      <c r="Z61" s="1" t="s">
        <v>688</v>
      </c>
      <c r="AA61" s="1" t="s">
        <v>17</v>
      </c>
      <c r="AB61" s="1">
        <v>0</v>
      </c>
      <c r="AC61" s="1" t="s">
        <v>17</v>
      </c>
      <c r="AD61" t="s">
        <v>112</v>
      </c>
      <c r="AE61" t="s">
        <v>113</v>
      </c>
      <c r="AF61" t="s">
        <v>689</v>
      </c>
      <c r="AG61" t="s">
        <v>114</v>
      </c>
      <c r="AH61" t="s">
        <v>687</v>
      </c>
      <c r="AI61" t="s">
        <v>687</v>
      </c>
      <c r="AJ61" t="s">
        <v>149</v>
      </c>
      <c r="AK61" t="s">
        <v>116</v>
      </c>
      <c r="AL61" t="s">
        <v>137</v>
      </c>
      <c r="AM61" t="s">
        <v>117</v>
      </c>
      <c r="AN61" t="s">
        <v>690</v>
      </c>
      <c r="AO61" t="s">
        <v>691</v>
      </c>
      <c r="AP61" t="s">
        <v>119</v>
      </c>
      <c r="AQ61" t="s">
        <v>119</v>
      </c>
      <c r="AR61" t="s">
        <v>690</v>
      </c>
      <c r="AS61" t="s">
        <v>692</v>
      </c>
      <c r="AT61" t="s">
        <v>686</v>
      </c>
    </row>
    <row r="62" spans="1:46">
      <c r="A62" s="1" t="s">
        <v>693</v>
      </c>
      <c r="B62" s="1" t="s">
        <v>694</v>
      </c>
      <c r="C62" s="1" t="s">
        <v>695</v>
      </c>
      <c r="D62" s="1" t="s">
        <v>101</v>
      </c>
      <c r="E62" s="1" t="s">
        <v>102</v>
      </c>
      <c r="F62" s="1" t="s">
        <v>103</v>
      </c>
      <c r="G62" s="1" t="s">
        <v>573</v>
      </c>
      <c r="H62" s="1" t="s">
        <v>696</v>
      </c>
      <c r="I62" s="1" t="s">
        <v>106</v>
      </c>
      <c r="J62" s="1" t="s">
        <v>107</v>
      </c>
      <c r="K62" s="1"/>
      <c r="L62" s="9">
        <v>14661</v>
      </c>
      <c r="M62" s="1" t="s">
        <v>103</v>
      </c>
      <c r="N62" s="1" t="s">
        <v>573</v>
      </c>
      <c r="O62" s="1"/>
      <c r="P62" s="1" t="s">
        <v>106</v>
      </c>
      <c r="Q62" s="1" t="s">
        <v>108</v>
      </c>
      <c r="R62" s="1" t="s">
        <v>109</v>
      </c>
      <c r="S62" s="9">
        <v>-14661</v>
      </c>
      <c r="T62" s="1">
        <v>0</v>
      </c>
      <c r="U62" s="1" t="s">
        <v>110</v>
      </c>
      <c r="V62" s="1" t="s">
        <v>15</v>
      </c>
      <c r="W62" s="1" t="s">
        <v>17</v>
      </c>
      <c r="X62" s="1" t="s">
        <v>111</v>
      </c>
      <c r="Y62" s="1"/>
      <c r="Z62" s="1" t="s">
        <v>696</v>
      </c>
      <c r="AA62" s="1" t="s">
        <v>17</v>
      </c>
      <c r="AB62" s="1">
        <v>0</v>
      </c>
      <c r="AC62" s="1" t="s">
        <v>17</v>
      </c>
      <c r="AD62" t="s">
        <v>112</v>
      </c>
      <c r="AE62" t="s">
        <v>113</v>
      </c>
      <c r="AF62" t="s">
        <v>696</v>
      </c>
      <c r="AG62" t="s">
        <v>114</v>
      </c>
      <c r="AH62" t="s">
        <v>697</v>
      </c>
      <c r="AI62" t="s">
        <v>697</v>
      </c>
      <c r="AJ62" t="s">
        <v>17</v>
      </c>
      <c r="AK62" t="s">
        <v>308</v>
      </c>
      <c r="AL62" t="s">
        <v>17</v>
      </c>
      <c r="AM62" t="s">
        <v>117</v>
      </c>
      <c r="AN62" t="s">
        <v>573</v>
      </c>
      <c r="AO62" t="s">
        <v>698</v>
      </c>
      <c r="AP62" t="s">
        <v>119</v>
      </c>
      <c r="AQ62" t="s">
        <v>119</v>
      </c>
      <c r="AR62" t="s">
        <v>573</v>
      </c>
      <c r="AS62" t="s">
        <v>699</v>
      </c>
      <c r="AT62" t="s">
        <v>573</v>
      </c>
    </row>
    <row r="63" spans="1:46">
      <c r="A63" s="1" t="s">
        <v>700</v>
      </c>
      <c r="B63" s="1" t="s">
        <v>701</v>
      </c>
      <c r="C63" s="1" t="s">
        <v>702</v>
      </c>
      <c r="D63" s="1" t="s">
        <v>101</v>
      </c>
      <c r="E63" s="1" t="s">
        <v>124</v>
      </c>
      <c r="F63" s="1" t="s">
        <v>103</v>
      </c>
      <c r="G63" s="1" t="s">
        <v>703</v>
      </c>
      <c r="H63" s="1" t="s">
        <v>704</v>
      </c>
      <c r="I63" s="1" t="s">
        <v>127</v>
      </c>
      <c r="J63" s="1" t="s">
        <v>128</v>
      </c>
      <c r="K63" s="1" t="s">
        <v>129</v>
      </c>
      <c r="L63" s="9">
        <v>-18640.62</v>
      </c>
      <c r="M63" s="1" t="s">
        <v>103</v>
      </c>
      <c r="N63" s="1" t="s">
        <v>703</v>
      </c>
      <c r="O63" s="1" t="s">
        <v>704</v>
      </c>
      <c r="P63" s="1" t="s">
        <v>127</v>
      </c>
      <c r="Q63" s="1" t="s">
        <v>131</v>
      </c>
      <c r="R63" s="1"/>
      <c r="S63" s="9">
        <v>18640.62</v>
      </c>
      <c r="T63" s="1">
        <v>0</v>
      </c>
      <c r="U63" s="1" t="s">
        <v>132</v>
      </c>
      <c r="V63" s="1" t="s">
        <v>15</v>
      </c>
      <c r="W63" s="1" t="s">
        <v>17</v>
      </c>
      <c r="X63" s="1" t="s">
        <v>111</v>
      </c>
      <c r="Y63" s="1"/>
      <c r="Z63" s="1" t="s">
        <v>705</v>
      </c>
      <c r="AA63" s="1" t="s">
        <v>17</v>
      </c>
      <c r="AB63" s="1">
        <v>0</v>
      </c>
      <c r="AC63" s="1" t="s">
        <v>17</v>
      </c>
      <c r="AD63" t="s">
        <v>112</v>
      </c>
      <c r="AE63" t="s">
        <v>113</v>
      </c>
      <c r="AF63" t="s">
        <v>706</v>
      </c>
      <c r="AG63" t="s">
        <v>114</v>
      </c>
      <c r="AH63" t="s">
        <v>704</v>
      </c>
      <c r="AI63" t="s">
        <v>704</v>
      </c>
      <c r="AJ63" t="s">
        <v>149</v>
      </c>
      <c r="AK63" t="s">
        <v>116</v>
      </c>
      <c r="AL63" t="s">
        <v>137</v>
      </c>
      <c r="AM63" t="s">
        <v>117</v>
      </c>
      <c r="AN63" t="s">
        <v>534</v>
      </c>
      <c r="AO63" t="s">
        <v>707</v>
      </c>
      <c r="AP63" t="s">
        <v>119</v>
      </c>
      <c r="AQ63" t="s">
        <v>119</v>
      </c>
      <c r="AR63" t="s">
        <v>534</v>
      </c>
      <c r="AS63" t="s">
        <v>708</v>
      </c>
      <c r="AT63" t="s">
        <v>703</v>
      </c>
    </row>
    <row r="64" spans="1:46">
      <c r="A64" s="1" t="s">
        <v>709</v>
      </c>
      <c r="B64" s="1" t="s">
        <v>710</v>
      </c>
      <c r="C64" s="1" t="s">
        <v>711</v>
      </c>
      <c r="D64" s="1" t="s">
        <v>101</v>
      </c>
      <c r="E64" s="1" t="s">
        <v>102</v>
      </c>
      <c r="F64" s="1" t="s">
        <v>103</v>
      </c>
      <c r="G64" s="1" t="s">
        <v>301</v>
      </c>
      <c r="H64" s="1" t="s">
        <v>712</v>
      </c>
      <c r="I64" s="1" t="s">
        <v>106</v>
      </c>
      <c r="J64" s="1" t="s">
        <v>107</v>
      </c>
      <c r="K64" s="1"/>
      <c r="L64" s="9">
        <v>68858.83</v>
      </c>
      <c r="M64" s="1" t="s">
        <v>103</v>
      </c>
      <c r="N64" s="1" t="s">
        <v>301</v>
      </c>
      <c r="O64" s="1"/>
      <c r="P64" s="1" t="s">
        <v>106</v>
      </c>
      <c r="Q64" s="1" t="s">
        <v>108</v>
      </c>
      <c r="R64" s="1" t="s">
        <v>109</v>
      </c>
      <c r="S64" s="9">
        <v>-68858.83</v>
      </c>
      <c r="T64" s="1">
        <v>0</v>
      </c>
      <c r="U64" s="1" t="s">
        <v>110</v>
      </c>
      <c r="V64" s="1" t="s">
        <v>15</v>
      </c>
      <c r="W64" s="1" t="s">
        <v>17</v>
      </c>
      <c r="X64" s="1" t="s">
        <v>111</v>
      </c>
      <c r="Y64" s="1"/>
      <c r="Z64" s="1" t="s">
        <v>712</v>
      </c>
      <c r="AA64" s="1" t="s">
        <v>17</v>
      </c>
      <c r="AB64" s="1">
        <v>0</v>
      </c>
      <c r="AC64" s="1" t="s">
        <v>17</v>
      </c>
      <c r="AD64" t="s">
        <v>112</v>
      </c>
      <c r="AE64" t="s">
        <v>113</v>
      </c>
      <c r="AF64" t="s">
        <v>712</v>
      </c>
      <c r="AG64" t="s">
        <v>114</v>
      </c>
      <c r="AH64" t="s">
        <v>713</v>
      </c>
      <c r="AI64" t="s">
        <v>713</v>
      </c>
      <c r="AJ64" t="s">
        <v>17</v>
      </c>
      <c r="AK64" t="s">
        <v>257</v>
      </c>
      <c r="AL64" t="s">
        <v>17</v>
      </c>
      <c r="AM64" t="s">
        <v>117</v>
      </c>
      <c r="AN64" t="s">
        <v>301</v>
      </c>
      <c r="AO64" t="s">
        <v>714</v>
      </c>
      <c r="AP64" t="s">
        <v>119</v>
      </c>
      <c r="AQ64" t="s">
        <v>119</v>
      </c>
      <c r="AR64" t="s">
        <v>301</v>
      </c>
      <c r="AS64" t="s">
        <v>715</v>
      </c>
      <c r="AT64" t="s">
        <v>301</v>
      </c>
    </row>
    <row r="65" spans="1:46">
      <c r="A65" s="1" t="s">
        <v>716</v>
      </c>
      <c r="B65" s="1" t="s">
        <v>717</v>
      </c>
      <c r="C65" s="1" t="s">
        <v>718</v>
      </c>
      <c r="D65" s="1" t="s">
        <v>101</v>
      </c>
      <c r="E65" s="1" t="s">
        <v>102</v>
      </c>
      <c r="F65" s="1" t="s">
        <v>103</v>
      </c>
      <c r="G65" s="1" t="s">
        <v>719</v>
      </c>
      <c r="H65" s="1" t="s">
        <v>565</v>
      </c>
      <c r="I65" s="1" t="s">
        <v>106</v>
      </c>
      <c r="J65" s="1" t="s">
        <v>107</v>
      </c>
      <c r="K65" s="1"/>
      <c r="L65" s="9">
        <v>31416.799999999999</v>
      </c>
      <c r="M65" s="1" t="s">
        <v>103</v>
      </c>
      <c r="N65" s="1" t="s">
        <v>719</v>
      </c>
      <c r="O65" s="1"/>
      <c r="P65" s="1" t="s">
        <v>106</v>
      </c>
      <c r="Q65" s="1" t="s">
        <v>108</v>
      </c>
      <c r="R65" s="1" t="s">
        <v>109</v>
      </c>
      <c r="S65" s="9">
        <v>-31416.799999999999</v>
      </c>
      <c r="T65" s="1">
        <v>0</v>
      </c>
      <c r="U65" s="1" t="s">
        <v>110</v>
      </c>
      <c r="V65" s="1" t="s">
        <v>15</v>
      </c>
      <c r="W65" s="1" t="s">
        <v>17</v>
      </c>
      <c r="X65" s="1" t="s">
        <v>111</v>
      </c>
      <c r="Y65" s="1"/>
      <c r="Z65" s="1" t="s">
        <v>565</v>
      </c>
      <c r="AA65" s="1" t="s">
        <v>17</v>
      </c>
      <c r="AB65" s="1">
        <v>0</v>
      </c>
      <c r="AC65" s="1" t="s">
        <v>17</v>
      </c>
      <c r="AD65" t="s">
        <v>112</v>
      </c>
      <c r="AE65" t="s">
        <v>113</v>
      </c>
      <c r="AF65" t="s">
        <v>565</v>
      </c>
      <c r="AG65" t="s">
        <v>114</v>
      </c>
      <c r="AH65" t="s">
        <v>720</v>
      </c>
      <c r="AI65" t="s">
        <v>720</v>
      </c>
      <c r="AJ65" t="s">
        <v>17</v>
      </c>
      <c r="AK65" t="s">
        <v>200</v>
      </c>
      <c r="AL65" t="s">
        <v>17</v>
      </c>
      <c r="AM65" t="s">
        <v>117</v>
      </c>
      <c r="AN65" t="s">
        <v>719</v>
      </c>
      <c r="AO65" t="s">
        <v>721</v>
      </c>
      <c r="AP65" t="s">
        <v>119</v>
      </c>
      <c r="AQ65" t="s">
        <v>119</v>
      </c>
      <c r="AR65" t="s">
        <v>719</v>
      </c>
      <c r="AS65" t="s">
        <v>722</v>
      </c>
      <c r="AT65" t="s">
        <v>719</v>
      </c>
    </row>
    <row r="66" spans="1:46">
      <c r="A66" s="1" t="s">
        <v>723</v>
      </c>
      <c r="B66" s="1" t="s">
        <v>724</v>
      </c>
      <c r="C66" s="1" t="s">
        <v>725</v>
      </c>
      <c r="D66" s="1" t="s">
        <v>101</v>
      </c>
      <c r="E66" s="1" t="s">
        <v>124</v>
      </c>
      <c r="F66" s="1" t="s">
        <v>103</v>
      </c>
      <c r="G66" s="1" t="s">
        <v>726</v>
      </c>
      <c r="H66" s="1" t="s">
        <v>727</v>
      </c>
      <c r="I66" s="1" t="s">
        <v>127</v>
      </c>
      <c r="J66" s="1" t="s">
        <v>128</v>
      </c>
      <c r="K66" s="1" t="s">
        <v>129</v>
      </c>
      <c r="L66" s="9">
        <v>-14451.72</v>
      </c>
      <c r="M66" s="1" t="s">
        <v>103</v>
      </c>
      <c r="N66" s="1" t="s">
        <v>728</v>
      </c>
      <c r="O66" s="1" t="s">
        <v>727</v>
      </c>
      <c r="P66" s="1" t="s">
        <v>127</v>
      </c>
      <c r="Q66" s="1" t="s">
        <v>131</v>
      </c>
      <c r="R66" s="1"/>
      <c r="S66" s="9">
        <v>14451.72</v>
      </c>
      <c r="T66" s="1">
        <v>0</v>
      </c>
      <c r="U66" s="1" t="s">
        <v>132</v>
      </c>
      <c r="V66" s="1" t="s">
        <v>15</v>
      </c>
      <c r="W66" s="1" t="s">
        <v>17</v>
      </c>
      <c r="X66" s="1" t="s">
        <v>111</v>
      </c>
      <c r="Y66" s="1"/>
      <c r="Z66" s="1" t="s">
        <v>446</v>
      </c>
      <c r="AA66" s="1" t="s">
        <v>17</v>
      </c>
      <c r="AB66" s="1">
        <v>0</v>
      </c>
      <c r="AC66" s="1" t="s">
        <v>17</v>
      </c>
      <c r="AD66" t="s">
        <v>112</v>
      </c>
      <c r="AE66" t="s">
        <v>113</v>
      </c>
      <c r="AF66" t="s">
        <v>729</v>
      </c>
      <c r="AG66" t="s">
        <v>114</v>
      </c>
      <c r="AH66" t="s">
        <v>727</v>
      </c>
      <c r="AI66" t="s">
        <v>727</v>
      </c>
      <c r="AJ66" t="s">
        <v>135</v>
      </c>
      <c r="AK66" t="s">
        <v>200</v>
      </c>
      <c r="AL66" t="s">
        <v>137</v>
      </c>
      <c r="AM66" t="s">
        <v>117</v>
      </c>
      <c r="AN66" t="s">
        <v>448</v>
      </c>
      <c r="AO66" t="s">
        <v>191</v>
      </c>
      <c r="AP66" t="s">
        <v>119</v>
      </c>
      <c r="AQ66" t="s">
        <v>119</v>
      </c>
      <c r="AR66" t="s">
        <v>448</v>
      </c>
      <c r="AS66" t="s">
        <v>192</v>
      </c>
      <c r="AT66" t="s">
        <v>728</v>
      </c>
    </row>
    <row r="67" spans="1:46">
      <c r="A67" s="1" t="s">
        <v>730</v>
      </c>
      <c r="B67" s="1" t="s">
        <v>731</v>
      </c>
      <c r="C67" s="1" t="s">
        <v>732</v>
      </c>
      <c r="D67" s="1" t="s">
        <v>101</v>
      </c>
      <c r="E67" s="1" t="s">
        <v>124</v>
      </c>
      <c r="F67" s="1" t="s">
        <v>103</v>
      </c>
      <c r="G67" s="1" t="s">
        <v>245</v>
      </c>
      <c r="H67" s="1" t="s">
        <v>733</v>
      </c>
      <c r="I67" s="1" t="s">
        <v>127</v>
      </c>
      <c r="J67" s="1" t="s">
        <v>128</v>
      </c>
      <c r="K67" s="1" t="s">
        <v>129</v>
      </c>
      <c r="L67" s="9">
        <v>-13613.94</v>
      </c>
      <c r="M67" s="1" t="s">
        <v>103</v>
      </c>
      <c r="N67" s="1" t="s">
        <v>734</v>
      </c>
      <c r="O67" s="1" t="s">
        <v>733</v>
      </c>
      <c r="P67" s="1" t="s">
        <v>127</v>
      </c>
      <c r="Q67" s="1" t="s">
        <v>131</v>
      </c>
      <c r="R67" s="1"/>
      <c r="S67" s="9">
        <v>13613.94</v>
      </c>
      <c r="T67" s="1">
        <v>0</v>
      </c>
      <c r="U67" s="1" t="s">
        <v>132</v>
      </c>
      <c r="V67" s="1" t="s">
        <v>15</v>
      </c>
      <c r="W67" s="1" t="s">
        <v>17</v>
      </c>
      <c r="X67" s="1" t="s">
        <v>111</v>
      </c>
      <c r="Y67" s="1"/>
      <c r="Z67" s="1" t="s">
        <v>735</v>
      </c>
      <c r="AA67" s="1" t="s">
        <v>17</v>
      </c>
      <c r="AB67" s="1">
        <v>0</v>
      </c>
      <c r="AC67" s="1" t="s">
        <v>17</v>
      </c>
      <c r="AD67" t="s">
        <v>112</v>
      </c>
      <c r="AE67" t="s">
        <v>113</v>
      </c>
      <c r="AF67" t="s">
        <v>736</v>
      </c>
      <c r="AG67" t="s">
        <v>114</v>
      </c>
      <c r="AH67" t="s">
        <v>733</v>
      </c>
      <c r="AI67" t="s">
        <v>733</v>
      </c>
      <c r="AJ67" t="s">
        <v>149</v>
      </c>
      <c r="AK67" t="s">
        <v>150</v>
      </c>
      <c r="AL67" t="s">
        <v>137</v>
      </c>
      <c r="AM67" t="s">
        <v>117</v>
      </c>
      <c r="AN67" t="s">
        <v>604</v>
      </c>
      <c r="AO67" t="s">
        <v>737</v>
      </c>
      <c r="AP67" t="s">
        <v>119</v>
      </c>
      <c r="AQ67" t="s">
        <v>119</v>
      </c>
      <c r="AR67" t="s">
        <v>604</v>
      </c>
      <c r="AS67" t="s">
        <v>738</v>
      </c>
      <c r="AT67" t="s">
        <v>604</v>
      </c>
    </row>
    <row r="68" spans="1:46">
      <c r="A68" s="1" t="s">
        <v>739</v>
      </c>
      <c r="B68" s="1" t="s">
        <v>740</v>
      </c>
      <c r="C68" s="1" t="s">
        <v>741</v>
      </c>
      <c r="D68" s="1" t="s">
        <v>101</v>
      </c>
      <c r="E68" s="1" t="s">
        <v>102</v>
      </c>
      <c r="F68" s="1" t="s">
        <v>103</v>
      </c>
      <c r="G68" s="1" t="s">
        <v>742</v>
      </c>
      <c r="H68" s="1" t="s">
        <v>276</v>
      </c>
      <c r="I68" s="1" t="s">
        <v>106</v>
      </c>
      <c r="J68" s="1" t="s">
        <v>107</v>
      </c>
      <c r="K68" s="1"/>
      <c r="L68" s="9">
        <v>30788.45</v>
      </c>
      <c r="M68" s="1" t="s">
        <v>103</v>
      </c>
      <c r="N68" s="1" t="s">
        <v>742</v>
      </c>
      <c r="O68" s="1"/>
      <c r="P68" s="1" t="s">
        <v>106</v>
      </c>
      <c r="Q68" s="1" t="s">
        <v>108</v>
      </c>
      <c r="R68" s="1" t="s">
        <v>109</v>
      </c>
      <c r="S68" s="9">
        <v>-30788.45</v>
      </c>
      <c r="T68" s="1">
        <v>0</v>
      </c>
      <c r="U68" s="1" t="s">
        <v>110</v>
      </c>
      <c r="V68" s="1" t="s">
        <v>15</v>
      </c>
      <c r="W68" s="1" t="s">
        <v>17</v>
      </c>
      <c r="X68" s="1" t="s">
        <v>111</v>
      </c>
      <c r="Y68" s="1"/>
      <c r="Z68" s="1" t="s">
        <v>276</v>
      </c>
      <c r="AA68" s="1" t="s">
        <v>17</v>
      </c>
      <c r="AB68" s="1">
        <v>0</v>
      </c>
      <c r="AC68" s="1" t="s">
        <v>17</v>
      </c>
      <c r="AD68" t="s">
        <v>112</v>
      </c>
      <c r="AE68" t="s">
        <v>113</v>
      </c>
      <c r="AF68" t="s">
        <v>276</v>
      </c>
      <c r="AG68" t="s">
        <v>114</v>
      </c>
      <c r="AH68" t="s">
        <v>743</v>
      </c>
      <c r="AI68" t="s">
        <v>743</v>
      </c>
      <c r="AJ68" t="s">
        <v>17</v>
      </c>
      <c r="AK68" t="s">
        <v>161</v>
      </c>
      <c r="AL68" t="s">
        <v>17</v>
      </c>
      <c r="AM68" t="s">
        <v>117</v>
      </c>
      <c r="AN68" t="s">
        <v>742</v>
      </c>
      <c r="AO68" t="s">
        <v>744</v>
      </c>
      <c r="AP68" t="s">
        <v>119</v>
      </c>
      <c r="AQ68" t="s">
        <v>119</v>
      </c>
      <c r="AR68" t="s">
        <v>742</v>
      </c>
      <c r="AS68" t="s">
        <v>745</v>
      </c>
      <c r="AT68" t="s">
        <v>742</v>
      </c>
    </row>
    <row r="69" spans="1:46">
      <c r="A69" s="1" t="s">
        <v>746</v>
      </c>
      <c r="B69" s="1" t="s">
        <v>747</v>
      </c>
      <c r="C69" s="1" t="s">
        <v>748</v>
      </c>
      <c r="D69" s="1" t="s">
        <v>101</v>
      </c>
      <c r="E69" s="1" t="s">
        <v>124</v>
      </c>
      <c r="F69" s="1" t="s">
        <v>103</v>
      </c>
      <c r="G69" s="1" t="s">
        <v>604</v>
      </c>
      <c r="H69" s="1" t="s">
        <v>749</v>
      </c>
      <c r="I69" s="1" t="s">
        <v>127</v>
      </c>
      <c r="J69" s="1" t="s">
        <v>128</v>
      </c>
      <c r="K69" s="1" t="s">
        <v>129</v>
      </c>
      <c r="L69" s="9">
        <v>-14032.83</v>
      </c>
      <c r="M69" s="1" t="s">
        <v>103</v>
      </c>
      <c r="N69" s="1" t="s">
        <v>750</v>
      </c>
      <c r="O69" s="1" t="s">
        <v>749</v>
      </c>
      <c r="P69" s="1" t="s">
        <v>127</v>
      </c>
      <c r="Q69" s="1" t="s">
        <v>131</v>
      </c>
      <c r="R69" s="1"/>
      <c r="S69" s="9">
        <v>14032.83</v>
      </c>
      <c r="T69" s="1">
        <v>0</v>
      </c>
      <c r="U69" s="1" t="s">
        <v>132</v>
      </c>
      <c r="V69" s="1" t="s">
        <v>15</v>
      </c>
      <c r="W69" s="1" t="s">
        <v>17</v>
      </c>
      <c r="X69" s="1" t="s">
        <v>111</v>
      </c>
      <c r="Y69" s="1"/>
      <c r="Z69" s="1" t="s">
        <v>735</v>
      </c>
      <c r="AA69" s="1" t="s">
        <v>17</v>
      </c>
      <c r="AB69" s="1">
        <v>0</v>
      </c>
      <c r="AC69" s="1" t="s">
        <v>17</v>
      </c>
      <c r="AD69" t="s">
        <v>112</v>
      </c>
      <c r="AE69" t="s">
        <v>113</v>
      </c>
      <c r="AF69" t="s">
        <v>751</v>
      </c>
      <c r="AG69" t="s">
        <v>114</v>
      </c>
      <c r="AH69" t="s">
        <v>749</v>
      </c>
      <c r="AI69" t="s">
        <v>749</v>
      </c>
      <c r="AJ69" t="s">
        <v>149</v>
      </c>
      <c r="AK69" t="s">
        <v>150</v>
      </c>
      <c r="AL69" t="s">
        <v>137</v>
      </c>
      <c r="AM69" t="s">
        <v>117</v>
      </c>
      <c r="AN69" t="s">
        <v>752</v>
      </c>
      <c r="AO69" t="s">
        <v>567</v>
      </c>
      <c r="AP69" t="s">
        <v>119</v>
      </c>
      <c r="AQ69" t="s">
        <v>119</v>
      </c>
      <c r="AR69" t="s">
        <v>752</v>
      </c>
      <c r="AS69" t="s">
        <v>568</v>
      </c>
      <c r="AT69" t="s">
        <v>753</v>
      </c>
    </row>
    <row r="70" spans="1:46">
      <c r="A70" s="1" t="s">
        <v>754</v>
      </c>
      <c r="B70" s="1" t="s">
        <v>755</v>
      </c>
      <c r="C70" s="1" t="s">
        <v>756</v>
      </c>
      <c r="D70" s="1" t="s">
        <v>101</v>
      </c>
      <c r="E70" s="1" t="s">
        <v>124</v>
      </c>
      <c r="F70" s="1" t="s">
        <v>103</v>
      </c>
      <c r="G70" s="1" t="s">
        <v>629</v>
      </c>
      <c r="H70" s="1" t="s">
        <v>757</v>
      </c>
      <c r="I70" s="1" t="s">
        <v>127</v>
      </c>
      <c r="J70" s="1" t="s">
        <v>128</v>
      </c>
      <c r="K70" s="1" t="s">
        <v>129</v>
      </c>
      <c r="L70" s="9">
        <v>-9843.93</v>
      </c>
      <c r="M70" s="1" t="s">
        <v>103</v>
      </c>
      <c r="N70" s="1" t="s">
        <v>629</v>
      </c>
      <c r="O70" s="1" t="s">
        <v>757</v>
      </c>
      <c r="P70" s="1" t="s">
        <v>127</v>
      </c>
      <c r="Q70" s="1" t="s">
        <v>131</v>
      </c>
      <c r="R70" s="1"/>
      <c r="S70" s="9">
        <v>9843.93</v>
      </c>
      <c r="T70" s="1">
        <v>0</v>
      </c>
      <c r="U70" s="1" t="s">
        <v>132</v>
      </c>
      <c r="V70" s="1" t="s">
        <v>15</v>
      </c>
      <c r="W70" s="1" t="s">
        <v>17</v>
      </c>
      <c r="X70" s="1" t="s">
        <v>111</v>
      </c>
      <c r="Y70" s="1"/>
      <c r="Z70" s="1" t="s">
        <v>758</v>
      </c>
      <c r="AA70" s="1" t="s">
        <v>17</v>
      </c>
      <c r="AB70" s="1">
        <v>0</v>
      </c>
      <c r="AC70" s="1" t="s">
        <v>17</v>
      </c>
      <c r="AD70" t="s">
        <v>112</v>
      </c>
      <c r="AE70" t="s">
        <v>113</v>
      </c>
      <c r="AF70" t="s">
        <v>759</v>
      </c>
      <c r="AG70" t="s">
        <v>760</v>
      </c>
      <c r="AH70" t="s">
        <v>757</v>
      </c>
      <c r="AI70" t="s">
        <v>757</v>
      </c>
      <c r="AJ70" t="s">
        <v>149</v>
      </c>
      <c r="AK70" t="s">
        <v>150</v>
      </c>
      <c r="AL70" t="s">
        <v>137</v>
      </c>
      <c r="AM70" t="s">
        <v>117</v>
      </c>
      <c r="AN70" t="s">
        <v>761</v>
      </c>
      <c r="AO70" t="s">
        <v>762</v>
      </c>
      <c r="AP70" t="s">
        <v>119</v>
      </c>
      <c r="AQ70" t="s">
        <v>119</v>
      </c>
      <c r="AR70" t="s">
        <v>761</v>
      </c>
      <c r="AS70" t="s">
        <v>763</v>
      </c>
      <c r="AT70" t="s">
        <v>629</v>
      </c>
    </row>
    <row r="71" spans="1:46">
      <c r="A71" s="1" t="s">
        <v>764</v>
      </c>
      <c r="B71" s="1" t="s">
        <v>765</v>
      </c>
      <c r="C71" s="1" t="s">
        <v>766</v>
      </c>
      <c r="D71" s="1" t="s">
        <v>101</v>
      </c>
      <c r="E71" s="1" t="s">
        <v>102</v>
      </c>
      <c r="F71" s="1" t="s">
        <v>103</v>
      </c>
      <c r="G71" s="1" t="s">
        <v>690</v>
      </c>
      <c r="H71" s="1" t="s">
        <v>705</v>
      </c>
      <c r="I71" s="1" t="s">
        <v>106</v>
      </c>
      <c r="J71" s="1" t="s">
        <v>107</v>
      </c>
      <c r="K71" s="1"/>
      <c r="L71" s="9">
        <v>18640.62</v>
      </c>
      <c r="M71" s="1" t="s">
        <v>103</v>
      </c>
      <c r="N71" s="1" t="s">
        <v>690</v>
      </c>
      <c r="O71" s="1"/>
      <c r="P71" s="1" t="s">
        <v>106</v>
      </c>
      <c r="Q71" s="1" t="s">
        <v>108</v>
      </c>
      <c r="R71" s="1" t="s">
        <v>109</v>
      </c>
      <c r="S71" s="9">
        <v>-18640.62</v>
      </c>
      <c r="T71" s="1">
        <v>0</v>
      </c>
      <c r="U71" s="1" t="s">
        <v>110</v>
      </c>
      <c r="V71" s="1" t="s">
        <v>15</v>
      </c>
      <c r="W71" s="1" t="s">
        <v>17</v>
      </c>
      <c r="X71" s="1" t="s">
        <v>111</v>
      </c>
      <c r="Y71" s="1"/>
      <c r="Z71" s="1" t="s">
        <v>705</v>
      </c>
      <c r="AA71" s="1" t="s">
        <v>17</v>
      </c>
      <c r="AB71" s="1">
        <v>0</v>
      </c>
      <c r="AC71" s="1" t="s">
        <v>17</v>
      </c>
      <c r="AD71" t="s">
        <v>112</v>
      </c>
      <c r="AE71" t="s">
        <v>113</v>
      </c>
      <c r="AF71" t="s">
        <v>705</v>
      </c>
      <c r="AG71" t="s">
        <v>114</v>
      </c>
      <c r="AH71" t="s">
        <v>767</v>
      </c>
      <c r="AI71" t="s">
        <v>767</v>
      </c>
      <c r="AJ71" t="s">
        <v>17</v>
      </c>
      <c r="AK71" t="s">
        <v>116</v>
      </c>
      <c r="AL71" t="s">
        <v>17</v>
      </c>
      <c r="AM71" t="s">
        <v>117</v>
      </c>
      <c r="AN71" t="s">
        <v>690</v>
      </c>
      <c r="AO71" t="s">
        <v>768</v>
      </c>
      <c r="AP71" t="s">
        <v>119</v>
      </c>
      <c r="AQ71" t="s">
        <v>119</v>
      </c>
      <c r="AR71" t="s">
        <v>690</v>
      </c>
      <c r="AS71" t="s">
        <v>769</v>
      </c>
      <c r="AT71" t="s">
        <v>690</v>
      </c>
    </row>
    <row r="72" spans="1:46">
      <c r="A72" s="1" t="s">
        <v>770</v>
      </c>
      <c r="B72" s="1" t="s">
        <v>771</v>
      </c>
      <c r="C72" s="1" t="s">
        <v>772</v>
      </c>
      <c r="D72" s="1" t="s">
        <v>40</v>
      </c>
      <c r="E72" s="1" t="s">
        <v>124</v>
      </c>
      <c r="F72" s="1" t="s">
        <v>103</v>
      </c>
      <c r="G72" s="1" t="s">
        <v>773</v>
      </c>
      <c r="H72" s="1" t="s">
        <v>774</v>
      </c>
      <c r="I72" s="1" t="s">
        <v>127</v>
      </c>
      <c r="J72" s="1" t="s">
        <v>128</v>
      </c>
      <c r="K72" s="1" t="s">
        <v>129</v>
      </c>
      <c r="L72" s="9">
        <v>-20106</v>
      </c>
      <c r="M72" s="1" t="s">
        <v>103</v>
      </c>
      <c r="N72" s="1" t="s">
        <v>773</v>
      </c>
      <c r="O72" s="1" t="s">
        <v>774</v>
      </c>
      <c r="P72" s="1" t="s">
        <v>127</v>
      </c>
      <c r="Q72" s="1" t="s">
        <v>131</v>
      </c>
      <c r="R72" s="1"/>
      <c r="S72" s="9">
        <v>20106.759999999998</v>
      </c>
      <c r="T72" s="1">
        <v>0.75999999999839929</v>
      </c>
      <c r="U72" s="1" t="s">
        <v>146</v>
      </c>
      <c r="V72" s="1" t="s">
        <v>15</v>
      </c>
      <c r="W72" s="1" t="s">
        <v>17</v>
      </c>
      <c r="X72" s="1" t="s">
        <v>111</v>
      </c>
      <c r="Y72" s="1"/>
      <c r="Z72" s="1" t="s">
        <v>775</v>
      </c>
      <c r="AA72" s="1" t="s">
        <v>17</v>
      </c>
      <c r="AB72" s="1">
        <v>0</v>
      </c>
      <c r="AC72" s="1" t="s">
        <v>17</v>
      </c>
      <c r="AD72" t="s">
        <v>112</v>
      </c>
      <c r="AE72" t="s">
        <v>113</v>
      </c>
      <c r="AF72" t="s">
        <v>776</v>
      </c>
      <c r="AG72" t="s">
        <v>114</v>
      </c>
      <c r="AH72" t="s">
        <v>774</v>
      </c>
      <c r="AI72" t="s">
        <v>774</v>
      </c>
      <c r="AJ72" t="s">
        <v>149</v>
      </c>
      <c r="AK72" t="s">
        <v>189</v>
      </c>
      <c r="AL72" t="s">
        <v>137</v>
      </c>
      <c r="AM72" t="s">
        <v>117</v>
      </c>
      <c r="AN72" t="s">
        <v>777</v>
      </c>
      <c r="AO72" t="s">
        <v>778</v>
      </c>
      <c r="AP72" t="s">
        <v>119</v>
      </c>
      <c r="AQ72" t="s">
        <v>119</v>
      </c>
      <c r="AR72" t="s">
        <v>777</v>
      </c>
      <c r="AS72" t="s">
        <v>779</v>
      </c>
      <c r="AT72" t="s">
        <v>773</v>
      </c>
    </row>
    <row r="73" spans="1:46">
      <c r="A73" s="1" t="s">
        <v>780</v>
      </c>
      <c r="B73" s="1" t="s">
        <v>781</v>
      </c>
      <c r="C73" s="1" t="s">
        <v>782</v>
      </c>
      <c r="D73" s="1" t="s">
        <v>40</v>
      </c>
      <c r="E73" s="1" t="s">
        <v>124</v>
      </c>
      <c r="F73" s="1" t="s">
        <v>103</v>
      </c>
      <c r="G73" s="1" t="s">
        <v>783</v>
      </c>
      <c r="H73" s="1" t="s">
        <v>784</v>
      </c>
      <c r="I73" s="1" t="s">
        <v>127</v>
      </c>
      <c r="J73" s="1" t="s">
        <v>128</v>
      </c>
      <c r="K73" s="1" t="s">
        <v>129</v>
      </c>
      <c r="L73" s="9">
        <v>-15708</v>
      </c>
      <c r="M73" s="1" t="s">
        <v>103</v>
      </c>
      <c r="N73" s="1" t="s">
        <v>783</v>
      </c>
      <c r="O73" s="1" t="s">
        <v>784</v>
      </c>
      <c r="P73" s="1" t="s">
        <v>127</v>
      </c>
      <c r="Q73" s="1" t="s">
        <v>131</v>
      </c>
      <c r="R73" s="1"/>
      <c r="S73" s="9">
        <v>15708.4</v>
      </c>
      <c r="T73" s="1">
        <v>0.3999999999996362</v>
      </c>
      <c r="U73" s="1" t="s">
        <v>146</v>
      </c>
      <c r="V73" s="1" t="s">
        <v>15</v>
      </c>
      <c r="W73" s="1" t="s">
        <v>17</v>
      </c>
      <c r="X73" s="1" t="s">
        <v>111</v>
      </c>
      <c r="Y73" s="1"/>
      <c r="Z73" s="1" t="s">
        <v>785</v>
      </c>
      <c r="AA73" s="1" t="s">
        <v>17</v>
      </c>
      <c r="AB73" s="1">
        <v>0</v>
      </c>
      <c r="AC73" s="1" t="s">
        <v>17</v>
      </c>
      <c r="AD73" t="s">
        <v>112</v>
      </c>
      <c r="AE73" t="s">
        <v>113</v>
      </c>
      <c r="AF73" t="s">
        <v>786</v>
      </c>
      <c r="AG73" t="s">
        <v>114</v>
      </c>
      <c r="AH73" t="s">
        <v>784</v>
      </c>
      <c r="AI73" t="s">
        <v>784</v>
      </c>
      <c r="AJ73" t="s">
        <v>149</v>
      </c>
      <c r="AK73" t="s">
        <v>189</v>
      </c>
      <c r="AL73" t="s">
        <v>137</v>
      </c>
      <c r="AM73" t="s">
        <v>117</v>
      </c>
      <c r="AN73" t="s">
        <v>511</v>
      </c>
      <c r="AO73" t="s">
        <v>613</v>
      </c>
      <c r="AP73" t="s">
        <v>119</v>
      </c>
      <c r="AQ73" t="s">
        <v>119</v>
      </c>
      <c r="AR73" t="s">
        <v>511</v>
      </c>
      <c r="AS73" t="s">
        <v>614</v>
      </c>
      <c r="AT73" t="s">
        <v>787</v>
      </c>
    </row>
    <row r="74" spans="1:46">
      <c r="A74" s="1" t="s">
        <v>788</v>
      </c>
      <c r="B74" s="1" t="s">
        <v>789</v>
      </c>
      <c r="C74" s="1" t="s">
        <v>790</v>
      </c>
      <c r="D74" s="1" t="s">
        <v>40</v>
      </c>
      <c r="E74" s="1" t="s">
        <v>124</v>
      </c>
      <c r="F74" s="1" t="s">
        <v>103</v>
      </c>
      <c r="G74" s="1" t="s">
        <v>791</v>
      </c>
      <c r="H74" s="1" t="s">
        <v>792</v>
      </c>
      <c r="I74" s="1" t="s">
        <v>127</v>
      </c>
      <c r="J74" s="1" t="s">
        <v>128</v>
      </c>
      <c r="K74" s="1" t="s">
        <v>253</v>
      </c>
      <c r="L74" s="9">
        <v>-34947.99</v>
      </c>
      <c r="M74" s="1" t="s">
        <v>103</v>
      </c>
      <c r="N74" s="1" t="s">
        <v>791</v>
      </c>
      <c r="O74" s="1" t="s">
        <v>792</v>
      </c>
      <c r="P74" s="1" t="s">
        <v>127</v>
      </c>
      <c r="Q74" s="1" t="s">
        <v>131</v>
      </c>
      <c r="R74" s="1"/>
      <c r="S74" s="9">
        <v>34947.879999999997</v>
      </c>
      <c r="T74" s="1">
        <v>-0.11000000000058208</v>
      </c>
      <c r="U74" s="1" t="s">
        <v>146</v>
      </c>
      <c r="V74" s="1" t="s">
        <v>15</v>
      </c>
      <c r="W74" s="1" t="s">
        <v>17</v>
      </c>
      <c r="X74" s="1" t="s">
        <v>111</v>
      </c>
      <c r="Y74" s="1"/>
      <c r="Z74" s="1" t="s">
        <v>254</v>
      </c>
      <c r="AA74" s="1" t="s">
        <v>17</v>
      </c>
      <c r="AB74" s="1">
        <v>0</v>
      </c>
      <c r="AC74" s="1" t="s">
        <v>17</v>
      </c>
      <c r="AD74" t="s">
        <v>112</v>
      </c>
      <c r="AE74" t="s">
        <v>231</v>
      </c>
      <c r="AF74" t="s">
        <v>793</v>
      </c>
      <c r="AG74" t="s">
        <v>114</v>
      </c>
      <c r="AH74" t="s">
        <v>792</v>
      </c>
      <c r="AI74" t="s">
        <v>792</v>
      </c>
      <c r="AJ74" t="s">
        <v>135</v>
      </c>
      <c r="AK74" t="s">
        <v>408</v>
      </c>
      <c r="AL74" t="s">
        <v>137</v>
      </c>
      <c r="AM74" t="s">
        <v>117</v>
      </c>
      <c r="AN74" t="s">
        <v>412</v>
      </c>
      <c r="AO74" t="s">
        <v>794</v>
      </c>
      <c r="AP74" t="s">
        <v>119</v>
      </c>
      <c r="AQ74" t="s">
        <v>119</v>
      </c>
      <c r="AR74" t="s">
        <v>412</v>
      </c>
      <c r="AS74" t="s">
        <v>795</v>
      </c>
      <c r="AT74" t="s">
        <v>412</v>
      </c>
    </row>
    <row r="75" spans="1:46">
      <c r="A75" s="1" t="s">
        <v>796</v>
      </c>
      <c r="B75" s="1" t="s">
        <v>797</v>
      </c>
      <c r="C75" s="1" t="s">
        <v>798</v>
      </c>
      <c r="D75" s="1" t="s">
        <v>101</v>
      </c>
      <c r="E75" s="1" t="s">
        <v>102</v>
      </c>
      <c r="F75" s="1" t="s">
        <v>103</v>
      </c>
      <c r="G75" s="1" t="s">
        <v>799</v>
      </c>
      <c r="H75" s="1" t="s">
        <v>775</v>
      </c>
      <c r="I75" s="1" t="s">
        <v>106</v>
      </c>
      <c r="J75" s="1" t="s">
        <v>107</v>
      </c>
      <c r="K75" s="1"/>
      <c r="L75" s="9">
        <v>40841</v>
      </c>
      <c r="M75" s="1" t="s">
        <v>103</v>
      </c>
      <c r="N75" s="1" t="s">
        <v>799</v>
      </c>
      <c r="O75" s="1"/>
      <c r="P75" s="1" t="s">
        <v>106</v>
      </c>
      <c r="Q75" s="1" t="s">
        <v>108</v>
      </c>
      <c r="R75" s="1" t="s">
        <v>109</v>
      </c>
      <c r="S75" s="9">
        <v>-40841</v>
      </c>
      <c r="T75" s="1">
        <v>0</v>
      </c>
      <c r="U75" s="1" t="s">
        <v>110</v>
      </c>
      <c r="V75" s="1" t="s">
        <v>15</v>
      </c>
      <c r="W75" s="1" t="s">
        <v>17</v>
      </c>
      <c r="X75" s="1" t="s">
        <v>111</v>
      </c>
      <c r="Y75" s="1"/>
      <c r="Z75" s="1" t="s">
        <v>775</v>
      </c>
      <c r="AA75" s="1" t="s">
        <v>17</v>
      </c>
      <c r="AB75" s="1">
        <v>0</v>
      </c>
      <c r="AC75" s="1" t="s">
        <v>17</v>
      </c>
      <c r="AD75" t="s">
        <v>112</v>
      </c>
      <c r="AE75" t="s">
        <v>113</v>
      </c>
      <c r="AF75" t="s">
        <v>775</v>
      </c>
      <c r="AG75" t="s">
        <v>114</v>
      </c>
      <c r="AH75" t="s">
        <v>800</v>
      </c>
      <c r="AI75" t="s">
        <v>800</v>
      </c>
      <c r="AJ75" t="s">
        <v>17</v>
      </c>
      <c r="AK75" t="s">
        <v>189</v>
      </c>
      <c r="AL75" t="s">
        <v>17</v>
      </c>
      <c r="AM75" t="s">
        <v>117</v>
      </c>
      <c r="AN75" t="s">
        <v>799</v>
      </c>
      <c r="AO75" t="s">
        <v>801</v>
      </c>
      <c r="AP75" t="s">
        <v>119</v>
      </c>
      <c r="AQ75" t="s">
        <v>119</v>
      </c>
      <c r="AR75" t="s">
        <v>799</v>
      </c>
      <c r="AS75" t="s">
        <v>802</v>
      </c>
      <c r="AT75" t="s">
        <v>799</v>
      </c>
    </row>
    <row r="76" spans="1:46">
      <c r="A76" s="1" t="s">
        <v>803</v>
      </c>
      <c r="B76" s="1" t="s">
        <v>804</v>
      </c>
      <c r="C76" s="1" t="s">
        <v>805</v>
      </c>
      <c r="D76" s="1" t="s">
        <v>101</v>
      </c>
      <c r="E76" s="1" t="s">
        <v>102</v>
      </c>
      <c r="F76" s="1" t="s">
        <v>103</v>
      </c>
      <c r="G76" s="1" t="s">
        <v>806</v>
      </c>
      <c r="H76" s="1" t="s">
        <v>159</v>
      </c>
      <c r="I76" s="1" t="s">
        <v>106</v>
      </c>
      <c r="J76" s="1" t="s">
        <v>107</v>
      </c>
      <c r="K76" s="1"/>
      <c r="L76" s="9">
        <v>56131.33</v>
      </c>
      <c r="M76" s="1" t="s">
        <v>103</v>
      </c>
      <c r="N76" s="1" t="s">
        <v>806</v>
      </c>
      <c r="O76" s="1"/>
      <c r="P76" s="1" t="s">
        <v>106</v>
      </c>
      <c r="Q76" s="1" t="s">
        <v>108</v>
      </c>
      <c r="R76" s="1" t="s">
        <v>109</v>
      </c>
      <c r="S76" s="9">
        <v>-56131.33</v>
      </c>
      <c r="T76" s="1">
        <v>0</v>
      </c>
      <c r="U76" s="1" t="s">
        <v>110</v>
      </c>
      <c r="V76" s="1" t="s">
        <v>15</v>
      </c>
      <c r="W76" s="1" t="s">
        <v>17</v>
      </c>
      <c r="X76" s="1" t="s">
        <v>111</v>
      </c>
      <c r="Y76" s="1"/>
      <c r="Z76" s="1" t="s">
        <v>159</v>
      </c>
      <c r="AA76" s="1" t="s">
        <v>17</v>
      </c>
      <c r="AB76" s="1">
        <v>0</v>
      </c>
      <c r="AC76" s="1" t="s">
        <v>17</v>
      </c>
      <c r="AD76" t="s">
        <v>112</v>
      </c>
      <c r="AE76" t="s">
        <v>113</v>
      </c>
      <c r="AF76" t="s">
        <v>159</v>
      </c>
      <c r="AG76" t="s">
        <v>114</v>
      </c>
      <c r="AH76" t="s">
        <v>807</v>
      </c>
      <c r="AI76" t="s">
        <v>807</v>
      </c>
      <c r="AJ76" t="s">
        <v>17</v>
      </c>
      <c r="AK76" t="s">
        <v>161</v>
      </c>
      <c r="AL76" t="s">
        <v>17</v>
      </c>
      <c r="AM76" t="s">
        <v>117</v>
      </c>
      <c r="AN76" t="s">
        <v>806</v>
      </c>
      <c r="AO76" t="s">
        <v>808</v>
      </c>
      <c r="AP76" t="s">
        <v>119</v>
      </c>
      <c r="AQ76" t="s">
        <v>119</v>
      </c>
      <c r="AR76" t="s">
        <v>806</v>
      </c>
      <c r="AS76" t="s">
        <v>809</v>
      </c>
      <c r="AT76" t="s">
        <v>806</v>
      </c>
    </row>
    <row r="77" spans="1:46">
      <c r="A77" s="1" t="s">
        <v>810</v>
      </c>
      <c r="B77" s="1" t="s">
        <v>811</v>
      </c>
      <c r="C77" s="1" t="s">
        <v>812</v>
      </c>
      <c r="D77" s="1" t="s">
        <v>101</v>
      </c>
      <c r="E77" s="1" t="s">
        <v>124</v>
      </c>
      <c r="F77" s="1" t="s">
        <v>103</v>
      </c>
      <c r="G77" s="1" t="s">
        <v>813</v>
      </c>
      <c r="H77" s="1" t="s">
        <v>814</v>
      </c>
      <c r="I77" s="1" t="s">
        <v>127</v>
      </c>
      <c r="J77" s="1" t="s">
        <v>128</v>
      </c>
      <c r="K77" s="1" t="s">
        <v>129</v>
      </c>
      <c r="L77" s="9">
        <v>-15289.51</v>
      </c>
      <c r="M77" s="1" t="s">
        <v>103</v>
      </c>
      <c r="N77" s="1" t="s">
        <v>813</v>
      </c>
      <c r="O77" s="1" t="s">
        <v>814</v>
      </c>
      <c r="P77" s="1" t="s">
        <v>127</v>
      </c>
      <c r="Q77" s="1" t="s">
        <v>131</v>
      </c>
      <c r="R77" s="1"/>
      <c r="S77" s="9">
        <v>15289.51</v>
      </c>
      <c r="T77" s="1">
        <v>0</v>
      </c>
      <c r="U77" s="1" t="s">
        <v>132</v>
      </c>
      <c r="V77" s="1" t="s">
        <v>15</v>
      </c>
      <c r="W77" s="1" t="s">
        <v>17</v>
      </c>
      <c r="X77" s="1" t="s">
        <v>111</v>
      </c>
      <c r="Y77" s="1"/>
      <c r="Z77" s="1" t="s">
        <v>815</v>
      </c>
      <c r="AA77" s="1" t="s">
        <v>17</v>
      </c>
      <c r="AB77" s="1">
        <v>0</v>
      </c>
      <c r="AC77" s="1" t="s">
        <v>17</v>
      </c>
      <c r="AD77" t="s">
        <v>112</v>
      </c>
      <c r="AE77" t="s">
        <v>113</v>
      </c>
      <c r="AF77" t="s">
        <v>816</v>
      </c>
      <c r="AG77" t="s">
        <v>114</v>
      </c>
      <c r="AH77" t="s">
        <v>814</v>
      </c>
      <c r="AI77" t="s">
        <v>814</v>
      </c>
      <c r="AJ77" t="s">
        <v>149</v>
      </c>
      <c r="AK77" t="s">
        <v>150</v>
      </c>
      <c r="AL77" t="s">
        <v>137</v>
      </c>
      <c r="AM77" t="s">
        <v>117</v>
      </c>
      <c r="AN77" t="s">
        <v>817</v>
      </c>
      <c r="AO77" t="s">
        <v>429</v>
      </c>
      <c r="AP77" t="s">
        <v>119</v>
      </c>
      <c r="AQ77" t="s">
        <v>119</v>
      </c>
      <c r="AR77" t="s">
        <v>817</v>
      </c>
      <c r="AS77" t="s">
        <v>430</v>
      </c>
      <c r="AT77" t="s">
        <v>813</v>
      </c>
    </row>
    <row r="78" spans="1:46">
      <c r="A78" s="1" t="s">
        <v>818</v>
      </c>
      <c r="B78" s="1" t="s">
        <v>819</v>
      </c>
      <c r="C78" s="1" t="s">
        <v>820</v>
      </c>
      <c r="D78" s="1" t="s">
        <v>101</v>
      </c>
      <c r="E78" s="1" t="s">
        <v>352</v>
      </c>
      <c r="F78" s="1" t="s">
        <v>103</v>
      </c>
      <c r="G78" s="1" t="s">
        <v>821</v>
      </c>
      <c r="H78" s="1" t="s">
        <v>465</v>
      </c>
      <c r="I78" s="1" t="s">
        <v>106</v>
      </c>
      <c r="J78" s="1" t="s">
        <v>107</v>
      </c>
      <c r="K78" s="1"/>
      <c r="L78" s="9">
        <v>55712.45</v>
      </c>
      <c r="M78" s="1" t="s">
        <v>103</v>
      </c>
      <c r="N78" s="1" t="s">
        <v>822</v>
      </c>
      <c r="O78" s="1"/>
      <c r="P78" s="1" t="s">
        <v>106</v>
      </c>
      <c r="Q78" s="1" t="s">
        <v>108</v>
      </c>
      <c r="R78" s="1" t="s">
        <v>109</v>
      </c>
      <c r="S78" s="9">
        <v>-55712.45</v>
      </c>
      <c r="T78" s="1">
        <v>0</v>
      </c>
      <c r="U78" s="1" t="s">
        <v>356</v>
      </c>
      <c r="V78" s="1" t="s">
        <v>15</v>
      </c>
      <c r="W78" s="1" t="s">
        <v>17</v>
      </c>
      <c r="X78" s="1" t="s">
        <v>111</v>
      </c>
      <c r="Y78" s="1"/>
      <c r="Z78" s="1" t="s">
        <v>465</v>
      </c>
      <c r="AA78" s="1" t="s">
        <v>17</v>
      </c>
      <c r="AB78" s="1">
        <v>0</v>
      </c>
      <c r="AC78" s="1" t="s">
        <v>17</v>
      </c>
      <c r="AD78" t="s">
        <v>112</v>
      </c>
      <c r="AE78" t="s">
        <v>113</v>
      </c>
      <c r="AF78" t="s">
        <v>465</v>
      </c>
      <c r="AG78" t="s">
        <v>114</v>
      </c>
      <c r="AH78" t="s">
        <v>823</v>
      </c>
      <c r="AI78" t="s">
        <v>823</v>
      </c>
      <c r="AJ78" t="s">
        <v>17</v>
      </c>
      <c r="AK78" t="s">
        <v>200</v>
      </c>
      <c r="AL78" t="s">
        <v>17</v>
      </c>
      <c r="AM78" t="s">
        <v>117</v>
      </c>
      <c r="AN78" t="s">
        <v>821</v>
      </c>
      <c r="AO78" t="s">
        <v>824</v>
      </c>
      <c r="AP78" t="s">
        <v>119</v>
      </c>
      <c r="AQ78" t="s">
        <v>119</v>
      </c>
      <c r="AR78" t="s">
        <v>821</v>
      </c>
      <c r="AS78" t="s">
        <v>825</v>
      </c>
      <c r="AT78" t="s">
        <v>821</v>
      </c>
    </row>
    <row r="79" spans="1:46">
      <c r="A79" s="1" t="s">
        <v>826</v>
      </c>
      <c r="B79" s="1" t="s">
        <v>827</v>
      </c>
      <c r="C79" s="1" t="s">
        <v>828</v>
      </c>
      <c r="D79" s="1" t="s">
        <v>101</v>
      </c>
      <c r="E79" s="1" t="s">
        <v>102</v>
      </c>
      <c r="F79" s="1" t="s">
        <v>103</v>
      </c>
      <c r="G79" s="1" t="s">
        <v>829</v>
      </c>
      <c r="H79" s="1" t="s">
        <v>830</v>
      </c>
      <c r="I79" s="1" t="s">
        <v>106</v>
      </c>
      <c r="J79" s="1" t="s">
        <v>107</v>
      </c>
      <c r="K79" s="1"/>
      <c r="L79" s="9">
        <v>16336.73</v>
      </c>
      <c r="M79" s="1" t="s">
        <v>103</v>
      </c>
      <c r="N79" s="1" t="s">
        <v>829</v>
      </c>
      <c r="O79" s="1"/>
      <c r="P79" s="1" t="s">
        <v>106</v>
      </c>
      <c r="Q79" s="1" t="s">
        <v>108</v>
      </c>
      <c r="R79" s="1" t="s">
        <v>109</v>
      </c>
      <c r="S79" s="9">
        <v>-16336.73</v>
      </c>
      <c r="T79" s="1">
        <v>0</v>
      </c>
      <c r="U79" s="1" t="s">
        <v>110</v>
      </c>
      <c r="V79" s="1" t="s">
        <v>15</v>
      </c>
      <c r="W79" s="1" t="s">
        <v>17</v>
      </c>
      <c r="X79" s="1" t="s">
        <v>111</v>
      </c>
      <c r="Y79" s="1"/>
      <c r="Z79" s="1" t="s">
        <v>830</v>
      </c>
      <c r="AA79" s="1" t="s">
        <v>17</v>
      </c>
      <c r="AB79" s="1">
        <v>0</v>
      </c>
      <c r="AC79" s="1" t="s">
        <v>17</v>
      </c>
      <c r="AD79" t="s">
        <v>112</v>
      </c>
      <c r="AE79" t="s">
        <v>113</v>
      </c>
      <c r="AF79" t="s">
        <v>830</v>
      </c>
      <c r="AG79" t="s">
        <v>114</v>
      </c>
      <c r="AH79" t="s">
        <v>831</v>
      </c>
      <c r="AI79" t="s">
        <v>831</v>
      </c>
      <c r="AJ79" t="s">
        <v>17</v>
      </c>
      <c r="AK79" t="s">
        <v>116</v>
      </c>
      <c r="AL79" t="s">
        <v>17</v>
      </c>
      <c r="AM79" t="s">
        <v>117</v>
      </c>
      <c r="AN79" t="s">
        <v>829</v>
      </c>
      <c r="AO79" t="s">
        <v>832</v>
      </c>
      <c r="AP79" t="s">
        <v>119</v>
      </c>
      <c r="AQ79" t="s">
        <v>119</v>
      </c>
      <c r="AR79" t="s">
        <v>829</v>
      </c>
      <c r="AS79" t="s">
        <v>833</v>
      </c>
      <c r="AT79" t="s">
        <v>829</v>
      </c>
    </row>
    <row r="80" spans="1:46">
      <c r="A80" s="1" t="s">
        <v>834</v>
      </c>
      <c r="B80" s="1" t="s">
        <v>835</v>
      </c>
      <c r="C80" s="1" t="s">
        <v>836</v>
      </c>
      <c r="D80" s="1" t="s">
        <v>101</v>
      </c>
      <c r="E80" s="1" t="s">
        <v>352</v>
      </c>
      <c r="F80" s="1" t="s">
        <v>103</v>
      </c>
      <c r="G80" s="1" t="s">
        <v>728</v>
      </c>
      <c r="H80" s="1" t="s">
        <v>222</v>
      </c>
      <c r="I80" s="1" t="s">
        <v>106</v>
      </c>
      <c r="J80" s="1" t="s">
        <v>107</v>
      </c>
      <c r="K80" s="1"/>
      <c r="L80" s="9">
        <v>15498.94</v>
      </c>
      <c r="M80" s="1" t="s">
        <v>103</v>
      </c>
      <c r="N80" s="1" t="s">
        <v>443</v>
      </c>
      <c r="O80" s="1"/>
      <c r="P80" s="1" t="s">
        <v>106</v>
      </c>
      <c r="Q80" s="1" t="s">
        <v>108</v>
      </c>
      <c r="R80" s="1" t="s">
        <v>109</v>
      </c>
      <c r="S80" s="9">
        <v>-15498.94</v>
      </c>
      <c r="T80" s="1">
        <v>0</v>
      </c>
      <c r="U80" s="1" t="s">
        <v>356</v>
      </c>
      <c r="V80" s="1" t="s">
        <v>15</v>
      </c>
      <c r="W80" s="1" t="s">
        <v>17</v>
      </c>
      <c r="X80" s="1" t="s">
        <v>111</v>
      </c>
      <c r="Y80" s="1"/>
      <c r="Z80" s="1" t="s">
        <v>222</v>
      </c>
      <c r="AA80" s="1" t="s">
        <v>17</v>
      </c>
      <c r="AB80" s="1">
        <v>0</v>
      </c>
      <c r="AC80" s="1" t="s">
        <v>17</v>
      </c>
      <c r="AD80" t="s">
        <v>112</v>
      </c>
      <c r="AE80" t="s">
        <v>113</v>
      </c>
      <c r="AF80" t="s">
        <v>222</v>
      </c>
      <c r="AG80" t="s">
        <v>114</v>
      </c>
      <c r="AH80" t="s">
        <v>837</v>
      </c>
      <c r="AI80" t="s">
        <v>837</v>
      </c>
      <c r="AJ80" t="s">
        <v>17</v>
      </c>
      <c r="AK80" t="s">
        <v>200</v>
      </c>
      <c r="AL80" t="s">
        <v>17</v>
      </c>
      <c r="AM80" t="s">
        <v>117</v>
      </c>
      <c r="AN80" t="s">
        <v>728</v>
      </c>
      <c r="AO80" t="s">
        <v>169</v>
      </c>
      <c r="AP80" t="s">
        <v>119</v>
      </c>
      <c r="AQ80" t="s">
        <v>119</v>
      </c>
      <c r="AR80" t="s">
        <v>728</v>
      </c>
      <c r="AS80" t="s">
        <v>170</v>
      </c>
      <c r="AT80" t="s">
        <v>728</v>
      </c>
    </row>
    <row r="81" spans="1:46">
      <c r="A81" s="1" t="s">
        <v>838</v>
      </c>
      <c r="B81" s="1" t="s">
        <v>839</v>
      </c>
      <c r="C81" s="1" t="s">
        <v>840</v>
      </c>
      <c r="D81" s="1" t="s">
        <v>40</v>
      </c>
      <c r="E81" s="1" t="s">
        <v>124</v>
      </c>
      <c r="F81" s="1" t="s">
        <v>103</v>
      </c>
      <c r="G81" s="1" t="s">
        <v>435</v>
      </c>
      <c r="H81" s="1" t="s">
        <v>841</v>
      </c>
      <c r="I81" s="1" t="s">
        <v>127</v>
      </c>
      <c r="J81" s="1" t="s">
        <v>128</v>
      </c>
      <c r="K81" s="1" t="s">
        <v>129</v>
      </c>
      <c r="L81" s="9">
        <v>-16965</v>
      </c>
      <c r="M81" s="1" t="s">
        <v>103</v>
      </c>
      <c r="N81" s="1" t="s">
        <v>435</v>
      </c>
      <c r="O81" s="1" t="s">
        <v>841</v>
      </c>
      <c r="P81" s="1" t="s">
        <v>127</v>
      </c>
      <c r="Q81" s="1" t="s">
        <v>131</v>
      </c>
      <c r="R81" s="1"/>
      <c r="S81" s="9">
        <v>16965.080000000002</v>
      </c>
      <c r="T81" s="1">
        <v>8.000000000174623E-2</v>
      </c>
      <c r="U81" s="1" t="s">
        <v>146</v>
      </c>
      <c r="V81" s="1" t="s">
        <v>15</v>
      </c>
      <c r="W81" s="1" t="s">
        <v>17</v>
      </c>
      <c r="X81" s="1" t="s">
        <v>111</v>
      </c>
      <c r="Y81" s="1"/>
      <c r="Z81" s="1" t="s">
        <v>842</v>
      </c>
      <c r="AA81" s="1" t="s">
        <v>17</v>
      </c>
      <c r="AB81" s="1">
        <v>0</v>
      </c>
      <c r="AC81" s="1" t="s">
        <v>17</v>
      </c>
      <c r="AD81" t="s">
        <v>112</v>
      </c>
      <c r="AE81" t="s">
        <v>113</v>
      </c>
      <c r="AF81" t="s">
        <v>843</v>
      </c>
      <c r="AG81" t="s">
        <v>114</v>
      </c>
      <c r="AH81" t="s">
        <v>841</v>
      </c>
      <c r="AI81" t="s">
        <v>841</v>
      </c>
      <c r="AJ81" t="s">
        <v>149</v>
      </c>
      <c r="AK81" t="s">
        <v>116</v>
      </c>
      <c r="AL81" t="s">
        <v>137</v>
      </c>
      <c r="AM81" t="s">
        <v>117</v>
      </c>
      <c r="AN81" t="s">
        <v>534</v>
      </c>
      <c r="AO81" t="s">
        <v>532</v>
      </c>
      <c r="AP81" t="s">
        <v>119</v>
      </c>
      <c r="AQ81" t="s">
        <v>119</v>
      </c>
      <c r="AR81" t="s">
        <v>534</v>
      </c>
      <c r="AS81" t="s">
        <v>533</v>
      </c>
      <c r="AT81" t="s">
        <v>435</v>
      </c>
    </row>
    <row r="82" spans="1:46">
      <c r="A82" s="1" t="s">
        <v>844</v>
      </c>
      <c r="B82" s="1" t="s">
        <v>845</v>
      </c>
      <c r="C82" s="1" t="s">
        <v>846</v>
      </c>
      <c r="D82" s="1" t="s">
        <v>101</v>
      </c>
      <c r="E82" s="1" t="s">
        <v>124</v>
      </c>
      <c r="F82" s="1" t="s">
        <v>103</v>
      </c>
      <c r="G82" s="1" t="s">
        <v>204</v>
      </c>
      <c r="H82" s="1" t="s">
        <v>847</v>
      </c>
      <c r="I82" s="1" t="s">
        <v>127</v>
      </c>
      <c r="J82" s="1" t="s">
        <v>128</v>
      </c>
      <c r="K82" s="1" t="s">
        <v>129</v>
      </c>
      <c r="L82" s="9">
        <v>-17802.84</v>
      </c>
      <c r="M82" s="1" t="s">
        <v>103</v>
      </c>
      <c r="N82" s="1" t="s">
        <v>204</v>
      </c>
      <c r="O82" s="1" t="s">
        <v>847</v>
      </c>
      <c r="P82" s="1" t="s">
        <v>127</v>
      </c>
      <c r="Q82" s="1" t="s">
        <v>131</v>
      </c>
      <c r="R82" s="1"/>
      <c r="S82" s="9">
        <v>17802.84</v>
      </c>
      <c r="T82" s="1">
        <v>0</v>
      </c>
      <c r="U82" s="1" t="s">
        <v>132</v>
      </c>
      <c r="V82" s="1" t="s">
        <v>15</v>
      </c>
      <c r="W82" s="1" t="s">
        <v>17</v>
      </c>
      <c r="X82" s="1" t="s">
        <v>111</v>
      </c>
      <c r="Y82" s="1"/>
      <c r="Z82" s="1" t="s">
        <v>618</v>
      </c>
      <c r="AA82" s="1" t="s">
        <v>17</v>
      </c>
      <c r="AB82" s="1">
        <v>0</v>
      </c>
      <c r="AC82" s="1" t="s">
        <v>17</v>
      </c>
      <c r="AD82" t="s">
        <v>112</v>
      </c>
      <c r="AE82" t="s">
        <v>113</v>
      </c>
      <c r="AF82" t="s">
        <v>848</v>
      </c>
      <c r="AG82" t="s">
        <v>114</v>
      </c>
      <c r="AH82" t="s">
        <v>847</v>
      </c>
      <c r="AI82" t="s">
        <v>847</v>
      </c>
      <c r="AJ82" t="s">
        <v>135</v>
      </c>
      <c r="AK82" t="s">
        <v>136</v>
      </c>
      <c r="AL82" t="s">
        <v>137</v>
      </c>
      <c r="AM82" t="s">
        <v>117</v>
      </c>
      <c r="AN82" t="s">
        <v>849</v>
      </c>
      <c r="AO82" t="s">
        <v>288</v>
      </c>
      <c r="AP82" t="s">
        <v>119</v>
      </c>
      <c r="AQ82" t="s">
        <v>119</v>
      </c>
      <c r="AR82" t="s">
        <v>849</v>
      </c>
      <c r="AS82" t="s">
        <v>289</v>
      </c>
      <c r="AT82" t="s">
        <v>850</v>
      </c>
    </row>
    <row r="83" spans="1:46">
      <c r="A83" s="1" t="s">
        <v>851</v>
      </c>
      <c r="B83" s="1" t="s">
        <v>852</v>
      </c>
      <c r="C83" s="1" t="s">
        <v>853</v>
      </c>
      <c r="D83" s="1" t="s">
        <v>101</v>
      </c>
      <c r="E83" s="1" t="s">
        <v>102</v>
      </c>
      <c r="F83" s="1" t="s">
        <v>103</v>
      </c>
      <c r="G83" s="1" t="s">
        <v>703</v>
      </c>
      <c r="H83" s="1" t="s">
        <v>854</v>
      </c>
      <c r="I83" s="1" t="s">
        <v>106</v>
      </c>
      <c r="J83" s="1" t="s">
        <v>107</v>
      </c>
      <c r="K83" s="1"/>
      <c r="L83" s="9">
        <v>25761.759999999998</v>
      </c>
      <c r="M83" s="1" t="s">
        <v>103</v>
      </c>
      <c r="N83" s="1" t="s">
        <v>703</v>
      </c>
      <c r="O83" s="1"/>
      <c r="P83" s="1" t="s">
        <v>106</v>
      </c>
      <c r="Q83" s="1" t="s">
        <v>108</v>
      </c>
      <c r="R83" s="1" t="s">
        <v>109</v>
      </c>
      <c r="S83" s="9">
        <v>-25761.759999999998</v>
      </c>
      <c r="T83" s="1">
        <v>0</v>
      </c>
      <c r="U83" s="1" t="s">
        <v>110</v>
      </c>
      <c r="V83" s="1" t="s">
        <v>15</v>
      </c>
      <c r="W83" s="1" t="s">
        <v>17</v>
      </c>
      <c r="X83" s="1" t="s">
        <v>111</v>
      </c>
      <c r="Y83" s="1"/>
      <c r="Z83" s="1" t="s">
        <v>854</v>
      </c>
      <c r="AA83" s="1" t="s">
        <v>17</v>
      </c>
      <c r="AB83" s="1">
        <v>0</v>
      </c>
      <c r="AC83" s="1" t="s">
        <v>17</v>
      </c>
      <c r="AD83" t="s">
        <v>112</v>
      </c>
      <c r="AE83" t="s">
        <v>113</v>
      </c>
      <c r="AF83" t="s">
        <v>854</v>
      </c>
      <c r="AG83" t="s">
        <v>114</v>
      </c>
      <c r="AH83" t="s">
        <v>855</v>
      </c>
      <c r="AI83" t="s">
        <v>855</v>
      </c>
      <c r="AJ83" t="s">
        <v>17</v>
      </c>
      <c r="AK83" t="s">
        <v>116</v>
      </c>
      <c r="AL83" t="s">
        <v>17</v>
      </c>
      <c r="AM83" t="s">
        <v>117</v>
      </c>
      <c r="AN83" t="s">
        <v>703</v>
      </c>
      <c r="AO83" t="s">
        <v>856</v>
      </c>
      <c r="AP83" t="s">
        <v>119</v>
      </c>
      <c r="AQ83" t="s">
        <v>119</v>
      </c>
      <c r="AR83" t="s">
        <v>703</v>
      </c>
      <c r="AS83" t="s">
        <v>857</v>
      </c>
      <c r="AT83" t="s">
        <v>703</v>
      </c>
    </row>
    <row r="84" spans="1:46">
      <c r="A84" s="1" t="s">
        <v>858</v>
      </c>
      <c r="B84" s="1" t="s">
        <v>859</v>
      </c>
      <c r="C84" s="1" t="s">
        <v>860</v>
      </c>
      <c r="D84" s="1" t="s">
        <v>101</v>
      </c>
      <c r="E84" s="1" t="s">
        <v>124</v>
      </c>
      <c r="F84" s="1" t="s">
        <v>103</v>
      </c>
      <c r="G84" s="1" t="s">
        <v>861</v>
      </c>
      <c r="H84" s="1" t="s">
        <v>862</v>
      </c>
      <c r="I84" s="1" t="s">
        <v>127</v>
      </c>
      <c r="J84" s="1" t="s">
        <v>128</v>
      </c>
      <c r="K84" s="1" t="s">
        <v>253</v>
      </c>
      <c r="L84" s="9">
        <v>-34190.879999999997</v>
      </c>
      <c r="M84" s="1" t="s">
        <v>103</v>
      </c>
      <c r="N84" s="1" t="s">
        <v>861</v>
      </c>
      <c r="O84" s="1" t="s">
        <v>862</v>
      </c>
      <c r="P84" s="1" t="s">
        <v>127</v>
      </c>
      <c r="Q84" s="1" t="s">
        <v>131</v>
      </c>
      <c r="R84" s="1"/>
      <c r="S84" s="9">
        <v>34190.879999999997</v>
      </c>
      <c r="T84" s="1">
        <v>0</v>
      </c>
      <c r="U84" s="1" t="s">
        <v>132</v>
      </c>
      <c r="V84" s="1" t="s">
        <v>15</v>
      </c>
      <c r="W84" s="1" t="s">
        <v>17</v>
      </c>
      <c r="X84" s="1" t="s">
        <v>111</v>
      </c>
      <c r="Y84" s="1"/>
      <c r="Z84" s="1" t="s">
        <v>863</v>
      </c>
      <c r="AA84" s="1" t="s">
        <v>17</v>
      </c>
      <c r="AB84" s="1">
        <v>0</v>
      </c>
      <c r="AC84" s="1" t="s">
        <v>17</v>
      </c>
      <c r="AD84" t="s">
        <v>112</v>
      </c>
      <c r="AE84" t="s">
        <v>231</v>
      </c>
      <c r="AF84" t="s">
        <v>864</v>
      </c>
      <c r="AG84" t="s">
        <v>114</v>
      </c>
      <c r="AH84" t="s">
        <v>862</v>
      </c>
      <c r="AI84" t="s">
        <v>862</v>
      </c>
      <c r="AJ84" t="s">
        <v>135</v>
      </c>
      <c r="AK84" t="s">
        <v>233</v>
      </c>
      <c r="AL84" t="s">
        <v>137</v>
      </c>
      <c r="AM84" t="s">
        <v>117</v>
      </c>
      <c r="AN84" t="s">
        <v>228</v>
      </c>
      <c r="AO84" t="s">
        <v>865</v>
      </c>
      <c r="AP84" t="s">
        <v>119</v>
      </c>
      <c r="AQ84" t="s">
        <v>119</v>
      </c>
      <c r="AR84" t="s">
        <v>228</v>
      </c>
      <c r="AS84" t="s">
        <v>866</v>
      </c>
      <c r="AT84" t="s">
        <v>867</v>
      </c>
    </row>
    <row r="85" spans="1:46">
      <c r="A85" s="1" t="s">
        <v>868</v>
      </c>
      <c r="B85" s="1" t="s">
        <v>869</v>
      </c>
      <c r="C85" s="1" t="s">
        <v>870</v>
      </c>
      <c r="D85" s="1" t="s">
        <v>101</v>
      </c>
      <c r="E85" s="1" t="s">
        <v>124</v>
      </c>
      <c r="F85" s="1" t="s">
        <v>103</v>
      </c>
      <c r="G85" s="1" t="s">
        <v>871</v>
      </c>
      <c r="H85" s="1" t="s">
        <v>872</v>
      </c>
      <c r="I85" s="1" t="s">
        <v>127</v>
      </c>
      <c r="J85" s="1" t="s">
        <v>128</v>
      </c>
      <c r="K85" s="1" t="s">
        <v>129</v>
      </c>
      <c r="L85" s="9">
        <v>-16755.62</v>
      </c>
      <c r="M85" s="1" t="s">
        <v>103</v>
      </c>
      <c r="N85" s="1" t="s">
        <v>871</v>
      </c>
      <c r="O85" s="1" t="s">
        <v>872</v>
      </c>
      <c r="P85" s="1" t="s">
        <v>127</v>
      </c>
      <c r="Q85" s="1" t="s">
        <v>131</v>
      </c>
      <c r="R85" s="1"/>
      <c r="S85" s="9">
        <v>16755.62</v>
      </c>
      <c r="T85" s="1">
        <v>0</v>
      </c>
      <c r="U85" s="1" t="s">
        <v>132</v>
      </c>
      <c r="V85" s="1" t="s">
        <v>15</v>
      </c>
      <c r="W85" s="1" t="s">
        <v>17</v>
      </c>
      <c r="X85" s="1" t="s">
        <v>111</v>
      </c>
      <c r="Y85" s="1"/>
      <c r="Z85" s="1" t="s">
        <v>873</v>
      </c>
      <c r="AA85" s="1" t="s">
        <v>17</v>
      </c>
      <c r="AB85" s="1">
        <v>0</v>
      </c>
      <c r="AC85" s="1" t="s">
        <v>17</v>
      </c>
      <c r="AD85" t="s">
        <v>112</v>
      </c>
      <c r="AE85" t="s">
        <v>113</v>
      </c>
      <c r="AF85" t="s">
        <v>874</v>
      </c>
      <c r="AG85" t="s">
        <v>114</v>
      </c>
      <c r="AH85" t="s">
        <v>872</v>
      </c>
      <c r="AI85" t="s">
        <v>872</v>
      </c>
      <c r="AJ85" t="s">
        <v>135</v>
      </c>
      <c r="AK85" t="s">
        <v>663</v>
      </c>
      <c r="AL85" t="s">
        <v>137</v>
      </c>
      <c r="AM85" t="s">
        <v>117</v>
      </c>
      <c r="AN85" t="s">
        <v>875</v>
      </c>
      <c r="AO85" t="s">
        <v>681</v>
      </c>
      <c r="AP85" t="s">
        <v>119</v>
      </c>
      <c r="AQ85" t="s">
        <v>119</v>
      </c>
      <c r="AR85" t="s">
        <v>875</v>
      </c>
      <c r="AS85" t="s">
        <v>682</v>
      </c>
      <c r="AT85" t="s">
        <v>871</v>
      </c>
    </row>
    <row r="86" spans="1:46">
      <c r="A86" s="1" t="s">
        <v>876</v>
      </c>
      <c r="B86" s="1" t="s">
        <v>877</v>
      </c>
      <c r="C86" s="1" t="s">
        <v>878</v>
      </c>
      <c r="D86" s="1" t="s">
        <v>101</v>
      </c>
      <c r="E86" s="1" t="s">
        <v>124</v>
      </c>
      <c r="F86" s="1" t="s">
        <v>103</v>
      </c>
      <c r="G86" s="1" t="s">
        <v>564</v>
      </c>
      <c r="H86" s="1" t="s">
        <v>879</v>
      </c>
      <c r="I86" s="1" t="s">
        <v>127</v>
      </c>
      <c r="J86" s="1" t="s">
        <v>128</v>
      </c>
      <c r="K86" s="1" t="s">
        <v>129</v>
      </c>
      <c r="L86" s="9">
        <v>-17383.97</v>
      </c>
      <c r="M86" s="1" t="s">
        <v>103</v>
      </c>
      <c r="N86" s="1" t="s">
        <v>880</v>
      </c>
      <c r="O86" s="1" t="s">
        <v>879</v>
      </c>
      <c r="P86" s="1" t="s">
        <v>127</v>
      </c>
      <c r="Q86" s="1" t="s">
        <v>131</v>
      </c>
      <c r="R86" s="1"/>
      <c r="S86" s="9">
        <v>17383.97</v>
      </c>
      <c r="T86" s="1">
        <v>0</v>
      </c>
      <c r="U86" s="1" t="s">
        <v>132</v>
      </c>
      <c r="V86" s="1" t="s">
        <v>15</v>
      </c>
      <c r="W86" s="1" t="s">
        <v>17</v>
      </c>
      <c r="X86" s="1" t="s">
        <v>111</v>
      </c>
      <c r="Y86" s="1"/>
      <c r="Z86" s="1" t="s">
        <v>565</v>
      </c>
      <c r="AA86" s="1" t="s">
        <v>17</v>
      </c>
      <c r="AB86" s="1">
        <v>0</v>
      </c>
      <c r="AC86" s="1" t="s">
        <v>17</v>
      </c>
      <c r="AD86" t="s">
        <v>112</v>
      </c>
      <c r="AE86" t="s">
        <v>113</v>
      </c>
      <c r="AF86" t="s">
        <v>881</v>
      </c>
      <c r="AG86" t="s">
        <v>114</v>
      </c>
      <c r="AH86" t="s">
        <v>879</v>
      </c>
      <c r="AI86" t="s">
        <v>879</v>
      </c>
      <c r="AJ86" t="s">
        <v>135</v>
      </c>
      <c r="AK86" t="s">
        <v>136</v>
      </c>
      <c r="AL86" t="s">
        <v>137</v>
      </c>
      <c r="AM86" t="s">
        <v>117</v>
      </c>
      <c r="AN86" t="s">
        <v>221</v>
      </c>
      <c r="AO86" t="s">
        <v>882</v>
      </c>
      <c r="AP86" t="s">
        <v>119</v>
      </c>
      <c r="AQ86" t="s">
        <v>119</v>
      </c>
      <c r="AR86" t="s">
        <v>221</v>
      </c>
      <c r="AS86" t="s">
        <v>883</v>
      </c>
      <c r="AT86" t="s">
        <v>569</v>
      </c>
    </row>
    <row r="87" spans="1:46">
      <c r="A87" s="1" t="s">
        <v>884</v>
      </c>
      <c r="B87" s="1" t="s">
        <v>885</v>
      </c>
      <c r="C87" s="1" t="s">
        <v>886</v>
      </c>
      <c r="D87" s="1" t="s">
        <v>101</v>
      </c>
      <c r="E87" s="1" t="s">
        <v>124</v>
      </c>
      <c r="F87" s="1" t="s">
        <v>103</v>
      </c>
      <c r="G87" s="1" t="s">
        <v>887</v>
      </c>
      <c r="H87" s="1" t="s">
        <v>888</v>
      </c>
      <c r="I87" s="1" t="s">
        <v>127</v>
      </c>
      <c r="J87" s="1" t="s">
        <v>128</v>
      </c>
      <c r="K87" s="1" t="s">
        <v>129</v>
      </c>
      <c r="L87" s="9">
        <v>-16965.080000000002</v>
      </c>
      <c r="M87" s="1" t="s">
        <v>103</v>
      </c>
      <c r="N87" s="1" t="s">
        <v>887</v>
      </c>
      <c r="O87" s="1" t="s">
        <v>888</v>
      </c>
      <c r="P87" s="1" t="s">
        <v>127</v>
      </c>
      <c r="Q87" s="1" t="s">
        <v>131</v>
      </c>
      <c r="R87" s="1"/>
      <c r="S87" s="9">
        <v>16965.080000000002</v>
      </c>
      <c r="T87" s="1">
        <v>0</v>
      </c>
      <c r="U87" s="1" t="s">
        <v>132</v>
      </c>
      <c r="V87" s="1" t="s">
        <v>15</v>
      </c>
      <c r="W87" s="1" t="s">
        <v>17</v>
      </c>
      <c r="X87" s="1" t="s">
        <v>111</v>
      </c>
      <c r="Y87" s="1"/>
      <c r="Z87" s="1" t="s">
        <v>688</v>
      </c>
      <c r="AA87" s="1" t="s">
        <v>17</v>
      </c>
      <c r="AB87" s="1">
        <v>0</v>
      </c>
      <c r="AC87" s="1" t="s">
        <v>17</v>
      </c>
      <c r="AD87" t="s">
        <v>112</v>
      </c>
      <c r="AE87" t="s">
        <v>113</v>
      </c>
      <c r="AF87" t="s">
        <v>889</v>
      </c>
      <c r="AG87" t="s">
        <v>114</v>
      </c>
      <c r="AH87" t="s">
        <v>888</v>
      </c>
      <c r="AI87" t="s">
        <v>888</v>
      </c>
      <c r="AJ87" t="s">
        <v>149</v>
      </c>
      <c r="AK87" t="s">
        <v>116</v>
      </c>
      <c r="AL87" t="s">
        <v>137</v>
      </c>
      <c r="AM87" t="s">
        <v>117</v>
      </c>
      <c r="AN87" t="s">
        <v>690</v>
      </c>
      <c r="AO87" t="s">
        <v>890</v>
      </c>
      <c r="AP87" t="s">
        <v>119</v>
      </c>
      <c r="AQ87" t="s">
        <v>119</v>
      </c>
      <c r="AR87" t="s">
        <v>690</v>
      </c>
      <c r="AS87" t="s">
        <v>891</v>
      </c>
      <c r="AT87" t="s">
        <v>887</v>
      </c>
    </row>
    <row r="88" spans="1:46">
      <c r="A88" s="1" t="s">
        <v>892</v>
      </c>
      <c r="B88" s="1" t="s">
        <v>893</v>
      </c>
      <c r="C88" s="1" t="s">
        <v>894</v>
      </c>
      <c r="D88" s="1" t="s">
        <v>101</v>
      </c>
      <c r="E88" s="1" t="s">
        <v>124</v>
      </c>
      <c r="F88" s="1" t="s">
        <v>103</v>
      </c>
      <c r="G88" s="1" t="s">
        <v>895</v>
      </c>
      <c r="H88" s="1" t="s">
        <v>896</v>
      </c>
      <c r="I88" s="1" t="s">
        <v>127</v>
      </c>
      <c r="J88" s="1" t="s">
        <v>128</v>
      </c>
      <c r="K88" s="1" t="s">
        <v>129</v>
      </c>
      <c r="L88" s="9">
        <v>-15498.94</v>
      </c>
      <c r="M88" s="1" t="s">
        <v>103</v>
      </c>
      <c r="N88" s="1" t="s">
        <v>895</v>
      </c>
      <c r="O88" s="1" t="s">
        <v>896</v>
      </c>
      <c r="P88" s="1" t="s">
        <v>127</v>
      </c>
      <c r="Q88" s="1" t="s">
        <v>131</v>
      </c>
      <c r="R88" s="1"/>
      <c r="S88" s="9">
        <v>15498.94</v>
      </c>
      <c r="T88" s="1">
        <v>0</v>
      </c>
      <c r="U88" s="1" t="s">
        <v>132</v>
      </c>
      <c r="V88" s="1" t="s">
        <v>15</v>
      </c>
      <c r="W88" s="1" t="s">
        <v>17</v>
      </c>
      <c r="X88" s="1" t="s">
        <v>111</v>
      </c>
      <c r="Y88" s="1"/>
      <c r="Z88" s="1" t="s">
        <v>167</v>
      </c>
      <c r="AA88" s="1" t="s">
        <v>17</v>
      </c>
      <c r="AB88" s="1">
        <v>0</v>
      </c>
      <c r="AC88" s="1" t="s">
        <v>17</v>
      </c>
      <c r="AD88" t="s">
        <v>112</v>
      </c>
      <c r="AE88" t="s">
        <v>113</v>
      </c>
      <c r="AF88" t="s">
        <v>897</v>
      </c>
      <c r="AG88" t="s">
        <v>114</v>
      </c>
      <c r="AH88" t="s">
        <v>896</v>
      </c>
      <c r="AI88" t="s">
        <v>896</v>
      </c>
      <c r="AJ88" t="s">
        <v>149</v>
      </c>
      <c r="AK88" t="s">
        <v>116</v>
      </c>
      <c r="AL88" t="s">
        <v>137</v>
      </c>
      <c r="AM88" t="s">
        <v>117</v>
      </c>
      <c r="AN88" t="s">
        <v>690</v>
      </c>
      <c r="AO88" t="s">
        <v>139</v>
      </c>
      <c r="AP88" t="s">
        <v>119</v>
      </c>
      <c r="AQ88" t="s">
        <v>119</v>
      </c>
      <c r="AR88" t="s">
        <v>690</v>
      </c>
      <c r="AS88" t="s">
        <v>140</v>
      </c>
      <c r="AT88" t="s">
        <v>887</v>
      </c>
    </row>
    <row r="89" spans="1:46">
      <c r="A89" s="1" t="s">
        <v>898</v>
      </c>
      <c r="B89" s="1" t="s">
        <v>899</v>
      </c>
      <c r="C89" s="1" t="s">
        <v>900</v>
      </c>
      <c r="D89" s="1" t="s">
        <v>40</v>
      </c>
      <c r="E89" s="1" t="s">
        <v>124</v>
      </c>
      <c r="F89" s="1" t="s">
        <v>103</v>
      </c>
      <c r="G89" s="1" t="s">
        <v>901</v>
      </c>
      <c r="H89" s="1" t="s">
        <v>902</v>
      </c>
      <c r="I89" s="1" t="s">
        <v>127</v>
      </c>
      <c r="J89" s="1" t="s">
        <v>128</v>
      </c>
      <c r="K89" s="1" t="s">
        <v>129</v>
      </c>
      <c r="L89" s="9">
        <v>-10891.16</v>
      </c>
      <c r="M89" s="1" t="s">
        <v>103</v>
      </c>
      <c r="N89" s="1" t="s">
        <v>901</v>
      </c>
      <c r="O89" s="1" t="s">
        <v>902</v>
      </c>
      <c r="P89" s="1" t="s">
        <v>127</v>
      </c>
      <c r="Q89" s="1" t="s">
        <v>131</v>
      </c>
      <c r="R89" s="1"/>
      <c r="S89" s="9">
        <v>10891.15</v>
      </c>
      <c r="T89" s="1">
        <v>-1.0000000000218279E-2</v>
      </c>
      <c r="U89" s="1" t="s">
        <v>146</v>
      </c>
      <c r="V89" s="1" t="s">
        <v>15</v>
      </c>
      <c r="W89" s="1" t="s">
        <v>17</v>
      </c>
      <c r="X89" s="1" t="s">
        <v>111</v>
      </c>
      <c r="Y89" s="1"/>
      <c r="Z89" s="1" t="s">
        <v>903</v>
      </c>
      <c r="AA89" s="1" t="s">
        <v>17</v>
      </c>
      <c r="AB89" s="1">
        <v>0</v>
      </c>
      <c r="AC89" s="1" t="s">
        <v>17</v>
      </c>
      <c r="AD89" t="s">
        <v>112</v>
      </c>
      <c r="AE89" t="s">
        <v>113</v>
      </c>
      <c r="AF89" t="s">
        <v>904</v>
      </c>
      <c r="AG89" t="s">
        <v>114</v>
      </c>
      <c r="AH89" t="s">
        <v>902</v>
      </c>
      <c r="AI89" t="s">
        <v>902</v>
      </c>
      <c r="AJ89" t="s">
        <v>149</v>
      </c>
      <c r="AK89" t="s">
        <v>161</v>
      </c>
      <c r="AL89" t="s">
        <v>137</v>
      </c>
      <c r="AM89" t="s">
        <v>117</v>
      </c>
      <c r="AN89" t="s">
        <v>162</v>
      </c>
      <c r="AO89" t="s">
        <v>905</v>
      </c>
      <c r="AP89" t="s">
        <v>119</v>
      </c>
      <c r="AQ89" t="s">
        <v>119</v>
      </c>
      <c r="AR89" t="s">
        <v>162</v>
      </c>
      <c r="AS89" t="s">
        <v>906</v>
      </c>
      <c r="AT89" t="s">
        <v>901</v>
      </c>
    </row>
    <row r="90" spans="1:46">
      <c r="A90" s="1" t="s">
        <v>907</v>
      </c>
      <c r="B90" s="1" t="s">
        <v>908</v>
      </c>
      <c r="C90" s="1" t="s">
        <v>909</v>
      </c>
      <c r="D90" s="1" t="s">
        <v>101</v>
      </c>
      <c r="E90" s="1" t="s">
        <v>102</v>
      </c>
      <c r="F90" s="1" t="s">
        <v>103</v>
      </c>
      <c r="G90" s="1" t="s">
        <v>151</v>
      </c>
      <c r="H90" s="1" t="s">
        <v>910</v>
      </c>
      <c r="I90" s="1" t="s">
        <v>106</v>
      </c>
      <c r="J90" s="1" t="s">
        <v>107</v>
      </c>
      <c r="K90" s="1"/>
      <c r="L90" s="9">
        <v>16127.29</v>
      </c>
      <c r="M90" s="1" t="s">
        <v>103</v>
      </c>
      <c r="N90" s="1" t="s">
        <v>151</v>
      </c>
      <c r="O90" s="1"/>
      <c r="P90" s="1" t="s">
        <v>106</v>
      </c>
      <c r="Q90" s="1" t="s">
        <v>108</v>
      </c>
      <c r="R90" s="1" t="s">
        <v>109</v>
      </c>
      <c r="S90" s="9">
        <v>-16127.29</v>
      </c>
      <c r="T90" s="1">
        <v>0</v>
      </c>
      <c r="U90" s="1" t="s">
        <v>110</v>
      </c>
      <c r="V90" s="1" t="s">
        <v>15</v>
      </c>
      <c r="W90" s="1" t="s">
        <v>17</v>
      </c>
      <c r="X90" s="1" t="s">
        <v>111</v>
      </c>
      <c r="Y90" s="1"/>
      <c r="Z90" s="1" t="s">
        <v>910</v>
      </c>
      <c r="AA90" s="1" t="s">
        <v>17</v>
      </c>
      <c r="AB90" s="1">
        <v>0</v>
      </c>
      <c r="AC90" s="1" t="s">
        <v>17</v>
      </c>
      <c r="AD90" t="s">
        <v>112</v>
      </c>
      <c r="AE90" t="s">
        <v>113</v>
      </c>
      <c r="AF90" t="s">
        <v>910</v>
      </c>
      <c r="AG90" t="s">
        <v>114</v>
      </c>
      <c r="AH90" t="s">
        <v>911</v>
      </c>
      <c r="AI90" t="s">
        <v>911</v>
      </c>
      <c r="AJ90" t="s">
        <v>17</v>
      </c>
      <c r="AK90" t="s">
        <v>150</v>
      </c>
      <c r="AL90" t="s">
        <v>17</v>
      </c>
      <c r="AM90" t="s">
        <v>117</v>
      </c>
      <c r="AN90" t="s">
        <v>151</v>
      </c>
      <c r="AO90" t="s">
        <v>347</v>
      </c>
      <c r="AP90" t="s">
        <v>119</v>
      </c>
      <c r="AQ90" t="s">
        <v>119</v>
      </c>
      <c r="AR90" t="s">
        <v>151</v>
      </c>
      <c r="AS90" t="s">
        <v>348</v>
      </c>
      <c r="AT90" t="s">
        <v>151</v>
      </c>
    </row>
    <row r="91" spans="1:46">
      <c r="A91" s="1" t="s">
        <v>912</v>
      </c>
      <c r="B91" s="1" t="s">
        <v>913</v>
      </c>
      <c r="C91" s="1" t="s">
        <v>914</v>
      </c>
      <c r="D91" s="1" t="s">
        <v>101</v>
      </c>
      <c r="E91" s="1" t="s">
        <v>124</v>
      </c>
      <c r="F91" s="1" t="s">
        <v>103</v>
      </c>
      <c r="G91" s="1" t="s">
        <v>915</v>
      </c>
      <c r="H91" s="1" t="s">
        <v>916</v>
      </c>
      <c r="I91" s="1" t="s">
        <v>127</v>
      </c>
      <c r="J91" s="1" t="s">
        <v>128</v>
      </c>
      <c r="K91" s="1" t="s">
        <v>129</v>
      </c>
      <c r="L91" s="9">
        <v>-16127.29</v>
      </c>
      <c r="M91" s="1" t="s">
        <v>103</v>
      </c>
      <c r="N91" s="1" t="s">
        <v>915</v>
      </c>
      <c r="O91" s="1" t="s">
        <v>916</v>
      </c>
      <c r="P91" s="1" t="s">
        <v>127</v>
      </c>
      <c r="Q91" s="1" t="s">
        <v>131</v>
      </c>
      <c r="R91" s="1"/>
      <c r="S91" s="9">
        <v>16127.29</v>
      </c>
      <c r="T91" s="1">
        <v>0</v>
      </c>
      <c r="U91" s="1" t="s">
        <v>132</v>
      </c>
      <c r="V91" s="1" t="s">
        <v>15</v>
      </c>
      <c r="W91" s="1" t="s">
        <v>17</v>
      </c>
      <c r="X91" s="1" t="s">
        <v>111</v>
      </c>
      <c r="Y91" s="1"/>
      <c r="Z91" s="1" t="s">
        <v>396</v>
      </c>
      <c r="AA91" s="1" t="s">
        <v>17</v>
      </c>
      <c r="AB91" s="1">
        <v>0</v>
      </c>
      <c r="AC91" s="1" t="s">
        <v>17</v>
      </c>
      <c r="AD91" t="s">
        <v>112</v>
      </c>
      <c r="AE91" t="s">
        <v>113</v>
      </c>
      <c r="AF91" t="s">
        <v>917</v>
      </c>
      <c r="AG91" t="s">
        <v>114</v>
      </c>
      <c r="AH91" t="s">
        <v>916</v>
      </c>
      <c r="AI91" t="s">
        <v>916</v>
      </c>
      <c r="AJ91" t="s">
        <v>135</v>
      </c>
      <c r="AK91" t="s">
        <v>200</v>
      </c>
      <c r="AL91" t="s">
        <v>137</v>
      </c>
      <c r="AM91" t="s">
        <v>117</v>
      </c>
      <c r="AN91" t="s">
        <v>398</v>
      </c>
      <c r="AO91" t="s">
        <v>399</v>
      </c>
      <c r="AP91" t="s">
        <v>119</v>
      </c>
      <c r="AQ91" t="s">
        <v>119</v>
      </c>
      <c r="AR91" t="s">
        <v>400</v>
      </c>
      <c r="AS91" t="s">
        <v>401</v>
      </c>
      <c r="AT91" t="s">
        <v>522</v>
      </c>
    </row>
    <row r="92" spans="1:46">
      <c r="A92" s="1" t="s">
        <v>918</v>
      </c>
      <c r="B92" s="1" t="s">
        <v>919</v>
      </c>
      <c r="C92" s="1" t="s">
        <v>920</v>
      </c>
      <c r="D92" s="1" t="s">
        <v>101</v>
      </c>
      <c r="E92" s="1" t="s">
        <v>124</v>
      </c>
      <c r="F92" s="1" t="s">
        <v>103</v>
      </c>
      <c r="G92" s="1" t="s">
        <v>921</v>
      </c>
      <c r="H92" s="1" t="s">
        <v>922</v>
      </c>
      <c r="I92" s="1" t="s">
        <v>127</v>
      </c>
      <c r="J92" s="1" t="s">
        <v>128</v>
      </c>
      <c r="K92" s="1" t="s">
        <v>129</v>
      </c>
      <c r="L92" s="9">
        <v>-14661.16</v>
      </c>
      <c r="M92" s="1" t="s">
        <v>103</v>
      </c>
      <c r="N92" s="1" t="s">
        <v>921</v>
      </c>
      <c r="O92" s="1" t="s">
        <v>922</v>
      </c>
      <c r="P92" s="1" t="s">
        <v>127</v>
      </c>
      <c r="Q92" s="1" t="s">
        <v>131</v>
      </c>
      <c r="R92" s="1"/>
      <c r="S92" s="9">
        <v>14661.16</v>
      </c>
      <c r="T92" s="1">
        <v>0</v>
      </c>
      <c r="U92" s="1" t="s">
        <v>132</v>
      </c>
      <c r="V92" s="1" t="s">
        <v>15</v>
      </c>
      <c r="W92" s="1" t="s">
        <v>17</v>
      </c>
      <c r="X92" s="1" t="s">
        <v>111</v>
      </c>
      <c r="Y92" s="1"/>
      <c r="Z92" s="1" t="s">
        <v>627</v>
      </c>
      <c r="AA92" s="1" t="s">
        <v>17</v>
      </c>
      <c r="AB92" s="1">
        <v>0</v>
      </c>
      <c r="AC92" s="1" t="s">
        <v>17</v>
      </c>
      <c r="AD92" t="s">
        <v>112</v>
      </c>
      <c r="AE92" t="s">
        <v>113</v>
      </c>
      <c r="AF92" t="s">
        <v>923</v>
      </c>
      <c r="AG92" t="s">
        <v>114</v>
      </c>
      <c r="AH92" t="s">
        <v>922</v>
      </c>
      <c r="AI92" t="s">
        <v>922</v>
      </c>
      <c r="AJ92" t="s">
        <v>149</v>
      </c>
      <c r="AK92" t="s">
        <v>150</v>
      </c>
      <c r="AL92" t="s">
        <v>137</v>
      </c>
      <c r="AM92" t="s">
        <v>117</v>
      </c>
      <c r="AN92" t="s">
        <v>629</v>
      </c>
      <c r="AO92" t="s">
        <v>299</v>
      </c>
      <c r="AP92" t="s">
        <v>119</v>
      </c>
      <c r="AQ92" t="s">
        <v>119</v>
      </c>
      <c r="AR92" t="s">
        <v>629</v>
      </c>
      <c r="AS92" t="s">
        <v>300</v>
      </c>
      <c r="AT92" t="s">
        <v>921</v>
      </c>
    </row>
    <row r="93" spans="1:46">
      <c r="A93" s="1" t="s">
        <v>924</v>
      </c>
      <c r="B93" s="1" t="s">
        <v>925</v>
      </c>
      <c r="C93" s="1" t="s">
        <v>926</v>
      </c>
      <c r="D93" s="1" t="s">
        <v>40</v>
      </c>
      <c r="E93" s="1" t="s">
        <v>124</v>
      </c>
      <c r="F93" s="1" t="s">
        <v>103</v>
      </c>
      <c r="G93" s="1" t="s">
        <v>927</v>
      </c>
      <c r="H93" s="1" t="s">
        <v>928</v>
      </c>
      <c r="I93" s="1" t="s">
        <v>127</v>
      </c>
      <c r="J93" s="1" t="s">
        <v>128</v>
      </c>
      <c r="K93" s="1" t="s">
        <v>129</v>
      </c>
      <c r="L93" s="9">
        <v>-15080</v>
      </c>
      <c r="M93" s="1" t="s">
        <v>103</v>
      </c>
      <c r="N93" s="1" t="s">
        <v>927</v>
      </c>
      <c r="O93" s="1" t="s">
        <v>928</v>
      </c>
      <c r="P93" s="1" t="s">
        <v>127</v>
      </c>
      <c r="Q93" s="1" t="s">
        <v>131</v>
      </c>
      <c r="R93" s="1"/>
      <c r="S93" s="9">
        <v>15080.05</v>
      </c>
      <c r="T93" s="1">
        <v>4.9999999999272404E-2</v>
      </c>
      <c r="U93" s="1" t="s">
        <v>146</v>
      </c>
      <c r="V93" s="1" t="s">
        <v>15</v>
      </c>
      <c r="W93" s="1" t="s">
        <v>17</v>
      </c>
      <c r="X93" s="1" t="s">
        <v>111</v>
      </c>
      <c r="Y93" s="1"/>
      <c r="Z93" s="1" t="s">
        <v>354</v>
      </c>
      <c r="AA93" s="1" t="s">
        <v>17</v>
      </c>
      <c r="AB93" s="1">
        <v>0</v>
      </c>
      <c r="AC93" s="1" t="s">
        <v>17</v>
      </c>
      <c r="AD93" t="s">
        <v>112</v>
      </c>
      <c r="AE93" t="s">
        <v>113</v>
      </c>
      <c r="AF93" t="s">
        <v>929</v>
      </c>
      <c r="AG93" t="s">
        <v>114</v>
      </c>
      <c r="AH93" t="s">
        <v>928</v>
      </c>
      <c r="AI93" t="s">
        <v>928</v>
      </c>
      <c r="AJ93" t="s">
        <v>135</v>
      </c>
      <c r="AK93" t="s">
        <v>663</v>
      </c>
      <c r="AL93" t="s">
        <v>137</v>
      </c>
      <c r="AM93" t="s">
        <v>117</v>
      </c>
      <c r="AN93" t="s">
        <v>930</v>
      </c>
      <c r="AO93" t="s">
        <v>501</v>
      </c>
      <c r="AP93" t="s">
        <v>119</v>
      </c>
      <c r="AQ93" t="s">
        <v>119</v>
      </c>
      <c r="AR93" t="s">
        <v>930</v>
      </c>
      <c r="AS93" t="s">
        <v>502</v>
      </c>
      <c r="AT93" t="s">
        <v>931</v>
      </c>
    </row>
    <row r="94" spans="1:46">
      <c r="A94" s="1" t="s">
        <v>932</v>
      </c>
      <c r="B94" s="1" t="s">
        <v>933</v>
      </c>
      <c r="C94" s="1" t="s">
        <v>934</v>
      </c>
      <c r="D94" s="1" t="s">
        <v>101</v>
      </c>
      <c r="E94" s="1" t="s">
        <v>352</v>
      </c>
      <c r="F94" s="1" t="s">
        <v>103</v>
      </c>
      <c r="G94" s="1" t="s">
        <v>420</v>
      </c>
      <c r="H94" s="1" t="s">
        <v>935</v>
      </c>
      <c r="I94" s="1" t="s">
        <v>106</v>
      </c>
      <c r="J94" s="1" t="s">
        <v>107</v>
      </c>
      <c r="K94" s="1"/>
      <c r="L94" s="9">
        <v>61574</v>
      </c>
      <c r="M94" s="1" t="s">
        <v>103</v>
      </c>
      <c r="N94" s="1" t="s">
        <v>416</v>
      </c>
      <c r="O94" s="1"/>
      <c r="P94" s="1" t="s">
        <v>106</v>
      </c>
      <c r="Q94" s="1" t="s">
        <v>108</v>
      </c>
      <c r="R94" s="1" t="s">
        <v>109</v>
      </c>
      <c r="S94" s="9">
        <v>-61574</v>
      </c>
      <c r="T94" s="1">
        <v>0</v>
      </c>
      <c r="U94" s="1" t="s">
        <v>356</v>
      </c>
      <c r="V94" s="1" t="s">
        <v>15</v>
      </c>
      <c r="W94" s="1" t="s">
        <v>17</v>
      </c>
      <c r="X94" s="1" t="s">
        <v>111</v>
      </c>
      <c r="Y94" s="1"/>
      <c r="Z94" s="1" t="s">
        <v>935</v>
      </c>
      <c r="AA94" s="1" t="s">
        <v>17</v>
      </c>
      <c r="AB94" s="1">
        <v>0</v>
      </c>
      <c r="AC94" s="1" t="s">
        <v>17</v>
      </c>
      <c r="AD94" t="s">
        <v>112</v>
      </c>
      <c r="AE94" t="s">
        <v>113</v>
      </c>
      <c r="AF94" t="s">
        <v>935</v>
      </c>
      <c r="AG94" t="s">
        <v>114</v>
      </c>
      <c r="AH94" t="s">
        <v>936</v>
      </c>
      <c r="AI94" t="s">
        <v>936</v>
      </c>
      <c r="AJ94" t="s">
        <v>17</v>
      </c>
      <c r="AK94" t="s">
        <v>308</v>
      </c>
      <c r="AL94" t="s">
        <v>17</v>
      </c>
      <c r="AM94" t="s">
        <v>117</v>
      </c>
      <c r="AN94" t="s">
        <v>420</v>
      </c>
      <c r="AO94" t="s">
        <v>937</v>
      </c>
      <c r="AP94" t="s">
        <v>119</v>
      </c>
      <c r="AQ94" t="s">
        <v>119</v>
      </c>
      <c r="AR94" t="s">
        <v>420</v>
      </c>
      <c r="AS94" t="s">
        <v>938</v>
      </c>
      <c r="AT94" t="s">
        <v>420</v>
      </c>
    </row>
    <row r="95" spans="1:46">
      <c r="A95" s="1" t="s">
        <v>939</v>
      </c>
      <c r="B95" s="1" t="s">
        <v>940</v>
      </c>
      <c r="C95" s="1" t="s">
        <v>941</v>
      </c>
      <c r="D95" s="1" t="s">
        <v>40</v>
      </c>
      <c r="E95" s="1" t="s">
        <v>124</v>
      </c>
      <c r="F95" s="1" t="s">
        <v>103</v>
      </c>
      <c r="G95" s="1" t="s">
        <v>942</v>
      </c>
      <c r="H95" s="1" t="s">
        <v>943</v>
      </c>
      <c r="I95" s="1" t="s">
        <v>127</v>
      </c>
      <c r="J95" s="1" t="s">
        <v>128</v>
      </c>
      <c r="K95" s="1" t="s">
        <v>129</v>
      </c>
      <c r="L95" s="9">
        <v>-15498</v>
      </c>
      <c r="M95" s="1" t="s">
        <v>103</v>
      </c>
      <c r="N95" s="1" t="s">
        <v>942</v>
      </c>
      <c r="O95" s="1" t="s">
        <v>943</v>
      </c>
      <c r="P95" s="1" t="s">
        <v>127</v>
      </c>
      <c r="Q95" s="1" t="s">
        <v>131</v>
      </c>
      <c r="R95" s="1"/>
      <c r="S95" s="9">
        <v>15498.94</v>
      </c>
      <c r="T95" s="1">
        <v>0.94000000000050932</v>
      </c>
      <c r="U95" s="1" t="s">
        <v>146</v>
      </c>
      <c r="V95" s="1" t="s">
        <v>15</v>
      </c>
      <c r="W95" s="1" t="s">
        <v>17</v>
      </c>
      <c r="X95" s="1" t="s">
        <v>111</v>
      </c>
      <c r="Y95" s="1"/>
      <c r="Z95" s="1" t="s">
        <v>436</v>
      </c>
      <c r="AA95" s="1" t="s">
        <v>17</v>
      </c>
      <c r="AB95" s="1">
        <v>0</v>
      </c>
      <c r="AC95" s="1" t="s">
        <v>17</v>
      </c>
      <c r="AD95" t="s">
        <v>112</v>
      </c>
      <c r="AE95" t="s">
        <v>113</v>
      </c>
      <c r="AF95" t="s">
        <v>944</v>
      </c>
      <c r="AG95" t="s">
        <v>114</v>
      </c>
      <c r="AH95" t="s">
        <v>943</v>
      </c>
      <c r="AI95" t="s">
        <v>943</v>
      </c>
      <c r="AJ95" t="s">
        <v>149</v>
      </c>
      <c r="AK95" t="s">
        <v>189</v>
      </c>
      <c r="AL95" t="s">
        <v>137</v>
      </c>
      <c r="AM95" t="s">
        <v>117</v>
      </c>
      <c r="AN95" t="s">
        <v>511</v>
      </c>
      <c r="AO95" t="s">
        <v>665</v>
      </c>
      <c r="AP95" t="s">
        <v>119</v>
      </c>
      <c r="AQ95" t="s">
        <v>119</v>
      </c>
      <c r="AR95" t="s">
        <v>511</v>
      </c>
      <c r="AS95" t="s">
        <v>666</v>
      </c>
      <c r="AT95" t="s">
        <v>945</v>
      </c>
    </row>
    <row r="96" spans="1:46">
      <c r="A96" s="1" t="s">
        <v>946</v>
      </c>
      <c r="B96" s="1" t="s">
        <v>947</v>
      </c>
      <c r="C96" s="1" t="s">
        <v>948</v>
      </c>
      <c r="D96" s="1" t="s">
        <v>101</v>
      </c>
      <c r="E96" s="1" t="s">
        <v>124</v>
      </c>
      <c r="F96" s="1" t="s">
        <v>103</v>
      </c>
      <c r="G96" s="1" t="s">
        <v>395</v>
      </c>
      <c r="H96" s="1" t="s">
        <v>949</v>
      </c>
      <c r="I96" s="1" t="s">
        <v>127</v>
      </c>
      <c r="J96" s="1" t="s">
        <v>128</v>
      </c>
      <c r="K96" s="1" t="s">
        <v>129</v>
      </c>
      <c r="L96" s="9">
        <v>-18012.3</v>
      </c>
      <c r="M96" s="1" t="s">
        <v>103</v>
      </c>
      <c r="N96" s="1" t="s">
        <v>454</v>
      </c>
      <c r="O96" s="1" t="s">
        <v>949</v>
      </c>
      <c r="P96" s="1" t="s">
        <v>127</v>
      </c>
      <c r="Q96" s="1" t="s">
        <v>131</v>
      </c>
      <c r="R96" s="1"/>
      <c r="S96" s="9">
        <v>18012.3</v>
      </c>
      <c r="T96" s="1">
        <v>0</v>
      </c>
      <c r="U96" s="1" t="s">
        <v>132</v>
      </c>
      <c r="V96" s="1" t="s">
        <v>15</v>
      </c>
      <c r="W96" s="1" t="s">
        <v>17</v>
      </c>
      <c r="X96" s="1" t="s">
        <v>111</v>
      </c>
      <c r="Y96" s="1"/>
      <c r="Z96" s="1" t="s">
        <v>671</v>
      </c>
      <c r="AA96" s="1" t="s">
        <v>17</v>
      </c>
      <c r="AB96" s="1">
        <v>0</v>
      </c>
      <c r="AC96" s="1" t="s">
        <v>17</v>
      </c>
      <c r="AD96" t="s">
        <v>112</v>
      </c>
      <c r="AE96" t="s">
        <v>113</v>
      </c>
      <c r="AF96" t="s">
        <v>950</v>
      </c>
      <c r="AG96" t="s">
        <v>114</v>
      </c>
      <c r="AH96" t="s">
        <v>949</v>
      </c>
      <c r="AI96" t="s">
        <v>949</v>
      </c>
      <c r="AJ96" t="s">
        <v>135</v>
      </c>
      <c r="AK96" t="s">
        <v>257</v>
      </c>
      <c r="AL96" t="s">
        <v>137</v>
      </c>
      <c r="AM96" t="s">
        <v>117</v>
      </c>
      <c r="AN96" t="s">
        <v>673</v>
      </c>
      <c r="AO96" t="s">
        <v>951</v>
      </c>
      <c r="AP96" t="s">
        <v>119</v>
      </c>
      <c r="AQ96" t="s">
        <v>119</v>
      </c>
      <c r="AR96" t="s">
        <v>673</v>
      </c>
      <c r="AS96" t="s">
        <v>952</v>
      </c>
      <c r="AT96" t="s">
        <v>454</v>
      </c>
    </row>
    <row r="97" spans="1:46">
      <c r="A97" s="1" t="s">
        <v>953</v>
      </c>
      <c r="B97" s="1" t="s">
        <v>954</v>
      </c>
      <c r="C97" s="1" t="s">
        <v>955</v>
      </c>
      <c r="D97" s="1" t="s">
        <v>101</v>
      </c>
      <c r="E97" s="1" t="s">
        <v>124</v>
      </c>
      <c r="F97" s="1" t="s">
        <v>103</v>
      </c>
      <c r="G97" s="1" t="s">
        <v>956</v>
      </c>
      <c r="H97" s="1" t="s">
        <v>957</v>
      </c>
      <c r="I97" s="1" t="s">
        <v>127</v>
      </c>
      <c r="J97" s="1" t="s">
        <v>128</v>
      </c>
      <c r="K97" s="1" t="s">
        <v>129</v>
      </c>
      <c r="L97" s="9">
        <v>-15498.94</v>
      </c>
      <c r="M97" s="1" t="s">
        <v>103</v>
      </c>
      <c r="N97" s="1" t="s">
        <v>958</v>
      </c>
      <c r="O97" s="1" t="s">
        <v>957</v>
      </c>
      <c r="P97" s="1" t="s">
        <v>127</v>
      </c>
      <c r="Q97" s="1" t="s">
        <v>131</v>
      </c>
      <c r="R97" s="1"/>
      <c r="S97" s="9">
        <v>15498.94</v>
      </c>
      <c r="T97" s="1">
        <v>0</v>
      </c>
      <c r="U97" s="1" t="s">
        <v>132</v>
      </c>
      <c r="V97" s="1" t="s">
        <v>15</v>
      </c>
      <c r="W97" s="1" t="s">
        <v>17</v>
      </c>
      <c r="X97" s="1" t="s">
        <v>111</v>
      </c>
      <c r="Y97" s="1"/>
      <c r="Z97" s="1" t="s">
        <v>959</v>
      </c>
      <c r="AA97" s="1" t="s">
        <v>17</v>
      </c>
      <c r="AB97" s="1">
        <v>0</v>
      </c>
      <c r="AC97" s="1" t="s">
        <v>17</v>
      </c>
      <c r="AD97" t="s">
        <v>112</v>
      </c>
      <c r="AE97" t="s">
        <v>113</v>
      </c>
      <c r="AF97" t="s">
        <v>960</v>
      </c>
      <c r="AG97" t="s">
        <v>114</v>
      </c>
      <c r="AH97" t="s">
        <v>957</v>
      </c>
      <c r="AI97" t="s">
        <v>957</v>
      </c>
      <c r="AJ97" t="s">
        <v>135</v>
      </c>
      <c r="AK97" t="s">
        <v>257</v>
      </c>
      <c r="AL97" t="s">
        <v>137</v>
      </c>
      <c r="AM97" t="s">
        <v>117</v>
      </c>
      <c r="AN97" t="s">
        <v>341</v>
      </c>
      <c r="AO97" t="s">
        <v>139</v>
      </c>
      <c r="AP97" t="s">
        <v>119</v>
      </c>
      <c r="AQ97" t="s">
        <v>119</v>
      </c>
      <c r="AR97" t="s">
        <v>341</v>
      </c>
      <c r="AS97" t="s">
        <v>140</v>
      </c>
      <c r="AT97" t="s">
        <v>541</v>
      </c>
    </row>
    <row r="98" spans="1:46">
      <c r="A98" s="1" t="s">
        <v>961</v>
      </c>
      <c r="B98" s="1" t="s">
        <v>962</v>
      </c>
      <c r="C98" s="1" t="s">
        <v>963</v>
      </c>
      <c r="D98" s="1" t="s">
        <v>101</v>
      </c>
      <c r="E98" s="1" t="s">
        <v>102</v>
      </c>
      <c r="F98" s="1" t="s">
        <v>103</v>
      </c>
      <c r="G98" s="1" t="s">
        <v>964</v>
      </c>
      <c r="H98" s="1" t="s">
        <v>965</v>
      </c>
      <c r="I98" s="1" t="s">
        <v>106</v>
      </c>
      <c r="J98" s="1" t="s">
        <v>107</v>
      </c>
      <c r="K98" s="1"/>
      <c r="L98" s="9">
        <v>15289.51</v>
      </c>
      <c r="M98" s="1" t="s">
        <v>103</v>
      </c>
      <c r="N98" s="1" t="s">
        <v>964</v>
      </c>
      <c r="O98" s="1"/>
      <c r="P98" s="1" t="s">
        <v>106</v>
      </c>
      <c r="Q98" s="1" t="s">
        <v>108</v>
      </c>
      <c r="R98" s="1" t="s">
        <v>109</v>
      </c>
      <c r="S98" s="9">
        <v>-15289.51</v>
      </c>
      <c r="T98" s="1">
        <v>0</v>
      </c>
      <c r="U98" s="1" t="s">
        <v>110</v>
      </c>
      <c r="V98" s="1" t="s">
        <v>15</v>
      </c>
      <c r="W98" s="1" t="s">
        <v>17</v>
      </c>
      <c r="X98" s="1" t="s">
        <v>111</v>
      </c>
      <c r="Y98" s="1"/>
      <c r="Z98" s="1" t="s">
        <v>965</v>
      </c>
      <c r="AA98" s="1" t="s">
        <v>17</v>
      </c>
      <c r="AB98" s="1">
        <v>0</v>
      </c>
      <c r="AC98" s="1" t="s">
        <v>17</v>
      </c>
      <c r="AD98" t="s">
        <v>112</v>
      </c>
      <c r="AE98" t="s">
        <v>113</v>
      </c>
      <c r="AF98" t="s">
        <v>965</v>
      </c>
      <c r="AG98" t="s">
        <v>487</v>
      </c>
      <c r="AH98" t="s">
        <v>966</v>
      </c>
      <c r="AI98" t="s">
        <v>966</v>
      </c>
      <c r="AJ98" t="s">
        <v>17</v>
      </c>
      <c r="AK98" t="s">
        <v>408</v>
      </c>
      <c r="AL98" t="s">
        <v>17</v>
      </c>
      <c r="AM98" t="s">
        <v>117</v>
      </c>
      <c r="AN98" t="s">
        <v>964</v>
      </c>
      <c r="AO98" t="s">
        <v>967</v>
      </c>
      <c r="AP98" t="s">
        <v>119</v>
      </c>
      <c r="AQ98" t="s">
        <v>119</v>
      </c>
      <c r="AR98" t="s">
        <v>964</v>
      </c>
      <c r="AS98" t="s">
        <v>968</v>
      </c>
      <c r="AT98" t="s">
        <v>964</v>
      </c>
    </row>
    <row r="99" spans="1:46">
      <c r="A99" s="1" t="s">
        <v>969</v>
      </c>
      <c r="B99" s="1" t="s">
        <v>970</v>
      </c>
      <c r="C99" s="1" t="s">
        <v>971</v>
      </c>
      <c r="D99" s="1" t="s">
        <v>101</v>
      </c>
      <c r="E99" s="1" t="s">
        <v>102</v>
      </c>
      <c r="F99" s="1" t="s">
        <v>103</v>
      </c>
      <c r="G99" s="1" t="s">
        <v>569</v>
      </c>
      <c r="H99" s="1" t="s">
        <v>972</v>
      </c>
      <c r="I99" s="1" t="s">
        <v>106</v>
      </c>
      <c r="J99" s="1" t="s">
        <v>107</v>
      </c>
      <c r="K99" s="1"/>
      <c r="L99" s="9">
        <v>24247.29</v>
      </c>
      <c r="M99" s="1" t="s">
        <v>103</v>
      </c>
      <c r="N99" s="1" t="s">
        <v>569</v>
      </c>
      <c r="O99" s="1"/>
      <c r="P99" s="1" t="s">
        <v>106</v>
      </c>
      <c r="Q99" s="1" t="s">
        <v>108</v>
      </c>
      <c r="R99" s="1" t="s">
        <v>109</v>
      </c>
      <c r="S99" s="9">
        <v>-24247.29</v>
      </c>
      <c r="T99" s="1">
        <v>0</v>
      </c>
      <c r="U99" s="1" t="s">
        <v>110</v>
      </c>
      <c r="V99" s="1" t="s">
        <v>15</v>
      </c>
      <c r="W99" s="1" t="s">
        <v>17</v>
      </c>
      <c r="X99" s="1" t="s">
        <v>111</v>
      </c>
      <c r="Y99" s="1"/>
      <c r="Z99" s="1" t="s">
        <v>972</v>
      </c>
      <c r="AA99" s="1" t="s">
        <v>17</v>
      </c>
      <c r="AB99" s="1">
        <v>0</v>
      </c>
      <c r="AC99" s="1" t="s">
        <v>17</v>
      </c>
      <c r="AD99" t="s">
        <v>112</v>
      </c>
      <c r="AE99" t="s">
        <v>113</v>
      </c>
      <c r="AF99" t="s">
        <v>972</v>
      </c>
      <c r="AG99" t="s">
        <v>114</v>
      </c>
      <c r="AH99" t="s">
        <v>973</v>
      </c>
      <c r="AI99" t="s">
        <v>973</v>
      </c>
      <c r="AJ99" t="s">
        <v>17</v>
      </c>
      <c r="AK99" t="s">
        <v>136</v>
      </c>
      <c r="AL99" t="s">
        <v>17</v>
      </c>
      <c r="AM99" t="s">
        <v>117</v>
      </c>
      <c r="AN99" t="s">
        <v>569</v>
      </c>
      <c r="AO99" t="s">
        <v>974</v>
      </c>
      <c r="AP99" t="s">
        <v>119</v>
      </c>
      <c r="AQ99" t="s">
        <v>119</v>
      </c>
      <c r="AR99" t="s">
        <v>569</v>
      </c>
      <c r="AS99" t="s">
        <v>975</v>
      </c>
      <c r="AT99" t="s">
        <v>569</v>
      </c>
    </row>
    <row r="100" spans="1:46">
      <c r="A100" s="1" t="s">
        <v>976</v>
      </c>
      <c r="B100" s="1" t="s">
        <v>977</v>
      </c>
      <c r="C100" s="1" t="s">
        <v>978</v>
      </c>
      <c r="D100" s="1" t="s">
        <v>101</v>
      </c>
      <c r="E100" s="1" t="s">
        <v>124</v>
      </c>
      <c r="F100" s="1" t="s">
        <v>103</v>
      </c>
      <c r="G100" s="1" t="s">
        <v>503</v>
      </c>
      <c r="H100" s="1" t="s">
        <v>979</v>
      </c>
      <c r="I100" s="1" t="s">
        <v>127</v>
      </c>
      <c r="J100" s="1" t="s">
        <v>128</v>
      </c>
      <c r="K100" s="1" t="s">
        <v>129</v>
      </c>
      <c r="L100" s="9">
        <v>-15289.51</v>
      </c>
      <c r="M100" s="1" t="s">
        <v>103</v>
      </c>
      <c r="N100" s="1" t="s">
        <v>270</v>
      </c>
      <c r="O100" s="1" t="s">
        <v>979</v>
      </c>
      <c r="P100" s="1" t="s">
        <v>127</v>
      </c>
      <c r="Q100" s="1" t="s">
        <v>131</v>
      </c>
      <c r="R100" s="1"/>
      <c r="S100" s="9">
        <v>15289.51</v>
      </c>
      <c r="T100" s="1">
        <v>0</v>
      </c>
      <c r="U100" s="1" t="s">
        <v>132</v>
      </c>
      <c r="V100" s="1" t="s">
        <v>15</v>
      </c>
      <c r="W100" s="1" t="s">
        <v>17</v>
      </c>
      <c r="X100" s="1" t="s">
        <v>111</v>
      </c>
      <c r="Y100" s="1"/>
      <c r="Z100" s="1" t="s">
        <v>980</v>
      </c>
      <c r="AA100" s="1" t="s">
        <v>17</v>
      </c>
      <c r="AB100" s="1">
        <v>0</v>
      </c>
      <c r="AC100" s="1" t="s">
        <v>17</v>
      </c>
      <c r="AD100" t="s">
        <v>112</v>
      </c>
      <c r="AE100" t="s">
        <v>113</v>
      </c>
      <c r="AF100" t="s">
        <v>981</v>
      </c>
      <c r="AG100" t="s">
        <v>114</v>
      </c>
      <c r="AH100" t="s">
        <v>979</v>
      </c>
      <c r="AI100" t="s">
        <v>979</v>
      </c>
      <c r="AJ100" t="s">
        <v>135</v>
      </c>
      <c r="AK100" t="s">
        <v>136</v>
      </c>
      <c r="AL100" t="s">
        <v>137</v>
      </c>
      <c r="AM100" t="s">
        <v>117</v>
      </c>
      <c r="AN100" t="s">
        <v>221</v>
      </c>
      <c r="AO100" t="s">
        <v>429</v>
      </c>
      <c r="AP100" t="s">
        <v>119</v>
      </c>
      <c r="AQ100" t="s">
        <v>119</v>
      </c>
      <c r="AR100" t="s">
        <v>221</v>
      </c>
      <c r="AS100" t="s">
        <v>430</v>
      </c>
      <c r="AT100" t="s">
        <v>270</v>
      </c>
    </row>
    <row r="101" spans="1:46">
      <c r="A101" s="1" t="s">
        <v>982</v>
      </c>
      <c r="B101" s="1" t="s">
        <v>983</v>
      </c>
      <c r="C101" s="1" t="s">
        <v>984</v>
      </c>
      <c r="D101" s="1" t="s">
        <v>101</v>
      </c>
      <c r="E101" s="1" t="s">
        <v>102</v>
      </c>
      <c r="F101" s="1" t="s">
        <v>103</v>
      </c>
      <c r="G101" s="1" t="s">
        <v>395</v>
      </c>
      <c r="H101" s="1" t="s">
        <v>985</v>
      </c>
      <c r="I101" s="1" t="s">
        <v>106</v>
      </c>
      <c r="J101" s="1" t="s">
        <v>107</v>
      </c>
      <c r="K101" s="1"/>
      <c r="L101" s="9">
        <v>8120</v>
      </c>
      <c r="M101" s="1" t="s">
        <v>103</v>
      </c>
      <c r="N101" s="1" t="s">
        <v>395</v>
      </c>
      <c r="O101" s="1"/>
      <c r="P101" s="1" t="s">
        <v>106</v>
      </c>
      <c r="Q101" s="1" t="s">
        <v>108</v>
      </c>
      <c r="R101" s="1" t="s">
        <v>109</v>
      </c>
      <c r="S101" s="9">
        <v>-8120</v>
      </c>
      <c r="T101" s="1">
        <v>0</v>
      </c>
      <c r="U101" s="1" t="s">
        <v>110</v>
      </c>
      <c r="V101" s="1" t="s">
        <v>15</v>
      </c>
      <c r="W101" s="1" t="s">
        <v>17</v>
      </c>
      <c r="X101" s="1" t="s">
        <v>111</v>
      </c>
      <c r="Y101" s="1"/>
      <c r="Z101" s="1" t="s">
        <v>985</v>
      </c>
      <c r="AA101" s="1" t="s">
        <v>17</v>
      </c>
      <c r="AB101" s="1">
        <v>0</v>
      </c>
      <c r="AC101" s="1" t="s">
        <v>17</v>
      </c>
      <c r="AD101" t="s">
        <v>112</v>
      </c>
      <c r="AE101" t="s">
        <v>113</v>
      </c>
      <c r="AF101" t="s">
        <v>985</v>
      </c>
      <c r="AG101" t="s">
        <v>114</v>
      </c>
      <c r="AH101" t="s">
        <v>986</v>
      </c>
      <c r="AI101" t="s">
        <v>986</v>
      </c>
      <c r="AJ101" t="s">
        <v>17</v>
      </c>
      <c r="AK101" t="s">
        <v>200</v>
      </c>
      <c r="AL101" t="s">
        <v>17</v>
      </c>
      <c r="AM101" t="s">
        <v>117</v>
      </c>
      <c r="AN101" t="s">
        <v>395</v>
      </c>
      <c r="AO101" t="s">
        <v>987</v>
      </c>
      <c r="AP101" t="s">
        <v>119</v>
      </c>
      <c r="AQ101" t="s">
        <v>119</v>
      </c>
      <c r="AR101" t="s">
        <v>395</v>
      </c>
      <c r="AS101" t="s">
        <v>988</v>
      </c>
      <c r="AT101" t="s">
        <v>395</v>
      </c>
    </row>
    <row r="102" spans="1:46">
      <c r="A102" s="1" t="s">
        <v>989</v>
      </c>
      <c r="B102" s="1" t="s">
        <v>990</v>
      </c>
      <c r="C102" s="1" t="s">
        <v>991</v>
      </c>
      <c r="D102" s="1" t="s">
        <v>101</v>
      </c>
      <c r="E102" s="1" t="s">
        <v>102</v>
      </c>
      <c r="F102" s="1" t="s">
        <v>103</v>
      </c>
      <c r="G102" s="1" t="s">
        <v>629</v>
      </c>
      <c r="H102" s="1" t="s">
        <v>688</v>
      </c>
      <c r="I102" s="1" t="s">
        <v>106</v>
      </c>
      <c r="J102" s="1" t="s">
        <v>107</v>
      </c>
      <c r="K102" s="1"/>
      <c r="L102" s="9">
        <v>46496.71</v>
      </c>
      <c r="M102" s="1" t="s">
        <v>103</v>
      </c>
      <c r="N102" s="1" t="s">
        <v>629</v>
      </c>
      <c r="O102" s="1"/>
      <c r="P102" s="1" t="s">
        <v>106</v>
      </c>
      <c r="Q102" s="1" t="s">
        <v>108</v>
      </c>
      <c r="R102" s="1" t="s">
        <v>109</v>
      </c>
      <c r="S102" s="9">
        <v>-46496.71</v>
      </c>
      <c r="T102" s="1">
        <v>0</v>
      </c>
      <c r="U102" s="1" t="s">
        <v>110</v>
      </c>
      <c r="V102" s="1" t="s">
        <v>15</v>
      </c>
      <c r="W102" s="1" t="s">
        <v>17</v>
      </c>
      <c r="X102" s="1" t="s">
        <v>111</v>
      </c>
      <c r="Y102" s="1"/>
      <c r="Z102" s="1" t="s">
        <v>688</v>
      </c>
      <c r="AA102" s="1" t="s">
        <v>17</v>
      </c>
      <c r="AB102" s="1">
        <v>0</v>
      </c>
      <c r="AC102" s="1" t="s">
        <v>17</v>
      </c>
      <c r="AD102" t="s">
        <v>112</v>
      </c>
      <c r="AE102" t="s">
        <v>113</v>
      </c>
      <c r="AF102" t="s">
        <v>688</v>
      </c>
      <c r="AG102" t="s">
        <v>114</v>
      </c>
      <c r="AH102" t="s">
        <v>992</v>
      </c>
      <c r="AI102" t="s">
        <v>992</v>
      </c>
      <c r="AJ102" t="s">
        <v>17</v>
      </c>
      <c r="AK102" t="s">
        <v>150</v>
      </c>
      <c r="AL102" t="s">
        <v>17</v>
      </c>
      <c r="AM102" t="s">
        <v>117</v>
      </c>
      <c r="AN102" t="s">
        <v>629</v>
      </c>
      <c r="AO102" t="s">
        <v>993</v>
      </c>
      <c r="AP102" t="s">
        <v>119</v>
      </c>
      <c r="AQ102" t="s">
        <v>119</v>
      </c>
      <c r="AR102" t="s">
        <v>629</v>
      </c>
      <c r="AS102" t="s">
        <v>994</v>
      </c>
      <c r="AT102" t="s">
        <v>629</v>
      </c>
    </row>
    <row r="103" spans="1:46">
      <c r="A103" s="1" t="s">
        <v>995</v>
      </c>
      <c r="B103" s="1" t="s">
        <v>996</v>
      </c>
      <c r="C103" s="1" t="s">
        <v>997</v>
      </c>
      <c r="D103" s="1" t="s">
        <v>101</v>
      </c>
      <c r="E103" s="1" t="s">
        <v>124</v>
      </c>
      <c r="F103" s="1" t="s">
        <v>103</v>
      </c>
      <c r="G103" s="1" t="s">
        <v>144</v>
      </c>
      <c r="H103" s="1" t="s">
        <v>998</v>
      </c>
      <c r="I103" s="1" t="s">
        <v>127</v>
      </c>
      <c r="J103" s="1" t="s">
        <v>128</v>
      </c>
      <c r="K103" s="1" t="s">
        <v>129</v>
      </c>
      <c r="L103" s="9">
        <v>-17174.509999999998</v>
      </c>
      <c r="M103" s="1" t="s">
        <v>103</v>
      </c>
      <c r="N103" s="1" t="s">
        <v>761</v>
      </c>
      <c r="O103" s="1" t="s">
        <v>998</v>
      </c>
      <c r="P103" s="1" t="s">
        <v>127</v>
      </c>
      <c r="Q103" s="1" t="s">
        <v>131</v>
      </c>
      <c r="R103" s="1"/>
      <c r="S103" s="9">
        <v>17174.509999999998</v>
      </c>
      <c r="T103" s="1">
        <v>0</v>
      </c>
      <c r="U103" s="1" t="s">
        <v>132</v>
      </c>
      <c r="V103" s="1" t="s">
        <v>15</v>
      </c>
      <c r="W103" s="1" t="s">
        <v>17</v>
      </c>
      <c r="X103" s="1" t="s">
        <v>111</v>
      </c>
      <c r="Y103" s="1"/>
      <c r="Z103" s="1" t="s">
        <v>602</v>
      </c>
      <c r="AA103" s="1" t="s">
        <v>17</v>
      </c>
      <c r="AB103" s="1">
        <v>0</v>
      </c>
      <c r="AC103" s="1" t="s">
        <v>17</v>
      </c>
      <c r="AD103" t="s">
        <v>112</v>
      </c>
      <c r="AE103" t="s">
        <v>113</v>
      </c>
      <c r="AF103" t="s">
        <v>999</v>
      </c>
      <c r="AG103" t="s">
        <v>114</v>
      </c>
      <c r="AH103" t="s">
        <v>998</v>
      </c>
      <c r="AI103" t="s">
        <v>998</v>
      </c>
      <c r="AJ103" t="s">
        <v>149</v>
      </c>
      <c r="AK103" t="s">
        <v>150</v>
      </c>
      <c r="AL103" t="s">
        <v>137</v>
      </c>
      <c r="AM103" t="s">
        <v>117</v>
      </c>
      <c r="AN103" t="s">
        <v>604</v>
      </c>
      <c r="AO103" t="s">
        <v>321</v>
      </c>
      <c r="AP103" t="s">
        <v>119</v>
      </c>
      <c r="AQ103" t="s">
        <v>119</v>
      </c>
      <c r="AR103" t="s">
        <v>604</v>
      </c>
      <c r="AS103" t="s">
        <v>322</v>
      </c>
      <c r="AT103" t="s">
        <v>761</v>
      </c>
    </row>
    <row r="104" spans="1:46">
      <c r="A104" s="1" t="s">
        <v>1000</v>
      </c>
      <c r="B104" s="1" t="s">
        <v>1001</v>
      </c>
      <c r="C104" s="1" t="s">
        <v>1002</v>
      </c>
      <c r="D104" s="1" t="s">
        <v>101</v>
      </c>
      <c r="E104" s="1" t="s">
        <v>102</v>
      </c>
      <c r="F104" s="1" t="s">
        <v>103</v>
      </c>
      <c r="G104" s="1" t="s">
        <v>1003</v>
      </c>
      <c r="H104" s="1" t="s">
        <v>1004</v>
      </c>
      <c r="I104" s="1" t="s">
        <v>106</v>
      </c>
      <c r="J104" s="1" t="s">
        <v>107</v>
      </c>
      <c r="K104" s="1"/>
      <c r="L104" s="9">
        <v>15080</v>
      </c>
      <c r="M104" s="1" t="s">
        <v>103</v>
      </c>
      <c r="N104" s="1" t="s">
        <v>1003</v>
      </c>
      <c r="O104" s="1"/>
      <c r="P104" s="1" t="s">
        <v>106</v>
      </c>
      <c r="Q104" s="1" t="s">
        <v>108</v>
      </c>
      <c r="R104" s="1" t="s">
        <v>109</v>
      </c>
      <c r="S104" s="9">
        <v>-15080</v>
      </c>
      <c r="T104" s="1">
        <v>0</v>
      </c>
      <c r="U104" s="1" t="s">
        <v>110</v>
      </c>
      <c r="V104" s="1" t="s">
        <v>15</v>
      </c>
      <c r="W104" s="1" t="s">
        <v>17</v>
      </c>
      <c r="X104" s="1" t="s">
        <v>111</v>
      </c>
      <c r="Y104" s="1"/>
      <c r="Z104" s="1" t="s">
        <v>1004</v>
      </c>
      <c r="AA104" s="1" t="s">
        <v>17</v>
      </c>
      <c r="AB104" s="1">
        <v>0</v>
      </c>
      <c r="AC104" s="1" t="s">
        <v>17</v>
      </c>
      <c r="AD104" t="s">
        <v>112</v>
      </c>
      <c r="AE104" t="s">
        <v>113</v>
      </c>
      <c r="AF104" t="s">
        <v>1004</v>
      </c>
      <c r="AG104" t="s">
        <v>114</v>
      </c>
      <c r="AH104" t="s">
        <v>1005</v>
      </c>
      <c r="AI104" t="s">
        <v>1005</v>
      </c>
      <c r="AJ104" t="s">
        <v>17</v>
      </c>
      <c r="AK104" t="s">
        <v>257</v>
      </c>
      <c r="AL104" t="s">
        <v>17</v>
      </c>
      <c r="AM104" t="s">
        <v>117</v>
      </c>
      <c r="AN104" t="s">
        <v>1003</v>
      </c>
      <c r="AO104" t="s">
        <v>1006</v>
      </c>
      <c r="AP104" t="s">
        <v>119</v>
      </c>
      <c r="AQ104" t="s">
        <v>119</v>
      </c>
      <c r="AR104" t="s">
        <v>1003</v>
      </c>
      <c r="AS104" t="s">
        <v>1007</v>
      </c>
      <c r="AT104" t="s">
        <v>1003</v>
      </c>
    </row>
    <row r="105" spans="1:46">
      <c r="A105" s="1" t="s">
        <v>1008</v>
      </c>
      <c r="B105" s="1" t="s">
        <v>1009</v>
      </c>
      <c r="C105" s="1" t="s">
        <v>1010</v>
      </c>
      <c r="D105" s="1" t="s">
        <v>101</v>
      </c>
      <c r="E105" s="1" t="s">
        <v>124</v>
      </c>
      <c r="F105" s="1" t="s">
        <v>103</v>
      </c>
      <c r="G105" s="1" t="s">
        <v>1011</v>
      </c>
      <c r="H105" s="1" t="s">
        <v>1012</v>
      </c>
      <c r="I105" s="1" t="s">
        <v>127</v>
      </c>
      <c r="J105" s="1" t="s">
        <v>128</v>
      </c>
      <c r="K105" s="1" t="s">
        <v>129</v>
      </c>
      <c r="L105" s="9">
        <v>-16127.29</v>
      </c>
      <c r="M105" s="1" t="s">
        <v>103</v>
      </c>
      <c r="N105" s="1" t="s">
        <v>1011</v>
      </c>
      <c r="O105" s="1" t="s">
        <v>1012</v>
      </c>
      <c r="P105" s="1" t="s">
        <v>127</v>
      </c>
      <c r="Q105" s="1" t="s">
        <v>131</v>
      </c>
      <c r="R105" s="1"/>
      <c r="S105" s="9">
        <v>16127.29</v>
      </c>
      <c r="T105" s="1">
        <v>0</v>
      </c>
      <c r="U105" s="1" t="s">
        <v>132</v>
      </c>
      <c r="V105" s="1" t="s">
        <v>15</v>
      </c>
      <c r="W105" s="1" t="s">
        <v>17</v>
      </c>
      <c r="X105" s="1" t="s">
        <v>111</v>
      </c>
      <c r="Y105" s="1"/>
      <c r="Z105" s="1" t="s">
        <v>873</v>
      </c>
      <c r="AA105" s="1" t="s">
        <v>17</v>
      </c>
      <c r="AB105" s="1">
        <v>0</v>
      </c>
      <c r="AC105" s="1" t="s">
        <v>17</v>
      </c>
      <c r="AD105" t="s">
        <v>112</v>
      </c>
      <c r="AE105" t="s">
        <v>113</v>
      </c>
      <c r="AF105" t="s">
        <v>1013</v>
      </c>
      <c r="AG105" t="s">
        <v>114</v>
      </c>
      <c r="AH105" t="s">
        <v>1012</v>
      </c>
      <c r="AI105" t="s">
        <v>1012</v>
      </c>
      <c r="AJ105" t="s">
        <v>135</v>
      </c>
      <c r="AK105" t="s">
        <v>663</v>
      </c>
      <c r="AL105" t="s">
        <v>137</v>
      </c>
      <c r="AM105" t="s">
        <v>117</v>
      </c>
      <c r="AN105" t="s">
        <v>875</v>
      </c>
      <c r="AO105" t="s">
        <v>399</v>
      </c>
      <c r="AP105" t="s">
        <v>119</v>
      </c>
      <c r="AQ105" t="s">
        <v>119</v>
      </c>
      <c r="AR105" t="s">
        <v>875</v>
      </c>
      <c r="AS105" t="s">
        <v>401</v>
      </c>
      <c r="AT105" t="s">
        <v>531</v>
      </c>
    </row>
    <row r="106" spans="1:46">
      <c r="A106" s="1" t="s">
        <v>1014</v>
      </c>
      <c r="B106" s="1" t="s">
        <v>1015</v>
      </c>
      <c r="C106" s="1" t="s">
        <v>1016</v>
      </c>
      <c r="D106" s="1" t="s">
        <v>101</v>
      </c>
      <c r="E106" s="1" t="s">
        <v>102</v>
      </c>
      <c r="F106" s="1" t="s">
        <v>103</v>
      </c>
      <c r="G106" s="1" t="s">
        <v>664</v>
      </c>
      <c r="H106" s="1" t="s">
        <v>1017</v>
      </c>
      <c r="I106" s="1" t="s">
        <v>106</v>
      </c>
      <c r="J106" s="1" t="s">
        <v>107</v>
      </c>
      <c r="K106" s="1"/>
      <c r="L106" s="9">
        <v>52151.86</v>
      </c>
      <c r="M106" s="1" t="s">
        <v>103</v>
      </c>
      <c r="N106" s="1" t="s">
        <v>664</v>
      </c>
      <c r="O106" s="1"/>
      <c r="P106" s="1" t="s">
        <v>106</v>
      </c>
      <c r="Q106" s="1" t="s">
        <v>108</v>
      </c>
      <c r="R106" s="1" t="s">
        <v>109</v>
      </c>
      <c r="S106" s="9">
        <v>-52151.86</v>
      </c>
      <c r="T106" s="1">
        <v>0</v>
      </c>
      <c r="U106" s="1" t="s">
        <v>110</v>
      </c>
      <c r="V106" s="1" t="s">
        <v>15</v>
      </c>
      <c r="W106" s="1" t="s">
        <v>17</v>
      </c>
      <c r="X106" s="1" t="s">
        <v>111</v>
      </c>
      <c r="Y106" s="1"/>
      <c r="Z106" s="1" t="s">
        <v>1017</v>
      </c>
      <c r="AA106" s="1" t="s">
        <v>17</v>
      </c>
      <c r="AB106" s="1">
        <v>0</v>
      </c>
      <c r="AC106" s="1" t="s">
        <v>17</v>
      </c>
      <c r="AD106" t="s">
        <v>112</v>
      </c>
      <c r="AE106" t="s">
        <v>113</v>
      </c>
      <c r="AF106" t="s">
        <v>1017</v>
      </c>
      <c r="AG106" t="s">
        <v>114</v>
      </c>
      <c r="AH106" t="s">
        <v>1018</v>
      </c>
      <c r="AI106" t="s">
        <v>1018</v>
      </c>
      <c r="AJ106" t="s">
        <v>17</v>
      </c>
      <c r="AK106" t="s">
        <v>663</v>
      </c>
      <c r="AL106" t="s">
        <v>17</v>
      </c>
      <c r="AM106" t="s">
        <v>117</v>
      </c>
      <c r="AN106" t="s">
        <v>664</v>
      </c>
      <c r="AO106" t="s">
        <v>1019</v>
      </c>
      <c r="AP106" t="s">
        <v>119</v>
      </c>
      <c r="AQ106" t="s">
        <v>119</v>
      </c>
      <c r="AR106" t="s">
        <v>664</v>
      </c>
      <c r="AS106" t="s">
        <v>1020</v>
      </c>
      <c r="AT106" t="s">
        <v>664</v>
      </c>
    </row>
    <row r="107" spans="1:46">
      <c r="A107" s="1" t="s">
        <v>1021</v>
      </c>
      <c r="B107" s="1" t="s">
        <v>1022</v>
      </c>
      <c r="C107" s="1" t="s">
        <v>1023</v>
      </c>
      <c r="D107" s="1" t="s">
        <v>36</v>
      </c>
      <c r="E107" s="1" t="s">
        <v>124</v>
      </c>
      <c r="F107" s="1" t="s">
        <v>103</v>
      </c>
      <c r="G107" s="1" t="s">
        <v>673</v>
      </c>
      <c r="H107" s="1" t="s">
        <v>1024</v>
      </c>
      <c r="I107" s="1" t="s">
        <v>127</v>
      </c>
      <c r="J107" s="1" t="s">
        <v>241</v>
      </c>
      <c r="K107" s="1" t="s">
        <v>1025</v>
      </c>
      <c r="L107" s="9">
        <v>-29000</v>
      </c>
      <c r="M107" s="1" t="s">
        <v>103</v>
      </c>
      <c r="N107" s="1" t="s">
        <v>673</v>
      </c>
      <c r="O107" s="1" t="s">
        <v>1024</v>
      </c>
      <c r="P107" s="1" t="s">
        <v>127</v>
      </c>
      <c r="Q107" s="1" t="s">
        <v>131</v>
      </c>
      <c r="R107" s="1"/>
      <c r="S107" s="9">
        <v>29500</v>
      </c>
      <c r="T107" s="1">
        <v>500</v>
      </c>
      <c r="U107" s="1" t="s">
        <v>243</v>
      </c>
      <c r="V107" s="1" t="s">
        <v>15</v>
      </c>
      <c r="W107" s="1" t="s">
        <v>17</v>
      </c>
      <c r="X107" s="1" t="s">
        <v>111</v>
      </c>
      <c r="Y107" s="1"/>
      <c r="Z107" s="1" t="s">
        <v>254</v>
      </c>
      <c r="AA107" s="1" t="s">
        <v>17</v>
      </c>
      <c r="AB107" s="1">
        <v>-500</v>
      </c>
      <c r="AC107" s="1" t="s">
        <v>17</v>
      </c>
      <c r="AD107" t="s">
        <v>112</v>
      </c>
      <c r="AE107" t="s">
        <v>231</v>
      </c>
      <c r="AF107" t="s">
        <v>1026</v>
      </c>
      <c r="AG107" t="s">
        <v>114</v>
      </c>
      <c r="AH107" t="s">
        <v>1024</v>
      </c>
      <c r="AI107" t="s">
        <v>1024</v>
      </c>
      <c r="AJ107" t="s">
        <v>135</v>
      </c>
      <c r="AK107" t="s">
        <v>408</v>
      </c>
      <c r="AL107" t="s">
        <v>137</v>
      </c>
      <c r="AM107" t="s">
        <v>117</v>
      </c>
      <c r="AN107" t="s">
        <v>261</v>
      </c>
      <c r="AO107" t="s">
        <v>410</v>
      </c>
      <c r="AP107" t="s">
        <v>119</v>
      </c>
      <c r="AQ107" t="s">
        <v>119</v>
      </c>
      <c r="AR107" t="s">
        <v>261</v>
      </c>
      <c r="AS107" t="s">
        <v>411</v>
      </c>
      <c r="AT107" t="s">
        <v>964</v>
      </c>
    </row>
    <row r="108" spans="1:46">
      <c r="A108" s="1" t="s">
        <v>1027</v>
      </c>
      <c r="B108" s="1" t="s">
        <v>1028</v>
      </c>
      <c r="C108" s="1" t="s">
        <v>1029</v>
      </c>
      <c r="D108" s="1" t="s">
        <v>101</v>
      </c>
      <c r="E108" s="1" t="s">
        <v>124</v>
      </c>
      <c r="F108" s="1" t="s">
        <v>103</v>
      </c>
      <c r="G108" s="1" t="s">
        <v>690</v>
      </c>
      <c r="H108" s="1" t="s">
        <v>1030</v>
      </c>
      <c r="I108" s="1" t="s">
        <v>127</v>
      </c>
      <c r="J108" s="1" t="s">
        <v>128</v>
      </c>
      <c r="K108" s="1" t="s">
        <v>129</v>
      </c>
      <c r="L108" s="9">
        <v>-11519.5</v>
      </c>
      <c r="M108" s="1" t="s">
        <v>103</v>
      </c>
      <c r="N108" s="1" t="s">
        <v>690</v>
      </c>
      <c r="O108" s="1" t="s">
        <v>1030</v>
      </c>
      <c r="P108" s="1" t="s">
        <v>127</v>
      </c>
      <c r="Q108" s="1" t="s">
        <v>131</v>
      </c>
      <c r="R108" s="1"/>
      <c r="S108" s="9">
        <v>11519.5</v>
      </c>
      <c r="T108" s="1">
        <v>0</v>
      </c>
      <c r="U108" s="1" t="s">
        <v>132</v>
      </c>
      <c r="V108" s="1" t="s">
        <v>15</v>
      </c>
      <c r="W108" s="1" t="s">
        <v>17</v>
      </c>
      <c r="X108" s="1" t="s">
        <v>111</v>
      </c>
      <c r="Y108" s="1"/>
      <c r="Z108" s="1" t="s">
        <v>688</v>
      </c>
      <c r="AA108" s="1" t="s">
        <v>17</v>
      </c>
      <c r="AB108" s="1">
        <v>0</v>
      </c>
      <c r="AC108" s="1" t="s">
        <v>17</v>
      </c>
      <c r="AD108" t="s">
        <v>112</v>
      </c>
      <c r="AE108" t="s">
        <v>113</v>
      </c>
      <c r="AF108" t="s">
        <v>1031</v>
      </c>
      <c r="AG108" t="s">
        <v>114</v>
      </c>
      <c r="AH108" t="s">
        <v>1030</v>
      </c>
      <c r="AI108" t="s">
        <v>1032</v>
      </c>
      <c r="AJ108" t="s">
        <v>149</v>
      </c>
      <c r="AK108" t="s">
        <v>116</v>
      </c>
      <c r="AL108" t="s">
        <v>137</v>
      </c>
      <c r="AM108" t="s">
        <v>117</v>
      </c>
      <c r="AN108" t="s">
        <v>166</v>
      </c>
      <c r="AO108" t="s">
        <v>1033</v>
      </c>
      <c r="AP108" t="s">
        <v>119</v>
      </c>
      <c r="AQ108" t="s">
        <v>119</v>
      </c>
      <c r="AR108" t="s">
        <v>166</v>
      </c>
      <c r="AS108" t="s">
        <v>1034</v>
      </c>
      <c r="AT108" t="s">
        <v>829</v>
      </c>
    </row>
    <row r="109" spans="1:46">
      <c r="A109" s="1" t="s">
        <v>1035</v>
      </c>
      <c r="B109" s="1" t="s">
        <v>1036</v>
      </c>
      <c r="C109" s="1" t="s">
        <v>1037</v>
      </c>
      <c r="D109" s="1" t="s">
        <v>40</v>
      </c>
      <c r="E109" s="1" t="s">
        <v>124</v>
      </c>
      <c r="F109" s="1" t="s">
        <v>103</v>
      </c>
      <c r="G109" s="1" t="s">
        <v>1038</v>
      </c>
      <c r="H109" s="1" t="s">
        <v>1039</v>
      </c>
      <c r="I109" s="1" t="s">
        <v>127</v>
      </c>
      <c r="J109" s="1" t="s">
        <v>128</v>
      </c>
      <c r="K109" s="1" t="s">
        <v>129</v>
      </c>
      <c r="L109" s="9">
        <v>-16127</v>
      </c>
      <c r="M109" s="1" t="s">
        <v>103</v>
      </c>
      <c r="N109" s="1" t="s">
        <v>258</v>
      </c>
      <c r="O109" s="1" t="s">
        <v>1039</v>
      </c>
      <c r="P109" s="1" t="s">
        <v>127</v>
      </c>
      <c r="Q109" s="1" t="s">
        <v>131</v>
      </c>
      <c r="R109" s="1"/>
      <c r="S109" s="9">
        <v>16127.29</v>
      </c>
      <c r="T109" s="1">
        <v>0.29000000000087311</v>
      </c>
      <c r="U109" s="1" t="s">
        <v>146</v>
      </c>
      <c r="V109" s="1" t="s">
        <v>15</v>
      </c>
      <c r="W109" s="1" t="s">
        <v>17</v>
      </c>
      <c r="X109" s="1" t="s">
        <v>111</v>
      </c>
      <c r="Y109" s="1"/>
      <c r="Z109" s="1" t="s">
        <v>712</v>
      </c>
      <c r="AA109" s="1" t="s">
        <v>17</v>
      </c>
      <c r="AB109" s="1">
        <v>0</v>
      </c>
      <c r="AC109" s="1" t="s">
        <v>17</v>
      </c>
      <c r="AD109" t="s">
        <v>112</v>
      </c>
      <c r="AE109" t="s">
        <v>113</v>
      </c>
      <c r="AF109" t="s">
        <v>1040</v>
      </c>
      <c r="AG109" t="s">
        <v>114</v>
      </c>
      <c r="AH109" t="s">
        <v>1039</v>
      </c>
      <c r="AI109" t="s">
        <v>1039</v>
      </c>
      <c r="AJ109" t="s">
        <v>135</v>
      </c>
      <c r="AK109" t="s">
        <v>257</v>
      </c>
      <c r="AL109" t="s">
        <v>137</v>
      </c>
      <c r="AM109" t="s">
        <v>117</v>
      </c>
      <c r="AN109" t="s">
        <v>538</v>
      </c>
      <c r="AO109" t="s">
        <v>1041</v>
      </c>
      <c r="AP109" t="s">
        <v>119</v>
      </c>
      <c r="AQ109" t="s">
        <v>119</v>
      </c>
      <c r="AR109" t="s">
        <v>538</v>
      </c>
      <c r="AS109" t="s">
        <v>1042</v>
      </c>
      <c r="AT109" t="s">
        <v>258</v>
      </c>
    </row>
    <row r="110" spans="1:46">
      <c r="A110" s="1" t="s">
        <v>1043</v>
      </c>
      <c r="B110" s="1" t="s">
        <v>1044</v>
      </c>
      <c r="C110" s="1" t="s">
        <v>1045</v>
      </c>
      <c r="D110" s="1" t="s">
        <v>101</v>
      </c>
      <c r="E110" s="1" t="s">
        <v>352</v>
      </c>
      <c r="F110" s="1" t="s">
        <v>103</v>
      </c>
      <c r="G110" s="1" t="s">
        <v>341</v>
      </c>
      <c r="H110" s="1" t="s">
        <v>671</v>
      </c>
      <c r="I110" s="1" t="s">
        <v>106</v>
      </c>
      <c r="J110" s="1" t="s">
        <v>107</v>
      </c>
      <c r="K110" s="1"/>
      <c r="L110" s="9">
        <v>65556.37</v>
      </c>
      <c r="M110" s="1" t="s">
        <v>103</v>
      </c>
      <c r="N110" s="1" t="s">
        <v>338</v>
      </c>
      <c r="O110" s="1"/>
      <c r="P110" s="1" t="s">
        <v>106</v>
      </c>
      <c r="Q110" s="1" t="s">
        <v>108</v>
      </c>
      <c r="R110" s="1" t="s">
        <v>109</v>
      </c>
      <c r="S110" s="9">
        <v>-65556.37</v>
      </c>
      <c r="T110" s="1">
        <v>0</v>
      </c>
      <c r="U110" s="1" t="s">
        <v>356</v>
      </c>
      <c r="V110" s="1" t="s">
        <v>15</v>
      </c>
      <c r="W110" s="1" t="s">
        <v>17</v>
      </c>
      <c r="X110" s="1" t="s">
        <v>111</v>
      </c>
      <c r="Y110" s="1"/>
      <c r="Z110" s="1" t="s">
        <v>671</v>
      </c>
      <c r="AA110" s="1" t="s">
        <v>17</v>
      </c>
      <c r="AB110" s="1">
        <v>0</v>
      </c>
      <c r="AC110" s="1" t="s">
        <v>17</v>
      </c>
      <c r="AD110" t="s">
        <v>112</v>
      </c>
      <c r="AE110" t="s">
        <v>113</v>
      </c>
      <c r="AF110" t="s">
        <v>671</v>
      </c>
      <c r="AG110" t="s">
        <v>114</v>
      </c>
      <c r="AH110" t="s">
        <v>1046</v>
      </c>
      <c r="AI110" t="s">
        <v>1046</v>
      </c>
      <c r="AJ110" t="s">
        <v>17</v>
      </c>
      <c r="AK110" t="s">
        <v>257</v>
      </c>
      <c r="AL110" t="s">
        <v>17</v>
      </c>
      <c r="AM110" t="s">
        <v>117</v>
      </c>
      <c r="AN110" t="s">
        <v>341</v>
      </c>
      <c r="AO110" t="s">
        <v>1047</v>
      </c>
      <c r="AP110" t="s">
        <v>119</v>
      </c>
      <c r="AQ110" t="s">
        <v>119</v>
      </c>
      <c r="AR110" t="s">
        <v>341</v>
      </c>
      <c r="AS110" t="s">
        <v>1048</v>
      </c>
      <c r="AT110" t="s">
        <v>341</v>
      </c>
    </row>
    <row r="111" spans="1:46">
      <c r="A111" s="1" t="s">
        <v>1049</v>
      </c>
      <c r="B111" s="1" t="s">
        <v>1050</v>
      </c>
      <c r="C111" s="1" t="s">
        <v>1051</v>
      </c>
      <c r="D111" s="1" t="s">
        <v>101</v>
      </c>
      <c r="E111" s="1" t="s">
        <v>124</v>
      </c>
      <c r="F111" s="1" t="s">
        <v>103</v>
      </c>
      <c r="G111" s="1" t="s">
        <v>1052</v>
      </c>
      <c r="H111" s="1" t="s">
        <v>1053</v>
      </c>
      <c r="I111" s="1" t="s">
        <v>127</v>
      </c>
      <c r="J111" s="1" t="s">
        <v>128</v>
      </c>
      <c r="K111" s="1" t="s">
        <v>129</v>
      </c>
      <c r="L111" s="9">
        <v>-18850.080000000002</v>
      </c>
      <c r="M111" s="1" t="s">
        <v>103</v>
      </c>
      <c r="N111" s="1" t="s">
        <v>1052</v>
      </c>
      <c r="O111" s="1" t="s">
        <v>1053</v>
      </c>
      <c r="P111" s="1" t="s">
        <v>127</v>
      </c>
      <c r="Q111" s="1" t="s">
        <v>131</v>
      </c>
      <c r="R111" s="1"/>
      <c r="S111" s="9">
        <v>18850.080000000002</v>
      </c>
      <c r="T111" s="1">
        <v>0</v>
      </c>
      <c r="U111" s="1" t="s">
        <v>132</v>
      </c>
      <c r="V111" s="1" t="s">
        <v>15</v>
      </c>
      <c r="W111" s="1" t="s">
        <v>17</v>
      </c>
      <c r="X111" s="1" t="s">
        <v>111</v>
      </c>
      <c r="Y111" s="1"/>
      <c r="Z111" s="1" t="s">
        <v>276</v>
      </c>
      <c r="AA111" s="1" t="s">
        <v>17</v>
      </c>
      <c r="AB111" s="1">
        <v>0</v>
      </c>
      <c r="AC111" s="1" t="s">
        <v>17</v>
      </c>
      <c r="AD111" t="s">
        <v>112</v>
      </c>
      <c r="AE111" t="s">
        <v>113</v>
      </c>
      <c r="AF111" t="s">
        <v>1054</v>
      </c>
      <c r="AG111" t="s">
        <v>114</v>
      </c>
      <c r="AH111" t="s">
        <v>1053</v>
      </c>
      <c r="AI111" t="s">
        <v>1053</v>
      </c>
      <c r="AJ111" t="s">
        <v>149</v>
      </c>
      <c r="AK111" t="s">
        <v>150</v>
      </c>
      <c r="AL111" t="s">
        <v>137</v>
      </c>
      <c r="AM111" t="s">
        <v>117</v>
      </c>
      <c r="AN111" t="s">
        <v>278</v>
      </c>
      <c r="AO111" t="s">
        <v>1055</v>
      </c>
      <c r="AP111" t="s">
        <v>119</v>
      </c>
      <c r="AQ111" t="s">
        <v>119</v>
      </c>
      <c r="AR111" t="s">
        <v>278</v>
      </c>
      <c r="AS111" t="s">
        <v>1056</v>
      </c>
      <c r="AT111" t="s">
        <v>1052</v>
      </c>
    </row>
    <row r="112" spans="1:46">
      <c r="A112" s="1" t="s">
        <v>1057</v>
      </c>
      <c r="B112" s="1" t="s">
        <v>1058</v>
      </c>
      <c r="C112" s="1" t="s">
        <v>1059</v>
      </c>
      <c r="D112" s="1" t="s">
        <v>101</v>
      </c>
      <c r="E112" s="1" t="s">
        <v>102</v>
      </c>
      <c r="F112" s="1" t="s">
        <v>103</v>
      </c>
      <c r="G112" s="1" t="s">
        <v>265</v>
      </c>
      <c r="H112" s="1" t="s">
        <v>1060</v>
      </c>
      <c r="I112" s="1" t="s">
        <v>106</v>
      </c>
      <c r="J112" s="1" t="s">
        <v>107</v>
      </c>
      <c r="K112" s="1"/>
      <c r="L112" s="9">
        <v>23666.83</v>
      </c>
      <c r="M112" s="1" t="s">
        <v>103</v>
      </c>
      <c r="N112" s="1" t="s">
        <v>265</v>
      </c>
      <c r="O112" s="1"/>
      <c r="P112" s="1" t="s">
        <v>106</v>
      </c>
      <c r="Q112" s="1" t="s">
        <v>108</v>
      </c>
      <c r="R112" s="1" t="s">
        <v>109</v>
      </c>
      <c r="S112" s="9">
        <v>-23666.83</v>
      </c>
      <c r="T112" s="1">
        <v>0</v>
      </c>
      <c r="U112" s="1" t="s">
        <v>110</v>
      </c>
      <c r="V112" s="1" t="s">
        <v>15</v>
      </c>
      <c r="W112" s="1" t="s">
        <v>17</v>
      </c>
      <c r="X112" s="1" t="s">
        <v>111</v>
      </c>
      <c r="Y112" s="1"/>
      <c r="Z112" s="1" t="s">
        <v>1060</v>
      </c>
      <c r="AA112" s="1" t="s">
        <v>17</v>
      </c>
      <c r="AB112" s="1">
        <v>0</v>
      </c>
      <c r="AC112" s="1" t="s">
        <v>17</v>
      </c>
      <c r="AD112" t="s">
        <v>112</v>
      </c>
      <c r="AE112" t="s">
        <v>113</v>
      </c>
      <c r="AF112" t="s">
        <v>1060</v>
      </c>
      <c r="AG112" t="s">
        <v>114</v>
      </c>
      <c r="AH112" t="s">
        <v>1061</v>
      </c>
      <c r="AI112" t="s">
        <v>1061</v>
      </c>
      <c r="AJ112" t="s">
        <v>17</v>
      </c>
      <c r="AK112" t="s">
        <v>116</v>
      </c>
      <c r="AL112" t="s">
        <v>17</v>
      </c>
      <c r="AM112" t="s">
        <v>117</v>
      </c>
      <c r="AN112" t="s">
        <v>265</v>
      </c>
      <c r="AO112" t="s">
        <v>1062</v>
      </c>
      <c r="AP112" t="s">
        <v>119</v>
      </c>
      <c r="AQ112" t="s">
        <v>119</v>
      </c>
      <c r="AR112" t="s">
        <v>265</v>
      </c>
      <c r="AS112" t="s">
        <v>1063</v>
      </c>
      <c r="AT112" t="s">
        <v>265</v>
      </c>
    </row>
    <row r="113" spans="1:46">
      <c r="A113" s="1" t="s">
        <v>1064</v>
      </c>
      <c r="B113" s="1" t="s">
        <v>1065</v>
      </c>
      <c r="C113" s="1" t="s">
        <v>1066</v>
      </c>
      <c r="D113" s="1" t="s">
        <v>38</v>
      </c>
      <c r="E113" s="1" t="s">
        <v>1067</v>
      </c>
      <c r="F113" s="1" t="s">
        <v>103</v>
      </c>
      <c r="G113" s="1" t="s">
        <v>1068</v>
      </c>
      <c r="H113" s="1" t="s">
        <v>254</v>
      </c>
      <c r="I113" s="1" t="s">
        <v>106</v>
      </c>
      <c r="J113" s="1" t="s">
        <v>107</v>
      </c>
      <c r="K113" s="1"/>
      <c r="L113" s="9">
        <v>187950.57</v>
      </c>
      <c r="M113" s="1" t="s">
        <v>103</v>
      </c>
      <c r="N113" s="1" t="s">
        <v>1068</v>
      </c>
      <c r="O113" s="1"/>
      <c r="P113" s="1" t="s">
        <v>106</v>
      </c>
      <c r="Q113" s="1" t="s">
        <v>108</v>
      </c>
      <c r="R113" s="1"/>
      <c r="S113" s="9">
        <v>-188950.58</v>
      </c>
      <c r="T113" s="1">
        <v>-1000.0099999999802</v>
      </c>
      <c r="U113" s="1" t="s">
        <v>1069</v>
      </c>
      <c r="V113" s="1" t="s">
        <v>15</v>
      </c>
      <c r="W113" s="1" t="s">
        <v>17</v>
      </c>
      <c r="X113" s="1" t="s">
        <v>111</v>
      </c>
      <c r="Y113" s="1"/>
      <c r="Z113" s="1" t="s">
        <v>254</v>
      </c>
      <c r="AA113" s="1" t="s">
        <v>17</v>
      </c>
      <c r="AB113" s="1">
        <v>0</v>
      </c>
      <c r="AC113" s="1" t="s">
        <v>17</v>
      </c>
      <c r="AD113" t="s">
        <v>112</v>
      </c>
      <c r="AE113" t="s">
        <v>231</v>
      </c>
      <c r="AF113" t="s">
        <v>254</v>
      </c>
      <c r="AG113" t="s">
        <v>114</v>
      </c>
      <c r="AH113" t="s">
        <v>1070</v>
      </c>
      <c r="AI113" t="s">
        <v>1070</v>
      </c>
      <c r="AJ113" t="s">
        <v>17</v>
      </c>
      <c r="AK113" t="s">
        <v>233</v>
      </c>
      <c r="AL113" t="s">
        <v>17</v>
      </c>
      <c r="AM113" t="s">
        <v>117</v>
      </c>
      <c r="AN113" t="s">
        <v>1068</v>
      </c>
      <c r="AO113" t="s">
        <v>1071</v>
      </c>
      <c r="AP113" t="s">
        <v>119</v>
      </c>
      <c r="AQ113" t="s">
        <v>119</v>
      </c>
      <c r="AR113" t="s">
        <v>1068</v>
      </c>
      <c r="AS113" t="s">
        <v>1072</v>
      </c>
      <c r="AT113" t="s">
        <v>1068</v>
      </c>
    </row>
    <row r="114" spans="1:46">
      <c r="A114" s="1" t="s">
        <v>1073</v>
      </c>
      <c r="B114" s="1" t="s">
        <v>1074</v>
      </c>
      <c r="C114" s="1" t="s">
        <v>1075</v>
      </c>
      <c r="D114" s="1" t="s">
        <v>101</v>
      </c>
      <c r="E114" s="1" t="s">
        <v>124</v>
      </c>
      <c r="F114" s="1" t="s">
        <v>103</v>
      </c>
      <c r="G114" s="1" t="s">
        <v>752</v>
      </c>
      <c r="H114" s="1" t="s">
        <v>1076</v>
      </c>
      <c r="I114" s="1" t="s">
        <v>127</v>
      </c>
      <c r="J114" s="1" t="s">
        <v>128</v>
      </c>
      <c r="K114" s="1" t="s">
        <v>129</v>
      </c>
      <c r="L114" s="9">
        <v>-15289.51</v>
      </c>
      <c r="M114" s="1" t="s">
        <v>103</v>
      </c>
      <c r="N114" s="1" t="s">
        <v>752</v>
      </c>
      <c r="O114" s="1" t="s">
        <v>1076</v>
      </c>
      <c r="P114" s="1" t="s">
        <v>127</v>
      </c>
      <c r="Q114" s="1" t="s">
        <v>131</v>
      </c>
      <c r="R114" s="1"/>
      <c r="S114" s="9">
        <v>15289.51</v>
      </c>
      <c r="T114" s="1">
        <v>0</v>
      </c>
      <c r="U114" s="1" t="s">
        <v>132</v>
      </c>
      <c r="V114" s="1" t="s">
        <v>15</v>
      </c>
      <c r="W114" s="1" t="s">
        <v>17</v>
      </c>
      <c r="X114" s="1" t="s">
        <v>111</v>
      </c>
      <c r="Y114" s="1"/>
      <c r="Z114" s="1" t="s">
        <v>815</v>
      </c>
      <c r="AA114" s="1" t="s">
        <v>17</v>
      </c>
      <c r="AB114" s="1">
        <v>0</v>
      </c>
      <c r="AC114" s="1" t="s">
        <v>17</v>
      </c>
      <c r="AD114" t="s">
        <v>112</v>
      </c>
      <c r="AE114" t="s">
        <v>113</v>
      </c>
      <c r="AF114" t="s">
        <v>1077</v>
      </c>
      <c r="AG114" t="s">
        <v>114</v>
      </c>
      <c r="AH114" t="s">
        <v>1076</v>
      </c>
      <c r="AI114" t="s">
        <v>1076</v>
      </c>
      <c r="AJ114" t="s">
        <v>149</v>
      </c>
      <c r="AK114" t="s">
        <v>150</v>
      </c>
      <c r="AL114" t="s">
        <v>137</v>
      </c>
      <c r="AM114" t="s">
        <v>117</v>
      </c>
      <c r="AN114" t="s">
        <v>1078</v>
      </c>
      <c r="AO114" t="s">
        <v>429</v>
      </c>
      <c r="AP114" t="s">
        <v>119</v>
      </c>
      <c r="AQ114" t="s">
        <v>119</v>
      </c>
      <c r="AR114" t="s">
        <v>1078</v>
      </c>
      <c r="AS114" t="s">
        <v>430</v>
      </c>
      <c r="AT114" t="s">
        <v>1079</v>
      </c>
    </row>
    <row r="115" spans="1:46">
      <c r="A115" s="1" t="s">
        <v>1080</v>
      </c>
      <c r="B115" s="1" t="s">
        <v>1081</v>
      </c>
      <c r="C115" s="1" t="s">
        <v>1082</v>
      </c>
      <c r="D115" s="1" t="s">
        <v>101</v>
      </c>
      <c r="E115" s="1" t="s">
        <v>102</v>
      </c>
      <c r="F115" s="1" t="s">
        <v>103</v>
      </c>
      <c r="G115" s="1" t="s">
        <v>901</v>
      </c>
      <c r="H115" s="1" t="s">
        <v>1083</v>
      </c>
      <c r="I115" s="1" t="s">
        <v>106</v>
      </c>
      <c r="J115" s="1" t="s">
        <v>107</v>
      </c>
      <c r="K115" s="1"/>
      <c r="L115" s="9">
        <v>8120</v>
      </c>
      <c r="M115" s="1" t="s">
        <v>103</v>
      </c>
      <c r="N115" s="1" t="s">
        <v>901</v>
      </c>
      <c r="O115" s="1"/>
      <c r="P115" s="1" t="s">
        <v>106</v>
      </c>
      <c r="Q115" s="1" t="s">
        <v>108</v>
      </c>
      <c r="R115" s="1" t="s">
        <v>109</v>
      </c>
      <c r="S115" s="9">
        <v>-8120</v>
      </c>
      <c r="T115" s="1">
        <v>0</v>
      </c>
      <c r="U115" s="1" t="s">
        <v>110</v>
      </c>
      <c r="V115" s="1" t="s">
        <v>15</v>
      </c>
      <c r="W115" s="1" t="s">
        <v>17</v>
      </c>
      <c r="X115" s="1" t="s">
        <v>111</v>
      </c>
      <c r="Y115" s="1"/>
      <c r="Z115" s="1" t="s">
        <v>1083</v>
      </c>
      <c r="AA115" s="1" t="s">
        <v>17</v>
      </c>
      <c r="AB115" s="1">
        <v>0</v>
      </c>
      <c r="AC115" s="1" t="s">
        <v>17</v>
      </c>
      <c r="AD115" t="s">
        <v>112</v>
      </c>
      <c r="AE115" t="s">
        <v>113</v>
      </c>
      <c r="AF115" t="s">
        <v>1083</v>
      </c>
      <c r="AG115" t="s">
        <v>114</v>
      </c>
      <c r="AH115" t="s">
        <v>1084</v>
      </c>
      <c r="AI115" t="s">
        <v>1084</v>
      </c>
      <c r="AJ115" t="s">
        <v>17</v>
      </c>
      <c r="AK115" t="s">
        <v>161</v>
      </c>
      <c r="AL115" t="s">
        <v>17</v>
      </c>
      <c r="AM115" t="s">
        <v>117</v>
      </c>
      <c r="AN115" t="s">
        <v>901</v>
      </c>
      <c r="AO115" t="s">
        <v>987</v>
      </c>
      <c r="AP115" t="s">
        <v>119</v>
      </c>
      <c r="AQ115" t="s">
        <v>119</v>
      </c>
      <c r="AR115" t="s">
        <v>901</v>
      </c>
      <c r="AS115" t="s">
        <v>988</v>
      </c>
      <c r="AT115" t="s">
        <v>901</v>
      </c>
    </row>
    <row r="116" spans="1:46">
      <c r="A116" s="1" t="s">
        <v>1085</v>
      </c>
      <c r="B116" s="1" t="s">
        <v>1086</v>
      </c>
      <c r="C116" s="1" t="s">
        <v>1087</v>
      </c>
      <c r="D116" s="1" t="s">
        <v>40</v>
      </c>
      <c r="E116" s="1" t="s">
        <v>124</v>
      </c>
      <c r="F116" s="1" t="s">
        <v>103</v>
      </c>
      <c r="G116" s="1" t="s">
        <v>1088</v>
      </c>
      <c r="H116" s="1" t="s">
        <v>1089</v>
      </c>
      <c r="I116" s="1" t="s">
        <v>127</v>
      </c>
      <c r="J116" s="1" t="s">
        <v>128</v>
      </c>
      <c r="K116" s="1" t="s">
        <v>129</v>
      </c>
      <c r="L116" s="9">
        <v>-15917</v>
      </c>
      <c r="M116" s="1" t="s">
        <v>103</v>
      </c>
      <c r="N116" s="1" t="s">
        <v>1088</v>
      </c>
      <c r="O116" s="1" t="s">
        <v>1089</v>
      </c>
      <c r="P116" s="1" t="s">
        <v>127</v>
      </c>
      <c r="Q116" s="1" t="s">
        <v>131</v>
      </c>
      <c r="R116" s="1"/>
      <c r="S116" s="9">
        <v>15917.84</v>
      </c>
      <c r="T116" s="1">
        <v>0.84000000000014552</v>
      </c>
      <c r="U116" s="1" t="s">
        <v>146</v>
      </c>
      <c r="V116" s="1" t="s">
        <v>15</v>
      </c>
      <c r="W116" s="1" t="s">
        <v>17</v>
      </c>
      <c r="X116" s="1" t="s">
        <v>111</v>
      </c>
      <c r="Y116" s="1"/>
      <c r="Z116" s="1" t="s">
        <v>1090</v>
      </c>
      <c r="AA116" s="1" t="s">
        <v>17</v>
      </c>
      <c r="AB116" s="1">
        <v>0</v>
      </c>
      <c r="AC116" s="1" t="s">
        <v>17</v>
      </c>
      <c r="AD116" t="s">
        <v>112</v>
      </c>
      <c r="AE116" t="s">
        <v>113</v>
      </c>
      <c r="AF116" t="s">
        <v>1091</v>
      </c>
      <c r="AG116" t="s">
        <v>114</v>
      </c>
      <c r="AH116" t="s">
        <v>1089</v>
      </c>
      <c r="AI116" t="s">
        <v>1089</v>
      </c>
      <c r="AJ116" t="s">
        <v>135</v>
      </c>
      <c r="AK116" t="s">
        <v>200</v>
      </c>
      <c r="AL116" t="s">
        <v>137</v>
      </c>
      <c r="AM116" t="s">
        <v>117</v>
      </c>
      <c r="AN116" t="s">
        <v>395</v>
      </c>
      <c r="AO116" t="s">
        <v>1092</v>
      </c>
      <c r="AP116" t="s">
        <v>119</v>
      </c>
      <c r="AQ116" t="s">
        <v>119</v>
      </c>
      <c r="AR116" t="s">
        <v>395</v>
      </c>
      <c r="AS116" t="s">
        <v>1093</v>
      </c>
      <c r="AT116" t="s">
        <v>1094</v>
      </c>
    </row>
    <row r="117" spans="1:46">
      <c r="A117" s="1" t="s">
        <v>1095</v>
      </c>
      <c r="B117" s="1" t="s">
        <v>1096</v>
      </c>
      <c r="C117" s="1" t="s">
        <v>1097</v>
      </c>
      <c r="D117" s="1" t="s">
        <v>101</v>
      </c>
      <c r="E117" s="1" t="s">
        <v>124</v>
      </c>
      <c r="F117" s="1" t="s">
        <v>103</v>
      </c>
      <c r="G117" s="1" t="s">
        <v>921</v>
      </c>
      <c r="H117" s="1" t="s">
        <v>1098</v>
      </c>
      <c r="I117" s="1" t="s">
        <v>127</v>
      </c>
      <c r="J117" s="1" t="s">
        <v>128</v>
      </c>
      <c r="K117" s="1" t="s">
        <v>129</v>
      </c>
      <c r="L117" s="9">
        <v>-16127.29</v>
      </c>
      <c r="M117" s="1" t="s">
        <v>103</v>
      </c>
      <c r="N117" s="1" t="s">
        <v>921</v>
      </c>
      <c r="O117" s="1" t="s">
        <v>1098</v>
      </c>
      <c r="P117" s="1" t="s">
        <v>127</v>
      </c>
      <c r="Q117" s="1" t="s">
        <v>131</v>
      </c>
      <c r="R117" s="1"/>
      <c r="S117" s="9">
        <v>16127.29</v>
      </c>
      <c r="T117" s="1">
        <v>0</v>
      </c>
      <c r="U117" s="1" t="s">
        <v>132</v>
      </c>
      <c r="V117" s="1" t="s">
        <v>15</v>
      </c>
      <c r="W117" s="1" t="s">
        <v>17</v>
      </c>
      <c r="X117" s="1" t="s">
        <v>111</v>
      </c>
      <c r="Y117" s="1"/>
      <c r="Z117" s="1" t="s">
        <v>910</v>
      </c>
      <c r="AA117" s="1" t="s">
        <v>17</v>
      </c>
      <c r="AB117" s="1">
        <v>0</v>
      </c>
      <c r="AC117" s="1" t="s">
        <v>17</v>
      </c>
      <c r="AD117" t="s">
        <v>112</v>
      </c>
      <c r="AE117" t="s">
        <v>113</v>
      </c>
      <c r="AF117" t="s">
        <v>1099</v>
      </c>
      <c r="AG117" t="s">
        <v>114</v>
      </c>
      <c r="AH117" t="s">
        <v>1098</v>
      </c>
      <c r="AI117" t="s">
        <v>1098</v>
      </c>
      <c r="AJ117" t="s">
        <v>149</v>
      </c>
      <c r="AK117" t="s">
        <v>150</v>
      </c>
      <c r="AL117" t="s">
        <v>137</v>
      </c>
      <c r="AM117" t="s">
        <v>117</v>
      </c>
      <c r="AN117" t="s">
        <v>761</v>
      </c>
      <c r="AO117" t="s">
        <v>399</v>
      </c>
      <c r="AP117" t="s">
        <v>119</v>
      </c>
      <c r="AQ117" t="s">
        <v>119</v>
      </c>
      <c r="AR117" t="s">
        <v>761</v>
      </c>
      <c r="AS117" t="s">
        <v>401</v>
      </c>
      <c r="AT117" t="s">
        <v>629</v>
      </c>
    </row>
    <row r="118" spans="1:46">
      <c r="A118" s="1" t="s">
        <v>1100</v>
      </c>
      <c r="B118" s="1" t="s">
        <v>1101</v>
      </c>
      <c r="C118" s="1" t="s">
        <v>1102</v>
      </c>
      <c r="D118" s="1" t="s">
        <v>101</v>
      </c>
      <c r="E118" s="1" t="s">
        <v>124</v>
      </c>
      <c r="F118" s="1" t="s">
        <v>103</v>
      </c>
      <c r="G118" s="1" t="s">
        <v>290</v>
      </c>
      <c r="H118" s="1" t="s">
        <v>1103</v>
      </c>
      <c r="I118" s="1" t="s">
        <v>127</v>
      </c>
      <c r="J118" s="1" t="s">
        <v>128</v>
      </c>
      <c r="K118" s="1" t="s">
        <v>129</v>
      </c>
      <c r="L118" s="9">
        <v>-17383.97</v>
      </c>
      <c r="M118" s="1" t="s">
        <v>103</v>
      </c>
      <c r="N118" s="1" t="s">
        <v>290</v>
      </c>
      <c r="O118" s="1" t="s">
        <v>1103</v>
      </c>
      <c r="P118" s="1" t="s">
        <v>127</v>
      </c>
      <c r="Q118" s="1" t="s">
        <v>131</v>
      </c>
      <c r="R118" s="1"/>
      <c r="S118" s="9">
        <v>17383.97</v>
      </c>
      <c r="T118" s="1">
        <v>0</v>
      </c>
      <c r="U118" s="1" t="s">
        <v>132</v>
      </c>
      <c r="V118" s="1" t="s">
        <v>15</v>
      </c>
      <c r="W118" s="1" t="s">
        <v>17</v>
      </c>
      <c r="X118" s="1" t="s">
        <v>111</v>
      </c>
      <c r="Y118" s="1"/>
      <c r="Z118" s="1" t="s">
        <v>1104</v>
      </c>
      <c r="AA118" s="1" t="s">
        <v>17</v>
      </c>
      <c r="AB118" s="1">
        <v>0</v>
      </c>
      <c r="AC118" s="1" t="s">
        <v>17</v>
      </c>
      <c r="AD118" t="s">
        <v>112</v>
      </c>
      <c r="AE118" t="s">
        <v>113</v>
      </c>
      <c r="AF118" t="s">
        <v>1105</v>
      </c>
      <c r="AG118" t="s">
        <v>114</v>
      </c>
      <c r="AH118" t="s">
        <v>1103</v>
      </c>
      <c r="AI118" t="s">
        <v>1103</v>
      </c>
      <c r="AJ118" t="s">
        <v>149</v>
      </c>
      <c r="AK118" t="s">
        <v>116</v>
      </c>
      <c r="AL118" t="s">
        <v>137</v>
      </c>
      <c r="AM118" t="s">
        <v>117</v>
      </c>
      <c r="AN118" t="s">
        <v>287</v>
      </c>
      <c r="AO118" t="s">
        <v>882</v>
      </c>
      <c r="AP118" t="s">
        <v>119</v>
      </c>
      <c r="AQ118" t="s">
        <v>119</v>
      </c>
      <c r="AR118" t="s">
        <v>287</v>
      </c>
      <c r="AS118" t="s">
        <v>883</v>
      </c>
      <c r="AT118" t="s">
        <v>1106</v>
      </c>
    </row>
    <row r="119" spans="1:46">
      <c r="A119" s="1" t="s">
        <v>1107</v>
      </c>
      <c r="B119" s="1" t="s">
        <v>1108</v>
      </c>
      <c r="C119" s="1" t="s">
        <v>1109</v>
      </c>
      <c r="D119" s="1" t="s">
        <v>101</v>
      </c>
      <c r="E119" s="1" t="s">
        <v>124</v>
      </c>
      <c r="F119" s="1" t="s">
        <v>103</v>
      </c>
      <c r="G119" s="1" t="s">
        <v>1110</v>
      </c>
      <c r="H119" s="1" t="s">
        <v>1111</v>
      </c>
      <c r="I119" s="1" t="s">
        <v>127</v>
      </c>
      <c r="J119" s="1" t="s">
        <v>128</v>
      </c>
      <c r="K119" s="1" t="s">
        <v>129</v>
      </c>
      <c r="L119" s="9">
        <v>-16127.29</v>
      </c>
      <c r="M119" s="1" t="s">
        <v>103</v>
      </c>
      <c r="N119" s="1" t="s">
        <v>1110</v>
      </c>
      <c r="O119" s="1" t="s">
        <v>1111</v>
      </c>
      <c r="P119" s="1" t="s">
        <v>127</v>
      </c>
      <c r="Q119" s="1" t="s">
        <v>131</v>
      </c>
      <c r="R119" s="1"/>
      <c r="S119" s="9">
        <v>16127.29</v>
      </c>
      <c r="T119" s="1">
        <v>0</v>
      </c>
      <c r="U119" s="1" t="s">
        <v>132</v>
      </c>
      <c r="V119" s="1" t="s">
        <v>15</v>
      </c>
      <c r="W119" s="1" t="s">
        <v>17</v>
      </c>
      <c r="X119" s="1" t="s">
        <v>111</v>
      </c>
      <c r="Y119" s="1"/>
      <c r="Z119" s="1" t="s">
        <v>1112</v>
      </c>
      <c r="AA119" s="1" t="s">
        <v>17</v>
      </c>
      <c r="AB119" s="1">
        <v>0</v>
      </c>
      <c r="AC119" s="1" t="s">
        <v>17</v>
      </c>
      <c r="AD119" t="s">
        <v>112</v>
      </c>
      <c r="AE119" t="s">
        <v>113</v>
      </c>
      <c r="AF119" t="s">
        <v>1113</v>
      </c>
      <c r="AG119" t="s">
        <v>114</v>
      </c>
      <c r="AH119" t="s">
        <v>1111</v>
      </c>
      <c r="AI119" t="s">
        <v>1111</v>
      </c>
      <c r="AJ119" t="s">
        <v>149</v>
      </c>
      <c r="AK119" t="s">
        <v>116</v>
      </c>
      <c r="AL119" t="s">
        <v>137</v>
      </c>
      <c r="AM119" t="s">
        <v>117</v>
      </c>
      <c r="AN119" t="s">
        <v>703</v>
      </c>
      <c r="AO119" t="s">
        <v>399</v>
      </c>
      <c r="AP119" t="s">
        <v>119</v>
      </c>
      <c r="AQ119" t="s">
        <v>119</v>
      </c>
      <c r="AR119" t="s">
        <v>703</v>
      </c>
      <c r="AS119" t="s">
        <v>401</v>
      </c>
      <c r="AT119" t="s">
        <v>1110</v>
      </c>
    </row>
    <row r="120" spans="1:46">
      <c r="A120" s="1" t="s">
        <v>1114</v>
      </c>
      <c r="B120" s="1" t="s">
        <v>1115</v>
      </c>
      <c r="C120" s="1" t="s">
        <v>1116</v>
      </c>
      <c r="D120" s="1" t="s">
        <v>36</v>
      </c>
      <c r="E120" s="1" t="s">
        <v>124</v>
      </c>
      <c r="F120" s="1" t="s">
        <v>103</v>
      </c>
      <c r="G120" s="1" t="s">
        <v>1117</v>
      </c>
      <c r="H120" s="1" t="s">
        <v>1118</v>
      </c>
      <c r="I120" s="1" t="s">
        <v>127</v>
      </c>
      <c r="J120" s="1" t="s">
        <v>241</v>
      </c>
      <c r="K120" s="1" t="s">
        <v>1119</v>
      </c>
      <c r="L120" s="9">
        <v>-8120</v>
      </c>
      <c r="M120" s="1" t="s">
        <v>103</v>
      </c>
      <c r="N120" s="1" t="s">
        <v>1117</v>
      </c>
      <c r="O120" s="1" t="s">
        <v>1118</v>
      </c>
      <c r="P120" s="1" t="s">
        <v>127</v>
      </c>
      <c r="Q120" s="1" t="s">
        <v>131</v>
      </c>
      <c r="R120" s="1"/>
      <c r="S120" s="9">
        <v>8260</v>
      </c>
      <c r="T120" s="1">
        <v>140</v>
      </c>
      <c r="U120" s="1" t="s">
        <v>243</v>
      </c>
      <c r="V120" s="1" t="s">
        <v>15</v>
      </c>
      <c r="W120" s="1" t="s">
        <v>17</v>
      </c>
      <c r="X120" s="1" t="s">
        <v>111</v>
      </c>
      <c r="Y120" s="1"/>
      <c r="Z120" s="1" t="s">
        <v>1120</v>
      </c>
      <c r="AA120" s="1" t="s">
        <v>17</v>
      </c>
      <c r="AB120" s="1">
        <v>-140</v>
      </c>
      <c r="AC120" s="1" t="s">
        <v>17</v>
      </c>
      <c r="AD120" t="s">
        <v>112</v>
      </c>
      <c r="AE120" t="s">
        <v>113</v>
      </c>
      <c r="AF120" t="s">
        <v>1121</v>
      </c>
      <c r="AG120" t="s">
        <v>114</v>
      </c>
      <c r="AH120" t="s">
        <v>1118</v>
      </c>
      <c r="AI120" t="s">
        <v>1118</v>
      </c>
      <c r="AJ120" t="s">
        <v>149</v>
      </c>
      <c r="AK120" t="s">
        <v>308</v>
      </c>
      <c r="AL120" t="s">
        <v>137</v>
      </c>
      <c r="AM120" t="s">
        <v>117</v>
      </c>
      <c r="AN120" t="s">
        <v>1122</v>
      </c>
      <c r="AO120" t="s">
        <v>246</v>
      </c>
      <c r="AP120" t="s">
        <v>119</v>
      </c>
      <c r="AQ120" t="s">
        <v>119</v>
      </c>
      <c r="AR120" t="s">
        <v>1122</v>
      </c>
      <c r="AS120" t="s">
        <v>247</v>
      </c>
      <c r="AT120" t="s">
        <v>1123</v>
      </c>
    </row>
    <row r="121" spans="1:46">
      <c r="A121" s="1" t="s">
        <v>1124</v>
      </c>
      <c r="B121" s="1" t="s">
        <v>1125</v>
      </c>
      <c r="C121" s="1" t="s">
        <v>1126</v>
      </c>
      <c r="D121" s="1" t="s">
        <v>101</v>
      </c>
      <c r="E121" s="1" t="s">
        <v>102</v>
      </c>
      <c r="F121" s="1" t="s">
        <v>103</v>
      </c>
      <c r="G121" s="1" t="s">
        <v>431</v>
      </c>
      <c r="H121" s="1" t="s">
        <v>336</v>
      </c>
      <c r="I121" s="1" t="s">
        <v>106</v>
      </c>
      <c r="J121" s="1" t="s">
        <v>107</v>
      </c>
      <c r="K121" s="1"/>
      <c r="L121" s="9">
        <v>328908.40000000002</v>
      </c>
      <c r="M121" s="1" t="s">
        <v>103</v>
      </c>
      <c r="N121" s="1" t="s">
        <v>431</v>
      </c>
      <c r="O121" s="1"/>
      <c r="P121" s="1" t="s">
        <v>106</v>
      </c>
      <c r="Q121" s="1" t="s">
        <v>108</v>
      </c>
      <c r="R121" s="1" t="s">
        <v>109</v>
      </c>
      <c r="S121" s="9">
        <v>-328908.40000000002</v>
      </c>
      <c r="T121" s="1">
        <v>0</v>
      </c>
      <c r="U121" s="1" t="s">
        <v>110</v>
      </c>
      <c r="V121" s="1" t="s">
        <v>15</v>
      </c>
      <c r="W121" s="1" t="s">
        <v>17</v>
      </c>
      <c r="X121" s="1" t="s">
        <v>111</v>
      </c>
      <c r="Y121" s="1"/>
      <c r="Z121" s="1" t="s">
        <v>336</v>
      </c>
      <c r="AA121" s="1" t="s">
        <v>17</v>
      </c>
      <c r="AB121" s="1">
        <v>0</v>
      </c>
      <c r="AC121" s="1" t="s">
        <v>17</v>
      </c>
      <c r="AD121" t="s">
        <v>112</v>
      </c>
      <c r="AE121" t="s">
        <v>113</v>
      </c>
      <c r="AF121" t="s">
        <v>336</v>
      </c>
      <c r="AG121" t="s">
        <v>114</v>
      </c>
      <c r="AH121" t="s">
        <v>1127</v>
      </c>
      <c r="AI121" t="s">
        <v>1127</v>
      </c>
      <c r="AJ121" t="s">
        <v>17</v>
      </c>
      <c r="AK121" t="s">
        <v>408</v>
      </c>
      <c r="AL121" t="s">
        <v>17</v>
      </c>
      <c r="AM121" t="s">
        <v>117</v>
      </c>
      <c r="AN121" t="s">
        <v>431</v>
      </c>
      <c r="AO121" t="s">
        <v>1128</v>
      </c>
      <c r="AP121" t="s">
        <v>119</v>
      </c>
      <c r="AQ121" t="s">
        <v>119</v>
      </c>
      <c r="AR121" t="s">
        <v>431</v>
      </c>
      <c r="AS121" t="s">
        <v>1129</v>
      </c>
      <c r="AT121" t="s">
        <v>431</v>
      </c>
    </row>
    <row r="122" spans="1:46">
      <c r="A122" s="1" t="s">
        <v>1130</v>
      </c>
      <c r="B122" s="1" t="s">
        <v>1131</v>
      </c>
      <c r="C122" s="1" t="s">
        <v>1132</v>
      </c>
      <c r="D122" s="1" t="s">
        <v>101</v>
      </c>
      <c r="E122" s="1" t="s">
        <v>102</v>
      </c>
      <c r="F122" s="1" t="s">
        <v>103</v>
      </c>
      <c r="G122" s="1" t="s">
        <v>1133</v>
      </c>
      <c r="H122" s="1" t="s">
        <v>1134</v>
      </c>
      <c r="I122" s="1" t="s">
        <v>106</v>
      </c>
      <c r="J122" s="1" t="s">
        <v>107</v>
      </c>
      <c r="K122" s="1"/>
      <c r="L122" s="9">
        <v>21572</v>
      </c>
      <c r="M122" s="1" t="s">
        <v>103</v>
      </c>
      <c r="N122" s="1" t="s">
        <v>1133</v>
      </c>
      <c r="O122" s="1"/>
      <c r="P122" s="1" t="s">
        <v>106</v>
      </c>
      <c r="Q122" s="1" t="s">
        <v>108</v>
      </c>
      <c r="R122" s="1" t="s">
        <v>109</v>
      </c>
      <c r="S122" s="9">
        <v>-21572</v>
      </c>
      <c r="T122" s="1">
        <v>0</v>
      </c>
      <c r="U122" s="1" t="s">
        <v>110</v>
      </c>
      <c r="V122" s="1" t="s">
        <v>15</v>
      </c>
      <c r="W122" s="1" t="s">
        <v>17</v>
      </c>
      <c r="X122" s="1" t="s">
        <v>111</v>
      </c>
      <c r="Y122" s="1"/>
      <c r="Z122" s="1" t="s">
        <v>1134</v>
      </c>
      <c r="AA122" s="1" t="s">
        <v>17</v>
      </c>
      <c r="AB122" s="1">
        <v>0</v>
      </c>
      <c r="AC122" s="1" t="s">
        <v>17</v>
      </c>
      <c r="AD122" t="s">
        <v>112</v>
      </c>
      <c r="AE122" t="s">
        <v>113</v>
      </c>
      <c r="AF122" t="s">
        <v>1134</v>
      </c>
      <c r="AG122" t="s">
        <v>114</v>
      </c>
      <c r="AH122" t="s">
        <v>1135</v>
      </c>
      <c r="AI122" t="s">
        <v>1135</v>
      </c>
      <c r="AJ122" t="s">
        <v>17</v>
      </c>
      <c r="AK122" t="s">
        <v>308</v>
      </c>
      <c r="AL122" t="s">
        <v>17</v>
      </c>
      <c r="AM122" t="s">
        <v>117</v>
      </c>
      <c r="AN122" t="s">
        <v>1133</v>
      </c>
      <c r="AO122" t="s">
        <v>1136</v>
      </c>
      <c r="AP122" t="s">
        <v>119</v>
      </c>
      <c r="AQ122" t="s">
        <v>119</v>
      </c>
      <c r="AR122" t="s">
        <v>1133</v>
      </c>
      <c r="AS122" t="s">
        <v>1137</v>
      </c>
      <c r="AT122" t="s">
        <v>1133</v>
      </c>
    </row>
    <row r="123" spans="1:46">
      <c r="A123" s="1" t="s">
        <v>1138</v>
      </c>
      <c r="B123" s="1" t="s">
        <v>1139</v>
      </c>
      <c r="C123" s="1" t="s">
        <v>1140</v>
      </c>
      <c r="D123" s="1" t="s">
        <v>101</v>
      </c>
      <c r="E123" s="1" t="s">
        <v>124</v>
      </c>
      <c r="F123" s="1" t="s">
        <v>103</v>
      </c>
      <c r="G123" s="1" t="s">
        <v>416</v>
      </c>
      <c r="H123" s="1" t="s">
        <v>1141</v>
      </c>
      <c r="I123" s="1" t="s">
        <v>127</v>
      </c>
      <c r="J123" s="1" t="s">
        <v>128</v>
      </c>
      <c r="K123" s="1" t="s">
        <v>129</v>
      </c>
      <c r="L123" s="9">
        <v>-14451.72</v>
      </c>
      <c r="M123" s="1" t="s">
        <v>103</v>
      </c>
      <c r="N123" s="1" t="s">
        <v>416</v>
      </c>
      <c r="O123" s="1" t="s">
        <v>1141</v>
      </c>
      <c r="P123" s="1" t="s">
        <v>127</v>
      </c>
      <c r="Q123" s="1" t="s">
        <v>131</v>
      </c>
      <c r="R123" s="1"/>
      <c r="S123" s="9">
        <v>14451.72</v>
      </c>
      <c r="T123" s="1">
        <v>0</v>
      </c>
      <c r="U123" s="1" t="s">
        <v>132</v>
      </c>
      <c r="V123" s="1" t="s">
        <v>15</v>
      </c>
      <c r="W123" s="1" t="s">
        <v>17</v>
      </c>
      <c r="X123" s="1" t="s">
        <v>111</v>
      </c>
      <c r="Y123" s="1"/>
      <c r="Z123" s="1" t="s">
        <v>418</v>
      </c>
      <c r="AA123" s="1" t="s">
        <v>17</v>
      </c>
      <c r="AB123" s="1">
        <v>0</v>
      </c>
      <c r="AC123" s="1" t="s">
        <v>17</v>
      </c>
      <c r="AD123" t="s">
        <v>112</v>
      </c>
      <c r="AE123" t="s">
        <v>113</v>
      </c>
      <c r="AF123" t="s">
        <v>1142</v>
      </c>
      <c r="AG123" t="s">
        <v>114</v>
      </c>
      <c r="AH123" t="s">
        <v>1141</v>
      </c>
      <c r="AI123" t="s">
        <v>1141</v>
      </c>
      <c r="AJ123" t="s">
        <v>149</v>
      </c>
      <c r="AK123" t="s">
        <v>308</v>
      </c>
      <c r="AL123" t="s">
        <v>137</v>
      </c>
      <c r="AM123" t="s">
        <v>117</v>
      </c>
      <c r="AN123" t="s">
        <v>305</v>
      </c>
      <c r="AO123" t="s">
        <v>191</v>
      </c>
      <c r="AP123" t="s">
        <v>119</v>
      </c>
      <c r="AQ123" t="s">
        <v>119</v>
      </c>
      <c r="AR123" t="s">
        <v>305</v>
      </c>
      <c r="AS123" t="s">
        <v>192</v>
      </c>
      <c r="AT123" t="s">
        <v>416</v>
      </c>
    </row>
    <row r="124" spans="1:46">
      <c r="A124" s="1" t="s">
        <v>1143</v>
      </c>
      <c r="B124" s="1" t="s">
        <v>1144</v>
      </c>
      <c r="C124" s="1" t="s">
        <v>1145</v>
      </c>
      <c r="D124" s="1" t="s">
        <v>101</v>
      </c>
      <c r="E124" s="1" t="s">
        <v>102</v>
      </c>
      <c r="F124" s="1" t="s">
        <v>103</v>
      </c>
      <c r="G124" s="1" t="s">
        <v>1146</v>
      </c>
      <c r="H124" s="1" t="s">
        <v>426</v>
      </c>
      <c r="I124" s="1" t="s">
        <v>106</v>
      </c>
      <c r="J124" s="1" t="s">
        <v>107</v>
      </c>
      <c r="K124" s="1"/>
      <c r="L124" s="9">
        <v>45659.07</v>
      </c>
      <c r="M124" s="1" t="s">
        <v>103</v>
      </c>
      <c r="N124" s="1" t="s">
        <v>1146</v>
      </c>
      <c r="O124" s="1"/>
      <c r="P124" s="1" t="s">
        <v>106</v>
      </c>
      <c r="Q124" s="1" t="s">
        <v>108</v>
      </c>
      <c r="R124" s="1" t="s">
        <v>109</v>
      </c>
      <c r="S124" s="9">
        <v>-45659.07</v>
      </c>
      <c r="T124" s="1">
        <v>0</v>
      </c>
      <c r="U124" s="1" t="s">
        <v>110</v>
      </c>
      <c r="V124" s="1" t="s">
        <v>15</v>
      </c>
      <c r="W124" s="1" t="s">
        <v>17</v>
      </c>
      <c r="X124" s="1" t="s">
        <v>111</v>
      </c>
      <c r="Y124" s="1"/>
      <c r="Z124" s="1" t="s">
        <v>426</v>
      </c>
      <c r="AA124" s="1" t="s">
        <v>17</v>
      </c>
      <c r="AB124" s="1">
        <v>0</v>
      </c>
      <c r="AC124" s="1" t="s">
        <v>17</v>
      </c>
      <c r="AD124" t="s">
        <v>112</v>
      </c>
      <c r="AE124" t="s">
        <v>113</v>
      </c>
      <c r="AF124" t="s">
        <v>426</v>
      </c>
      <c r="AG124" t="s">
        <v>114</v>
      </c>
      <c r="AH124" t="s">
        <v>1147</v>
      </c>
      <c r="AI124" t="s">
        <v>1147</v>
      </c>
      <c r="AJ124" t="s">
        <v>17</v>
      </c>
      <c r="AK124" t="s">
        <v>408</v>
      </c>
      <c r="AL124" t="s">
        <v>17</v>
      </c>
      <c r="AM124" t="s">
        <v>117</v>
      </c>
      <c r="AN124" t="s">
        <v>1146</v>
      </c>
      <c r="AO124" t="s">
        <v>1148</v>
      </c>
      <c r="AP124" t="s">
        <v>119</v>
      </c>
      <c r="AQ124" t="s">
        <v>119</v>
      </c>
      <c r="AR124" t="s">
        <v>1146</v>
      </c>
      <c r="AS124" t="s">
        <v>1149</v>
      </c>
      <c r="AT124" t="s">
        <v>1146</v>
      </c>
    </row>
    <row r="125" spans="1:46">
      <c r="A125" s="1" t="s">
        <v>1150</v>
      </c>
      <c r="B125" s="1" t="s">
        <v>1151</v>
      </c>
      <c r="C125" s="1" t="s">
        <v>1152</v>
      </c>
      <c r="D125" s="1" t="s">
        <v>101</v>
      </c>
      <c r="E125" s="1" t="s">
        <v>124</v>
      </c>
      <c r="F125" s="1" t="s">
        <v>103</v>
      </c>
      <c r="G125" s="1" t="s">
        <v>197</v>
      </c>
      <c r="H125" s="1" t="s">
        <v>1153</v>
      </c>
      <c r="I125" s="1" t="s">
        <v>127</v>
      </c>
      <c r="J125" s="1" t="s">
        <v>128</v>
      </c>
      <c r="K125" s="1" t="s">
        <v>129</v>
      </c>
      <c r="L125" s="9">
        <v>-15498.94</v>
      </c>
      <c r="M125" s="1" t="s">
        <v>103</v>
      </c>
      <c r="N125" s="1" t="s">
        <v>1154</v>
      </c>
      <c r="O125" s="1" t="s">
        <v>1153</v>
      </c>
      <c r="P125" s="1" t="s">
        <v>127</v>
      </c>
      <c r="Q125" s="1" t="s">
        <v>131</v>
      </c>
      <c r="R125" s="1"/>
      <c r="S125" s="9">
        <v>15498.94</v>
      </c>
      <c r="T125" s="1">
        <v>0</v>
      </c>
      <c r="U125" s="1" t="s">
        <v>132</v>
      </c>
      <c r="V125" s="1" t="s">
        <v>15</v>
      </c>
      <c r="W125" s="1" t="s">
        <v>17</v>
      </c>
      <c r="X125" s="1" t="s">
        <v>111</v>
      </c>
      <c r="Y125" s="1"/>
      <c r="Z125" s="1" t="s">
        <v>465</v>
      </c>
      <c r="AA125" s="1" t="s">
        <v>17</v>
      </c>
      <c r="AB125" s="1">
        <v>0</v>
      </c>
      <c r="AC125" s="1" t="s">
        <v>17</v>
      </c>
      <c r="AD125" t="s">
        <v>112</v>
      </c>
      <c r="AE125" t="s">
        <v>113</v>
      </c>
      <c r="AF125" t="s">
        <v>1155</v>
      </c>
      <c r="AG125" t="s">
        <v>114</v>
      </c>
      <c r="AH125" t="s">
        <v>1153</v>
      </c>
      <c r="AI125" t="s">
        <v>1153</v>
      </c>
      <c r="AJ125" t="s">
        <v>135</v>
      </c>
      <c r="AK125" t="s">
        <v>200</v>
      </c>
      <c r="AL125" t="s">
        <v>137</v>
      </c>
      <c r="AM125" t="s">
        <v>117</v>
      </c>
      <c r="AN125" t="s">
        <v>448</v>
      </c>
      <c r="AO125" t="s">
        <v>139</v>
      </c>
      <c r="AP125" t="s">
        <v>119</v>
      </c>
      <c r="AQ125" t="s">
        <v>119</v>
      </c>
      <c r="AR125" t="s">
        <v>448</v>
      </c>
      <c r="AS125" t="s">
        <v>140</v>
      </c>
      <c r="AT125" t="s">
        <v>1154</v>
      </c>
    </row>
    <row r="126" spans="1:46">
      <c r="A126" s="1" t="s">
        <v>1156</v>
      </c>
      <c r="B126" s="1" t="s">
        <v>1157</v>
      </c>
      <c r="C126" s="1" t="s">
        <v>1158</v>
      </c>
      <c r="D126" s="1" t="s">
        <v>40</v>
      </c>
      <c r="E126" s="1" t="s">
        <v>124</v>
      </c>
      <c r="F126" s="1" t="s">
        <v>103</v>
      </c>
      <c r="G126" s="1" t="s">
        <v>1159</v>
      </c>
      <c r="H126" s="1" t="s">
        <v>1160</v>
      </c>
      <c r="I126" s="1" t="s">
        <v>127</v>
      </c>
      <c r="J126" s="1" t="s">
        <v>128</v>
      </c>
      <c r="K126" s="1" t="s">
        <v>1161</v>
      </c>
      <c r="L126" s="9">
        <v>-13823</v>
      </c>
      <c r="M126" s="1" t="s">
        <v>103</v>
      </c>
      <c r="N126" s="1" t="s">
        <v>1159</v>
      </c>
      <c r="O126" s="1" t="s">
        <v>1160</v>
      </c>
      <c r="P126" s="1" t="s">
        <v>127</v>
      </c>
      <c r="Q126" s="1" t="s">
        <v>131</v>
      </c>
      <c r="R126" s="1"/>
      <c r="S126" s="9">
        <v>13823.4</v>
      </c>
      <c r="T126" s="1">
        <v>0.3999999999996362</v>
      </c>
      <c r="U126" s="1" t="s">
        <v>146</v>
      </c>
      <c r="V126" s="1" t="s">
        <v>15</v>
      </c>
      <c r="W126" s="1" t="s">
        <v>17</v>
      </c>
      <c r="X126" s="1" t="s">
        <v>111</v>
      </c>
      <c r="Y126" s="1"/>
      <c r="Z126" s="1" t="s">
        <v>1162</v>
      </c>
      <c r="AA126" s="1" t="s">
        <v>17</v>
      </c>
      <c r="AB126" s="1">
        <v>0</v>
      </c>
      <c r="AC126" s="1" t="s">
        <v>17</v>
      </c>
      <c r="AD126" t="s">
        <v>112</v>
      </c>
      <c r="AE126" t="s">
        <v>113</v>
      </c>
      <c r="AF126" t="s">
        <v>1163</v>
      </c>
      <c r="AG126" t="s">
        <v>114</v>
      </c>
      <c r="AH126" t="s">
        <v>1160</v>
      </c>
      <c r="AI126" t="s">
        <v>1160</v>
      </c>
      <c r="AJ126" t="s">
        <v>149</v>
      </c>
      <c r="AK126" t="s">
        <v>161</v>
      </c>
      <c r="AL126" t="s">
        <v>137</v>
      </c>
      <c r="AM126" t="s">
        <v>117</v>
      </c>
      <c r="AN126" t="s">
        <v>157</v>
      </c>
      <c r="AO126" t="s">
        <v>1164</v>
      </c>
      <c r="AP126" t="s">
        <v>119</v>
      </c>
      <c r="AQ126" t="s">
        <v>119</v>
      </c>
      <c r="AR126" t="s">
        <v>157</v>
      </c>
      <c r="AS126" t="s">
        <v>1165</v>
      </c>
      <c r="AT126" t="s">
        <v>1159</v>
      </c>
    </row>
    <row r="127" spans="1:46">
      <c r="A127" s="1" t="s">
        <v>1166</v>
      </c>
      <c r="B127" s="1" t="s">
        <v>1167</v>
      </c>
      <c r="C127" s="1" t="s">
        <v>1168</v>
      </c>
      <c r="D127" s="1" t="s">
        <v>101</v>
      </c>
      <c r="E127" s="1" t="s">
        <v>102</v>
      </c>
      <c r="F127" s="1" t="s">
        <v>103</v>
      </c>
      <c r="G127" s="1" t="s">
        <v>895</v>
      </c>
      <c r="H127" s="1" t="s">
        <v>1169</v>
      </c>
      <c r="I127" s="1" t="s">
        <v>106</v>
      </c>
      <c r="J127" s="1" t="s">
        <v>107</v>
      </c>
      <c r="K127" s="1"/>
      <c r="L127" s="9">
        <v>14032</v>
      </c>
      <c r="M127" s="1" t="s">
        <v>103</v>
      </c>
      <c r="N127" s="1" t="s">
        <v>895</v>
      </c>
      <c r="O127" s="1"/>
      <c r="P127" s="1" t="s">
        <v>106</v>
      </c>
      <c r="Q127" s="1" t="s">
        <v>108</v>
      </c>
      <c r="R127" s="1" t="s">
        <v>109</v>
      </c>
      <c r="S127" s="9">
        <v>-14032</v>
      </c>
      <c r="T127" s="1">
        <v>0</v>
      </c>
      <c r="U127" s="1" t="s">
        <v>110</v>
      </c>
      <c r="V127" s="1" t="s">
        <v>15</v>
      </c>
      <c r="W127" s="1" t="s">
        <v>17</v>
      </c>
      <c r="X127" s="1" t="s">
        <v>111</v>
      </c>
      <c r="Y127" s="1"/>
      <c r="Z127" s="1" t="s">
        <v>1169</v>
      </c>
      <c r="AA127" s="1" t="s">
        <v>17</v>
      </c>
      <c r="AB127" s="1">
        <v>0</v>
      </c>
      <c r="AC127" s="1" t="s">
        <v>17</v>
      </c>
      <c r="AD127" t="s">
        <v>112</v>
      </c>
      <c r="AE127" t="s">
        <v>113</v>
      </c>
      <c r="AF127" t="s">
        <v>1169</v>
      </c>
      <c r="AG127" t="s">
        <v>114</v>
      </c>
      <c r="AH127" t="s">
        <v>1170</v>
      </c>
      <c r="AI127" t="s">
        <v>1170</v>
      </c>
      <c r="AJ127" t="s">
        <v>17</v>
      </c>
      <c r="AK127" t="s">
        <v>116</v>
      </c>
      <c r="AL127" t="s">
        <v>17</v>
      </c>
      <c r="AM127" t="s">
        <v>117</v>
      </c>
      <c r="AN127" t="s">
        <v>895</v>
      </c>
      <c r="AO127" t="s">
        <v>1171</v>
      </c>
      <c r="AP127" t="s">
        <v>119</v>
      </c>
      <c r="AQ127" t="s">
        <v>119</v>
      </c>
      <c r="AR127" t="s">
        <v>895</v>
      </c>
      <c r="AS127" t="s">
        <v>1172</v>
      </c>
      <c r="AT127" t="s">
        <v>895</v>
      </c>
    </row>
    <row r="128" spans="1:46">
      <c r="A128" s="1" t="s">
        <v>1173</v>
      </c>
      <c r="B128" s="1" t="s">
        <v>1174</v>
      </c>
      <c r="C128" s="1" t="s">
        <v>1175</v>
      </c>
      <c r="D128" s="1" t="s">
        <v>101</v>
      </c>
      <c r="E128" s="1" t="s">
        <v>352</v>
      </c>
      <c r="F128" s="1" t="s">
        <v>103</v>
      </c>
      <c r="G128" s="1" t="s">
        <v>930</v>
      </c>
      <c r="H128" s="1" t="s">
        <v>1176</v>
      </c>
      <c r="I128" s="1" t="s">
        <v>106</v>
      </c>
      <c r="J128" s="1" t="s">
        <v>107</v>
      </c>
      <c r="K128" s="1"/>
      <c r="L128" s="9">
        <v>12566.72</v>
      </c>
      <c r="M128" s="1" t="s">
        <v>103</v>
      </c>
      <c r="N128" s="1" t="s">
        <v>1177</v>
      </c>
      <c r="O128" s="1"/>
      <c r="P128" s="1" t="s">
        <v>106</v>
      </c>
      <c r="Q128" s="1" t="s">
        <v>108</v>
      </c>
      <c r="R128" s="1" t="s">
        <v>109</v>
      </c>
      <c r="S128" s="9">
        <v>-12566.72</v>
      </c>
      <c r="T128" s="1">
        <v>0</v>
      </c>
      <c r="U128" s="1" t="s">
        <v>356</v>
      </c>
      <c r="V128" s="1" t="s">
        <v>15</v>
      </c>
      <c r="W128" s="1" t="s">
        <v>17</v>
      </c>
      <c r="X128" s="1" t="s">
        <v>111</v>
      </c>
      <c r="Y128" s="1"/>
      <c r="Z128" s="1" t="s">
        <v>1176</v>
      </c>
      <c r="AA128" s="1" t="s">
        <v>17</v>
      </c>
      <c r="AB128" s="1">
        <v>0</v>
      </c>
      <c r="AC128" s="1" t="s">
        <v>17</v>
      </c>
      <c r="AD128" t="s">
        <v>112</v>
      </c>
      <c r="AE128" t="s">
        <v>113</v>
      </c>
      <c r="AF128" t="s">
        <v>1176</v>
      </c>
      <c r="AG128" t="s">
        <v>114</v>
      </c>
      <c r="AH128" t="s">
        <v>1178</v>
      </c>
      <c r="AI128" t="s">
        <v>1178</v>
      </c>
      <c r="AJ128" t="s">
        <v>17</v>
      </c>
      <c r="AK128" t="s">
        <v>663</v>
      </c>
      <c r="AL128" t="s">
        <v>17</v>
      </c>
      <c r="AM128" t="s">
        <v>117</v>
      </c>
      <c r="AN128" t="s">
        <v>930</v>
      </c>
      <c r="AO128" t="s">
        <v>1179</v>
      </c>
      <c r="AP128" t="s">
        <v>119</v>
      </c>
      <c r="AQ128" t="s">
        <v>119</v>
      </c>
      <c r="AR128" t="s">
        <v>930</v>
      </c>
      <c r="AS128" t="s">
        <v>1180</v>
      </c>
      <c r="AT128" t="s">
        <v>930</v>
      </c>
    </row>
    <row r="129" spans="1:46">
      <c r="A129" s="1" t="s">
        <v>1181</v>
      </c>
      <c r="B129" s="1" t="s">
        <v>1182</v>
      </c>
      <c r="C129" s="1" t="s">
        <v>1183</v>
      </c>
      <c r="D129" s="1" t="s">
        <v>101</v>
      </c>
      <c r="E129" s="1" t="s">
        <v>124</v>
      </c>
      <c r="F129" s="1" t="s">
        <v>103</v>
      </c>
      <c r="G129" s="1" t="s">
        <v>166</v>
      </c>
      <c r="H129" s="1" t="s">
        <v>1184</v>
      </c>
      <c r="I129" s="1" t="s">
        <v>127</v>
      </c>
      <c r="J129" s="1" t="s">
        <v>128</v>
      </c>
      <c r="K129" s="1" t="s">
        <v>129</v>
      </c>
      <c r="L129" s="9">
        <v>-15917.84</v>
      </c>
      <c r="M129" s="1" t="s">
        <v>103</v>
      </c>
      <c r="N129" s="1" t="s">
        <v>166</v>
      </c>
      <c r="O129" s="1" t="s">
        <v>1184</v>
      </c>
      <c r="P129" s="1" t="s">
        <v>127</v>
      </c>
      <c r="Q129" s="1" t="s">
        <v>131</v>
      </c>
      <c r="R129" s="1"/>
      <c r="S129" s="9">
        <v>15917.84</v>
      </c>
      <c r="T129" s="1">
        <v>0</v>
      </c>
      <c r="U129" s="1" t="s">
        <v>132</v>
      </c>
      <c r="V129" s="1" t="s">
        <v>15</v>
      </c>
      <c r="W129" s="1" t="s">
        <v>17</v>
      </c>
      <c r="X129" s="1" t="s">
        <v>111</v>
      </c>
      <c r="Y129" s="1"/>
      <c r="Z129" s="1" t="s">
        <v>627</v>
      </c>
      <c r="AA129" s="1" t="s">
        <v>17</v>
      </c>
      <c r="AB129" s="1">
        <v>0</v>
      </c>
      <c r="AC129" s="1" t="s">
        <v>17</v>
      </c>
      <c r="AD129" t="s">
        <v>112</v>
      </c>
      <c r="AE129" t="s">
        <v>113</v>
      </c>
      <c r="AF129" t="s">
        <v>1185</v>
      </c>
      <c r="AG129" t="s">
        <v>114</v>
      </c>
      <c r="AH129" t="s">
        <v>1184</v>
      </c>
      <c r="AI129" t="s">
        <v>1184</v>
      </c>
      <c r="AJ129" t="s">
        <v>149</v>
      </c>
      <c r="AK129" t="s">
        <v>150</v>
      </c>
      <c r="AL129" t="s">
        <v>137</v>
      </c>
      <c r="AM129" t="s">
        <v>117</v>
      </c>
      <c r="AN129" t="s">
        <v>1186</v>
      </c>
      <c r="AO129" t="s">
        <v>1187</v>
      </c>
      <c r="AP129" t="s">
        <v>119</v>
      </c>
      <c r="AQ129" t="s">
        <v>119</v>
      </c>
      <c r="AR129" t="s">
        <v>1186</v>
      </c>
      <c r="AS129" t="s">
        <v>1188</v>
      </c>
      <c r="AT129" t="s">
        <v>166</v>
      </c>
    </row>
    <row r="130" spans="1:46">
      <c r="A130" s="1" t="s">
        <v>1189</v>
      </c>
      <c r="B130" s="1" t="s">
        <v>1190</v>
      </c>
      <c r="C130" s="1" t="s">
        <v>1191</v>
      </c>
      <c r="D130" s="1" t="s">
        <v>101</v>
      </c>
      <c r="E130" s="1" t="s">
        <v>352</v>
      </c>
      <c r="F130" s="1" t="s">
        <v>103</v>
      </c>
      <c r="G130" s="1" t="s">
        <v>190</v>
      </c>
      <c r="H130" s="1" t="s">
        <v>509</v>
      </c>
      <c r="I130" s="1" t="s">
        <v>106</v>
      </c>
      <c r="J130" s="1" t="s">
        <v>107</v>
      </c>
      <c r="K130" s="1"/>
      <c r="L130" s="9">
        <v>14032</v>
      </c>
      <c r="M130" s="1" t="s">
        <v>103</v>
      </c>
      <c r="N130" s="1" t="s">
        <v>190</v>
      </c>
      <c r="O130" s="1"/>
      <c r="P130" s="1" t="s">
        <v>106</v>
      </c>
      <c r="Q130" s="1" t="s">
        <v>108</v>
      </c>
      <c r="R130" s="1" t="s">
        <v>109</v>
      </c>
      <c r="S130" s="9">
        <v>-14032</v>
      </c>
      <c r="T130" s="1">
        <v>0</v>
      </c>
      <c r="U130" s="1" t="s">
        <v>356</v>
      </c>
      <c r="V130" s="1" t="s">
        <v>15</v>
      </c>
      <c r="W130" s="1" t="s">
        <v>17</v>
      </c>
      <c r="X130" s="1" t="s">
        <v>111</v>
      </c>
      <c r="Y130" s="1"/>
      <c r="Z130" s="1" t="s">
        <v>509</v>
      </c>
      <c r="AA130" s="1" t="s">
        <v>17</v>
      </c>
      <c r="AB130" s="1">
        <v>0</v>
      </c>
      <c r="AC130" s="1" t="s">
        <v>17</v>
      </c>
      <c r="AD130" t="s">
        <v>112</v>
      </c>
      <c r="AE130" t="s">
        <v>113</v>
      </c>
      <c r="AF130" t="s">
        <v>509</v>
      </c>
      <c r="AG130" t="s">
        <v>114</v>
      </c>
      <c r="AH130" t="s">
        <v>1192</v>
      </c>
      <c r="AI130" t="s">
        <v>1192</v>
      </c>
      <c r="AJ130" t="s">
        <v>17</v>
      </c>
      <c r="AK130" t="s">
        <v>189</v>
      </c>
      <c r="AL130" t="s">
        <v>17</v>
      </c>
      <c r="AM130" t="s">
        <v>117</v>
      </c>
      <c r="AN130" t="s">
        <v>190</v>
      </c>
      <c r="AO130" t="s">
        <v>1171</v>
      </c>
      <c r="AP130" t="s">
        <v>119</v>
      </c>
      <c r="AQ130" t="s">
        <v>119</v>
      </c>
      <c r="AR130" t="s">
        <v>190</v>
      </c>
      <c r="AS130" t="s">
        <v>1172</v>
      </c>
      <c r="AT130" t="s">
        <v>190</v>
      </c>
    </row>
    <row r="131" spans="1:46">
      <c r="A131" s="1" t="s">
        <v>1193</v>
      </c>
      <c r="B131" s="1" t="s">
        <v>1194</v>
      </c>
      <c r="C131" s="1" t="s">
        <v>1195</v>
      </c>
      <c r="D131" s="1" t="s">
        <v>101</v>
      </c>
      <c r="E131" s="1" t="s">
        <v>124</v>
      </c>
      <c r="F131" s="1" t="s">
        <v>103</v>
      </c>
      <c r="G131" s="1" t="s">
        <v>1196</v>
      </c>
      <c r="H131" s="1" t="s">
        <v>1197</v>
      </c>
      <c r="I131" s="1" t="s">
        <v>127</v>
      </c>
      <c r="J131" s="1" t="s">
        <v>128</v>
      </c>
      <c r="K131" s="1" t="s">
        <v>129</v>
      </c>
      <c r="L131" s="9">
        <v>-13613.94</v>
      </c>
      <c r="M131" s="1" t="s">
        <v>103</v>
      </c>
      <c r="N131" s="1" t="s">
        <v>849</v>
      </c>
      <c r="O131" s="1" t="s">
        <v>1197</v>
      </c>
      <c r="P131" s="1" t="s">
        <v>127</v>
      </c>
      <c r="Q131" s="1" t="s">
        <v>131</v>
      </c>
      <c r="R131" s="1"/>
      <c r="S131" s="9">
        <v>13613.94</v>
      </c>
      <c r="T131" s="1">
        <v>0</v>
      </c>
      <c r="U131" s="1" t="s">
        <v>132</v>
      </c>
      <c r="V131" s="1" t="s">
        <v>15</v>
      </c>
      <c r="W131" s="1" t="s">
        <v>17</v>
      </c>
      <c r="X131" s="1" t="s">
        <v>111</v>
      </c>
      <c r="Y131" s="1"/>
      <c r="Z131" s="1" t="s">
        <v>213</v>
      </c>
      <c r="AA131" s="1" t="s">
        <v>17</v>
      </c>
      <c r="AB131" s="1">
        <v>0</v>
      </c>
      <c r="AC131" s="1" t="s">
        <v>17</v>
      </c>
      <c r="AD131" t="s">
        <v>112</v>
      </c>
      <c r="AE131" t="s">
        <v>113</v>
      </c>
      <c r="AF131" t="s">
        <v>1198</v>
      </c>
      <c r="AG131" t="s">
        <v>114</v>
      </c>
      <c r="AH131" t="s">
        <v>1197</v>
      </c>
      <c r="AI131" t="s">
        <v>1197</v>
      </c>
      <c r="AJ131" t="s">
        <v>135</v>
      </c>
      <c r="AK131" t="s">
        <v>136</v>
      </c>
      <c r="AL131" t="s">
        <v>137</v>
      </c>
      <c r="AM131" t="s">
        <v>117</v>
      </c>
      <c r="AN131" t="s">
        <v>221</v>
      </c>
      <c r="AO131" t="s">
        <v>737</v>
      </c>
      <c r="AP131" t="s">
        <v>119</v>
      </c>
      <c r="AQ131" t="s">
        <v>119</v>
      </c>
      <c r="AR131" t="s">
        <v>221</v>
      </c>
      <c r="AS131" t="s">
        <v>738</v>
      </c>
      <c r="AT131" t="s">
        <v>849</v>
      </c>
    </row>
    <row r="132" spans="1:46">
      <c r="A132" s="1" t="s">
        <v>1199</v>
      </c>
      <c r="B132" s="1" t="s">
        <v>1200</v>
      </c>
      <c r="C132" s="1" t="s">
        <v>1201</v>
      </c>
      <c r="D132" s="1" t="s">
        <v>101</v>
      </c>
      <c r="E132" s="1" t="s">
        <v>124</v>
      </c>
      <c r="F132" s="1" t="s">
        <v>103</v>
      </c>
      <c r="G132" s="1" t="s">
        <v>193</v>
      </c>
      <c r="H132" s="1" t="s">
        <v>1202</v>
      </c>
      <c r="I132" s="1" t="s">
        <v>127</v>
      </c>
      <c r="J132" s="1" t="s">
        <v>128</v>
      </c>
      <c r="K132" s="1" t="s">
        <v>129</v>
      </c>
      <c r="L132" s="9">
        <v>-13404.5</v>
      </c>
      <c r="M132" s="1" t="s">
        <v>103</v>
      </c>
      <c r="N132" s="1" t="s">
        <v>193</v>
      </c>
      <c r="O132" s="1" t="s">
        <v>1202</v>
      </c>
      <c r="P132" s="1" t="s">
        <v>127</v>
      </c>
      <c r="Q132" s="1" t="s">
        <v>131</v>
      </c>
      <c r="R132" s="1"/>
      <c r="S132" s="9">
        <v>13404.5</v>
      </c>
      <c r="T132" s="1">
        <v>0</v>
      </c>
      <c r="U132" s="1" t="s">
        <v>132</v>
      </c>
      <c r="V132" s="1" t="s">
        <v>15</v>
      </c>
      <c r="W132" s="1" t="s">
        <v>17</v>
      </c>
      <c r="X132" s="1" t="s">
        <v>111</v>
      </c>
      <c r="Y132" s="1"/>
      <c r="Z132" s="1" t="s">
        <v>854</v>
      </c>
      <c r="AA132" s="1" t="s">
        <v>17</v>
      </c>
      <c r="AB132" s="1">
        <v>0</v>
      </c>
      <c r="AC132" s="1" t="s">
        <v>17</v>
      </c>
      <c r="AD132" t="s">
        <v>112</v>
      </c>
      <c r="AE132" t="s">
        <v>113</v>
      </c>
      <c r="AF132" t="s">
        <v>1203</v>
      </c>
      <c r="AG132" t="s">
        <v>114</v>
      </c>
      <c r="AH132" t="s">
        <v>1202</v>
      </c>
      <c r="AI132" t="s">
        <v>1202</v>
      </c>
      <c r="AJ132" t="s">
        <v>149</v>
      </c>
      <c r="AK132" t="s">
        <v>189</v>
      </c>
      <c r="AL132" t="s">
        <v>137</v>
      </c>
      <c r="AM132" t="s">
        <v>117</v>
      </c>
      <c r="AN132" t="s">
        <v>190</v>
      </c>
      <c r="AO132" t="s">
        <v>1204</v>
      </c>
      <c r="AP132" t="s">
        <v>119</v>
      </c>
      <c r="AQ132" t="s">
        <v>119</v>
      </c>
      <c r="AR132" t="s">
        <v>190</v>
      </c>
      <c r="AS132" t="s">
        <v>1205</v>
      </c>
      <c r="AT132" t="s">
        <v>193</v>
      </c>
    </row>
    <row r="133" spans="1:46">
      <c r="A133" s="1" t="s">
        <v>1206</v>
      </c>
      <c r="B133" s="1" t="s">
        <v>1207</v>
      </c>
      <c r="C133" s="1" t="s">
        <v>1208</v>
      </c>
      <c r="D133" s="1" t="s">
        <v>101</v>
      </c>
      <c r="E133" s="1" t="s">
        <v>124</v>
      </c>
      <c r="F133" s="1" t="s">
        <v>103</v>
      </c>
      <c r="G133" s="1" t="s">
        <v>1209</v>
      </c>
      <c r="H133" s="1" t="s">
        <v>1210</v>
      </c>
      <c r="I133" s="1" t="s">
        <v>127</v>
      </c>
      <c r="J133" s="1" t="s">
        <v>128</v>
      </c>
      <c r="K133" s="1" t="s">
        <v>129</v>
      </c>
      <c r="L133" s="9">
        <v>-16755.62</v>
      </c>
      <c r="M133" s="1" t="s">
        <v>103</v>
      </c>
      <c r="N133" s="1" t="s">
        <v>1209</v>
      </c>
      <c r="O133" s="1" t="s">
        <v>1210</v>
      </c>
      <c r="P133" s="1" t="s">
        <v>127</v>
      </c>
      <c r="Q133" s="1" t="s">
        <v>131</v>
      </c>
      <c r="R133" s="1"/>
      <c r="S133" s="9">
        <v>16755.62</v>
      </c>
      <c r="T133" s="1">
        <v>0</v>
      </c>
      <c r="U133" s="1" t="s">
        <v>132</v>
      </c>
      <c r="V133" s="1" t="s">
        <v>15</v>
      </c>
      <c r="W133" s="1" t="s">
        <v>17</v>
      </c>
      <c r="X133" s="1" t="s">
        <v>111</v>
      </c>
      <c r="Y133" s="1"/>
      <c r="Z133" s="1" t="s">
        <v>1211</v>
      </c>
      <c r="AA133" s="1" t="s">
        <v>17</v>
      </c>
      <c r="AB133" s="1">
        <v>0</v>
      </c>
      <c r="AC133" s="1" t="s">
        <v>17</v>
      </c>
      <c r="AD133" t="s">
        <v>112</v>
      </c>
      <c r="AE133" t="s">
        <v>113</v>
      </c>
      <c r="AF133" t="s">
        <v>1212</v>
      </c>
      <c r="AG133" t="s">
        <v>114</v>
      </c>
      <c r="AH133" t="s">
        <v>1210</v>
      </c>
      <c r="AI133" t="s">
        <v>1210</v>
      </c>
      <c r="AJ133" t="s">
        <v>135</v>
      </c>
      <c r="AK133" t="s">
        <v>663</v>
      </c>
      <c r="AL133" t="s">
        <v>137</v>
      </c>
      <c r="AM133" t="s">
        <v>117</v>
      </c>
      <c r="AN133" t="s">
        <v>1213</v>
      </c>
      <c r="AO133" t="s">
        <v>681</v>
      </c>
      <c r="AP133" t="s">
        <v>119</v>
      </c>
      <c r="AQ133" t="s">
        <v>119</v>
      </c>
      <c r="AR133" t="s">
        <v>1213</v>
      </c>
      <c r="AS133" t="s">
        <v>682</v>
      </c>
      <c r="AT133" t="s">
        <v>1209</v>
      </c>
    </row>
    <row r="134" spans="1:46">
      <c r="A134" s="1" t="s">
        <v>1214</v>
      </c>
      <c r="B134" s="1" t="s">
        <v>1215</v>
      </c>
      <c r="C134" s="1" t="s">
        <v>1216</v>
      </c>
      <c r="D134" s="1" t="s">
        <v>101</v>
      </c>
      <c r="E134" s="1" t="s">
        <v>124</v>
      </c>
      <c r="F134" s="1" t="s">
        <v>103</v>
      </c>
      <c r="G134" s="1" t="s">
        <v>850</v>
      </c>
      <c r="H134" s="1" t="s">
        <v>1217</v>
      </c>
      <c r="I134" s="1" t="s">
        <v>127</v>
      </c>
      <c r="J134" s="1" t="s">
        <v>128</v>
      </c>
      <c r="K134" s="1" t="s">
        <v>129</v>
      </c>
      <c r="L134" s="9">
        <v>-11100.61</v>
      </c>
      <c r="M134" s="1" t="s">
        <v>103</v>
      </c>
      <c r="N134" s="1" t="s">
        <v>1218</v>
      </c>
      <c r="O134" s="1" t="s">
        <v>1217</v>
      </c>
      <c r="P134" s="1" t="s">
        <v>127</v>
      </c>
      <c r="Q134" s="1" t="s">
        <v>131</v>
      </c>
      <c r="R134" s="1"/>
      <c r="S134" s="9">
        <v>11100.61</v>
      </c>
      <c r="T134" s="1">
        <v>0</v>
      </c>
      <c r="U134" s="1" t="s">
        <v>132</v>
      </c>
      <c r="V134" s="1" t="s">
        <v>15</v>
      </c>
      <c r="W134" s="1" t="s">
        <v>17</v>
      </c>
      <c r="X134" s="1" t="s">
        <v>111</v>
      </c>
      <c r="Y134" s="1"/>
      <c r="Z134" s="1" t="s">
        <v>1219</v>
      </c>
      <c r="AA134" s="1" t="s">
        <v>17</v>
      </c>
      <c r="AB134" s="1">
        <v>0</v>
      </c>
      <c r="AC134" s="1" t="s">
        <v>17</v>
      </c>
      <c r="AD134" t="s">
        <v>112</v>
      </c>
      <c r="AE134" t="s">
        <v>113</v>
      </c>
      <c r="AF134" t="s">
        <v>1220</v>
      </c>
      <c r="AG134" t="s">
        <v>114</v>
      </c>
      <c r="AH134" t="s">
        <v>1217</v>
      </c>
      <c r="AI134" t="s">
        <v>1217</v>
      </c>
      <c r="AJ134" t="s">
        <v>135</v>
      </c>
      <c r="AK134" t="s">
        <v>136</v>
      </c>
      <c r="AL134" t="s">
        <v>137</v>
      </c>
      <c r="AM134" t="s">
        <v>117</v>
      </c>
      <c r="AN134" t="s">
        <v>849</v>
      </c>
      <c r="AO134" t="s">
        <v>1221</v>
      </c>
      <c r="AP134" t="s">
        <v>119</v>
      </c>
      <c r="AQ134" t="s">
        <v>119</v>
      </c>
      <c r="AR134" t="s">
        <v>849</v>
      </c>
      <c r="AS134" t="s">
        <v>1222</v>
      </c>
      <c r="AT134" t="s">
        <v>1218</v>
      </c>
    </row>
    <row r="135" spans="1:46">
      <c r="A135" s="1" t="s">
        <v>1223</v>
      </c>
      <c r="B135" s="1" t="s">
        <v>1224</v>
      </c>
      <c r="C135" s="1" t="s">
        <v>1225</v>
      </c>
      <c r="D135" s="1" t="s">
        <v>101</v>
      </c>
      <c r="E135" s="1" t="s">
        <v>124</v>
      </c>
      <c r="F135" s="1" t="s">
        <v>103</v>
      </c>
      <c r="G135" s="1" t="s">
        <v>1226</v>
      </c>
      <c r="H135" s="1" t="s">
        <v>1227</v>
      </c>
      <c r="I135" s="1" t="s">
        <v>127</v>
      </c>
      <c r="J135" s="1" t="s">
        <v>128</v>
      </c>
      <c r="K135" s="1" t="s">
        <v>253</v>
      </c>
      <c r="L135" s="9">
        <v>-36461.86</v>
      </c>
      <c r="M135" s="1" t="s">
        <v>103</v>
      </c>
      <c r="N135" s="1" t="s">
        <v>1226</v>
      </c>
      <c r="O135" s="1" t="s">
        <v>1227</v>
      </c>
      <c r="P135" s="1" t="s">
        <v>127</v>
      </c>
      <c r="Q135" s="1" t="s">
        <v>131</v>
      </c>
      <c r="R135" s="1"/>
      <c r="S135" s="9">
        <v>36461.86</v>
      </c>
      <c r="T135" s="1">
        <v>0</v>
      </c>
      <c r="U135" s="1" t="s">
        <v>132</v>
      </c>
      <c r="V135" s="1" t="s">
        <v>15</v>
      </c>
      <c r="W135" s="1" t="s">
        <v>17</v>
      </c>
      <c r="X135" s="1" t="s">
        <v>111</v>
      </c>
      <c r="Y135" s="1"/>
      <c r="Z135" s="1" t="s">
        <v>1228</v>
      </c>
      <c r="AA135" s="1" t="s">
        <v>17</v>
      </c>
      <c r="AB135" s="1">
        <v>0</v>
      </c>
      <c r="AC135" s="1" t="s">
        <v>17</v>
      </c>
      <c r="AD135" t="s">
        <v>112</v>
      </c>
      <c r="AE135" t="s">
        <v>231</v>
      </c>
      <c r="AF135" t="s">
        <v>1229</v>
      </c>
      <c r="AG135" t="s">
        <v>114</v>
      </c>
      <c r="AH135" t="s">
        <v>1227</v>
      </c>
      <c r="AI135" t="s">
        <v>1227</v>
      </c>
      <c r="AJ135" t="s">
        <v>135</v>
      </c>
      <c r="AK135" t="s">
        <v>233</v>
      </c>
      <c r="AL135" t="s">
        <v>137</v>
      </c>
      <c r="AM135" t="s">
        <v>117</v>
      </c>
      <c r="AN135" t="s">
        <v>1230</v>
      </c>
      <c r="AO135" t="s">
        <v>1231</v>
      </c>
      <c r="AP135" t="s">
        <v>119</v>
      </c>
      <c r="AQ135" t="s">
        <v>119</v>
      </c>
      <c r="AR135" t="s">
        <v>1230</v>
      </c>
      <c r="AS135" t="s">
        <v>1232</v>
      </c>
      <c r="AT135" t="s">
        <v>1233</v>
      </c>
    </row>
    <row r="136" spans="1:46">
      <c r="A136" s="1" t="s">
        <v>1234</v>
      </c>
      <c r="B136" s="1" t="s">
        <v>1235</v>
      </c>
      <c r="C136" s="1" t="s">
        <v>1236</v>
      </c>
      <c r="D136" s="1" t="s">
        <v>101</v>
      </c>
      <c r="E136" s="1" t="s">
        <v>124</v>
      </c>
      <c r="F136" s="1" t="s">
        <v>103</v>
      </c>
      <c r="G136" s="1" t="s">
        <v>1237</v>
      </c>
      <c r="H136" s="1" t="s">
        <v>1238</v>
      </c>
      <c r="I136" s="1" t="s">
        <v>127</v>
      </c>
      <c r="J136" s="1" t="s">
        <v>128</v>
      </c>
      <c r="K136" s="1" t="s">
        <v>129</v>
      </c>
      <c r="L136" s="9">
        <v>-15708.4</v>
      </c>
      <c r="M136" s="1" t="s">
        <v>103</v>
      </c>
      <c r="N136" s="1" t="s">
        <v>1237</v>
      </c>
      <c r="O136" s="1" t="s">
        <v>1238</v>
      </c>
      <c r="P136" s="1" t="s">
        <v>127</v>
      </c>
      <c r="Q136" s="1" t="s">
        <v>131</v>
      </c>
      <c r="R136" s="1"/>
      <c r="S136" s="9">
        <v>15708.4</v>
      </c>
      <c r="T136" s="1">
        <v>0</v>
      </c>
      <c r="U136" s="1" t="s">
        <v>132</v>
      </c>
      <c r="V136" s="1" t="s">
        <v>15</v>
      </c>
      <c r="W136" s="1" t="s">
        <v>17</v>
      </c>
      <c r="X136" s="1" t="s">
        <v>111</v>
      </c>
      <c r="Y136" s="1"/>
      <c r="Z136" s="1" t="s">
        <v>1239</v>
      </c>
      <c r="AA136" s="1" t="s">
        <v>17</v>
      </c>
      <c r="AB136" s="1">
        <v>0</v>
      </c>
      <c r="AC136" s="1" t="s">
        <v>17</v>
      </c>
      <c r="AD136" t="s">
        <v>112</v>
      </c>
      <c r="AE136" t="s">
        <v>113</v>
      </c>
      <c r="AF136" t="s">
        <v>1240</v>
      </c>
      <c r="AG136" t="s">
        <v>114</v>
      </c>
      <c r="AH136" t="s">
        <v>1238</v>
      </c>
      <c r="AI136" t="s">
        <v>1238</v>
      </c>
      <c r="AJ136" t="s">
        <v>135</v>
      </c>
      <c r="AK136" t="s">
        <v>136</v>
      </c>
      <c r="AL136" t="s">
        <v>137</v>
      </c>
      <c r="AM136" t="s">
        <v>117</v>
      </c>
      <c r="AN136" t="s">
        <v>355</v>
      </c>
      <c r="AO136" t="s">
        <v>630</v>
      </c>
      <c r="AP136" t="s">
        <v>119</v>
      </c>
      <c r="AQ136" t="s">
        <v>119</v>
      </c>
      <c r="AR136" t="s">
        <v>355</v>
      </c>
      <c r="AS136" t="s">
        <v>631</v>
      </c>
      <c r="AT136" t="s">
        <v>1241</v>
      </c>
    </row>
    <row r="137" spans="1:46">
      <c r="A137" s="1" t="s">
        <v>1242</v>
      </c>
      <c r="B137" s="1" t="s">
        <v>1243</v>
      </c>
      <c r="C137" s="1" t="s">
        <v>1244</v>
      </c>
      <c r="D137" s="1" t="s">
        <v>101</v>
      </c>
      <c r="E137" s="1" t="s">
        <v>124</v>
      </c>
      <c r="F137" s="1" t="s">
        <v>103</v>
      </c>
      <c r="G137" s="1" t="s">
        <v>498</v>
      </c>
      <c r="H137" s="1" t="s">
        <v>1245</v>
      </c>
      <c r="I137" s="1" t="s">
        <v>127</v>
      </c>
      <c r="J137" s="1" t="s">
        <v>128</v>
      </c>
      <c r="K137" s="1" t="s">
        <v>129</v>
      </c>
      <c r="L137" s="9">
        <v>-14451.72</v>
      </c>
      <c r="M137" s="1" t="s">
        <v>103</v>
      </c>
      <c r="N137" s="1" t="s">
        <v>503</v>
      </c>
      <c r="O137" s="1" t="s">
        <v>1245</v>
      </c>
      <c r="P137" s="1" t="s">
        <v>127</v>
      </c>
      <c r="Q137" s="1" t="s">
        <v>131</v>
      </c>
      <c r="R137" s="1"/>
      <c r="S137" s="9">
        <v>14451.72</v>
      </c>
      <c r="T137" s="1">
        <v>0</v>
      </c>
      <c r="U137" s="1" t="s">
        <v>132</v>
      </c>
      <c r="V137" s="1" t="s">
        <v>15</v>
      </c>
      <c r="W137" s="1" t="s">
        <v>17</v>
      </c>
      <c r="X137" s="1" t="s">
        <v>111</v>
      </c>
      <c r="Y137" s="1"/>
      <c r="Z137" s="1" t="s">
        <v>198</v>
      </c>
      <c r="AA137" s="1" t="s">
        <v>17</v>
      </c>
      <c r="AB137" s="1">
        <v>0</v>
      </c>
      <c r="AC137" s="1" t="s">
        <v>17</v>
      </c>
      <c r="AD137" t="s">
        <v>112</v>
      </c>
      <c r="AE137" t="s">
        <v>113</v>
      </c>
      <c r="AF137" t="s">
        <v>1246</v>
      </c>
      <c r="AG137" t="s">
        <v>114</v>
      </c>
      <c r="AH137" t="s">
        <v>1245</v>
      </c>
      <c r="AI137" t="s">
        <v>1245</v>
      </c>
      <c r="AJ137" t="s">
        <v>135</v>
      </c>
      <c r="AK137" t="s">
        <v>136</v>
      </c>
      <c r="AL137" t="s">
        <v>137</v>
      </c>
      <c r="AM137" t="s">
        <v>117</v>
      </c>
      <c r="AN137" t="s">
        <v>221</v>
      </c>
      <c r="AO137" t="s">
        <v>191</v>
      </c>
      <c r="AP137" t="s">
        <v>119</v>
      </c>
      <c r="AQ137" t="s">
        <v>119</v>
      </c>
      <c r="AR137" t="s">
        <v>221</v>
      </c>
      <c r="AS137" t="s">
        <v>192</v>
      </c>
      <c r="AT137" t="s">
        <v>270</v>
      </c>
    </row>
    <row r="138" spans="1:46">
      <c r="A138" s="1" t="s">
        <v>1247</v>
      </c>
      <c r="B138" s="1" t="s">
        <v>1248</v>
      </c>
      <c r="C138" s="1" t="s">
        <v>1249</v>
      </c>
      <c r="D138" s="1" t="s">
        <v>101</v>
      </c>
      <c r="E138" s="1" t="s">
        <v>352</v>
      </c>
      <c r="F138" s="1" t="s">
        <v>103</v>
      </c>
      <c r="G138" s="1" t="s">
        <v>1038</v>
      </c>
      <c r="H138" s="1" t="s">
        <v>1090</v>
      </c>
      <c r="I138" s="1" t="s">
        <v>106</v>
      </c>
      <c r="J138" s="1" t="s">
        <v>107</v>
      </c>
      <c r="K138" s="1"/>
      <c r="L138" s="9">
        <v>108280.51</v>
      </c>
      <c r="M138" s="1" t="s">
        <v>103</v>
      </c>
      <c r="N138" s="1" t="s">
        <v>258</v>
      </c>
      <c r="O138" s="1"/>
      <c r="P138" s="1" t="s">
        <v>106</v>
      </c>
      <c r="Q138" s="1" t="s">
        <v>108</v>
      </c>
      <c r="R138" s="1" t="s">
        <v>109</v>
      </c>
      <c r="S138" s="9">
        <v>-108280.51</v>
      </c>
      <c r="T138" s="1">
        <v>0</v>
      </c>
      <c r="U138" s="1" t="s">
        <v>356</v>
      </c>
      <c r="V138" s="1" t="s">
        <v>15</v>
      </c>
      <c r="W138" s="1" t="s">
        <v>17</v>
      </c>
      <c r="X138" s="1" t="s">
        <v>111</v>
      </c>
      <c r="Y138" s="1"/>
      <c r="Z138" s="1" t="s">
        <v>1090</v>
      </c>
      <c r="AA138" s="1" t="s">
        <v>17</v>
      </c>
      <c r="AB138" s="1">
        <v>0</v>
      </c>
      <c r="AC138" s="1" t="s">
        <v>17</v>
      </c>
      <c r="AD138" t="s">
        <v>112</v>
      </c>
      <c r="AE138" t="s">
        <v>113</v>
      </c>
      <c r="AF138" t="s">
        <v>1090</v>
      </c>
      <c r="AG138" t="s">
        <v>114</v>
      </c>
      <c r="AH138" t="s">
        <v>1250</v>
      </c>
      <c r="AI138" t="s">
        <v>1250</v>
      </c>
      <c r="AJ138" t="s">
        <v>17</v>
      </c>
      <c r="AK138" t="s">
        <v>257</v>
      </c>
      <c r="AL138" t="s">
        <v>17</v>
      </c>
      <c r="AM138" t="s">
        <v>117</v>
      </c>
      <c r="AN138" t="s">
        <v>1038</v>
      </c>
      <c r="AO138" t="s">
        <v>1251</v>
      </c>
      <c r="AP138" t="s">
        <v>119</v>
      </c>
      <c r="AQ138" t="s">
        <v>119</v>
      </c>
      <c r="AR138" t="s">
        <v>1038</v>
      </c>
      <c r="AS138" t="s">
        <v>1252</v>
      </c>
      <c r="AT138" t="s">
        <v>1038</v>
      </c>
    </row>
    <row r="139" spans="1:46">
      <c r="A139" s="1" t="s">
        <v>1253</v>
      </c>
      <c r="B139" s="1" t="s">
        <v>1254</v>
      </c>
      <c r="C139" s="1" t="s">
        <v>1255</v>
      </c>
      <c r="D139" s="1" t="s">
        <v>101</v>
      </c>
      <c r="E139" s="1" t="s">
        <v>352</v>
      </c>
      <c r="F139" s="1" t="s">
        <v>103</v>
      </c>
      <c r="G139" s="1" t="s">
        <v>1209</v>
      </c>
      <c r="H139" s="1" t="s">
        <v>873</v>
      </c>
      <c r="I139" s="1" t="s">
        <v>106</v>
      </c>
      <c r="J139" s="1" t="s">
        <v>107</v>
      </c>
      <c r="K139" s="1"/>
      <c r="L139" s="9">
        <v>63252.42</v>
      </c>
      <c r="M139" s="1" t="s">
        <v>103</v>
      </c>
      <c r="N139" s="1" t="s">
        <v>1256</v>
      </c>
      <c r="O139" s="1"/>
      <c r="P139" s="1" t="s">
        <v>106</v>
      </c>
      <c r="Q139" s="1" t="s">
        <v>108</v>
      </c>
      <c r="R139" s="1" t="s">
        <v>109</v>
      </c>
      <c r="S139" s="9">
        <v>-63252.42</v>
      </c>
      <c r="T139" s="1">
        <v>0</v>
      </c>
      <c r="U139" s="1" t="s">
        <v>356</v>
      </c>
      <c r="V139" s="1" t="s">
        <v>15</v>
      </c>
      <c r="W139" s="1" t="s">
        <v>17</v>
      </c>
      <c r="X139" s="1" t="s">
        <v>111</v>
      </c>
      <c r="Y139" s="1"/>
      <c r="Z139" s="1" t="s">
        <v>873</v>
      </c>
      <c r="AA139" s="1" t="s">
        <v>17</v>
      </c>
      <c r="AB139" s="1">
        <v>0</v>
      </c>
      <c r="AC139" s="1" t="s">
        <v>17</v>
      </c>
      <c r="AD139" t="s">
        <v>112</v>
      </c>
      <c r="AE139" t="s">
        <v>113</v>
      </c>
      <c r="AF139" t="s">
        <v>873</v>
      </c>
      <c r="AG139" t="s">
        <v>114</v>
      </c>
      <c r="AH139" t="s">
        <v>1257</v>
      </c>
      <c r="AI139" t="s">
        <v>1257</v>
      </c>
      <c r="AJ139" t="s">
        <v>17</v>
      </c>
      <c r="AK139" t="s">
        <v>663</v>
      </c>
      <c r="AL139" t="s">
        <v>17</v>
      </c>
      <c r="AM139" t="s">
        <v>117</v>
      </c>
      <c r="AN139" t="s">
        <v>1209</v>
      </c>
      <c r="AO139" t="s">
        <v>1258</v>
      </c>
      <c r="AP139" t="s">
        <v>119</v>
      </c>
      <c r="AQ139" t="s">
        <v>119</v>
      </c>
      <c r="AR139" t="s">
        <v>1209</v>
      </c>
      <c r="AS139" t="s">
        <v>1259</v>
      </c>
      <c r="AT139" t="s">
        <v>1209</v>
      </c>
    </row>
    <row r="140" spans="1:46">
      <c r="A140" s="1" t="s">
        <v>1260</v>
      </c>
      <c r="B140" s="1" t="s">
        <v>1261</v>
      </c>
      <c r="C140" s="1" t="s">
        <v>1262</v>
      </c>
      <c r="D140" s="1" t="s">
        <v>40</v>
      </c>
      <c r="E140" s="1" t="s">
        <v>124</v>
      </c>
      <c r="F140" s="1" t="s">
        <v>103</v>
      </c>
      <c r="G140" s="1" t="s">
        <v>673</v>
      </c>
      <c r="H140" s="1" t="s">
        <v>1263</v>
      </c>
      <c r="I140" s="1" t="s">
        <v>127</v>
      </c>
      <c r="J140" s="1" t="s">
        <v>128</v>
      </c>
      <c r="K140" s="1" t="s">
        <v>129</v>
      </c>
      <c r="L140" s="9">
        <v>-15708</v>
      </c>
      <c r="M140" s="1" t="s">
        <v>103</v>
      </c>
      <c r="N140" s="1" t="s">
        <v>673</v>
      </c>
      <c r="O140" s="1" t="s">
        <v>1263</v>
      </c>
      <c r="P140" s="1" t="s">
        <v>127</v>
      </c>
      <c r="Q140" s="1" t="s">
        <v>131</v>
      </c>
      <c r="R140" s="1"/>
      <c r="S140" s="9">
        <v>15708.4</v>
      </c>
      <c r="T140" s="1">
        <v>0.3999999999996362</v>
      </c>
      <c r="U140" s="1" t="s">
        <v>146</v>
      </c>
      <c r="V140" s="1" t="s">
        <v>15</v>
      </c>
      <c r="W140" s="1" t="s">
        <v>17</v>
      </c>
      <c r="X140" s="1" t="s">
        <v>111</v>
      </c>
      <c r="Y140" s="1"/>
      <c r="Z140" s="1" t="s">
        <v>1264</v>
      </c>
      <c r="AA140" s="1" t="s">
        <v>17</v>
      </c>
      <c r="AB140" s="1">
        <v>0</v>
      </c>
      <c r="AC140" s="1" t="s">
        <v>17</v>
      </c>
      <c r="AD140" t="s">
        <v>112</v>
      </c>
      <c r="AE140" t="s">
        <v>113</v>
      </c>
      <c r="AF140" t="s">
        <v>1265</v>
      </c>
      <c r="AG140" t="s">
        <v>114</v>
      </c>
      <c r="AH140" t="s">
        <v>1263</v>
      </c>
      <c r="AI140" t="s">
        <v>1263</v>
      </c>
      <c r="AJ140" t="s">
        <v>135</v>
      </c>
      <c r="AK140" t="s">
        <v>257</v>
      </c>
      <c r="AL140" t="s">
        <v>137</v>
      </c>
      <c r="AM140" t="s">
        <v>117</v>
      </c>
      <c r="AN140" t="s">
        <v>1266</v>
      </c>
      <c r="AO140" t="s">
        <v>613</v>
      </c>
      <c r="AP140" t="s">
        <v>119</v>
      </c>
      <c r="AQ140" t="s">
        <v>119</v>
      </c>
      <c r="AR140" t="s">
        <v>1266</v>
      </c>
      <c r="AS140" t="s">
        <v>614</v>
      </c>
      <c r="AT140" t="s">
        <v>1266</v>
      </c>
    </row>
    <row r="141" spans="1:46">
      <c r="A141" s="1" t="s">
        <v>1267</v>
      </c>
      <c r="B141" s="1" t="s">
        <v>1268</v>
      </c>
      <c r="C141" s="1" t="s">
        <v>1269</v>
      </c>
      <c r="D141" s="1" t="s">
        <v>40</v>
      </c>
      <c r="E141" s="1" t="s">
        <v>124</v>
      </c>
      <c r="F141" s="1" t="s">
        <v>103</v>
      </c>
      <c r="G141" s="1" t="s">
        <v>265</v>
      </c>
      <c r="H141" s="1" t="s">
        <v>1270</v>
      </c>
      <c r="I141" s="1" t="s">
        <v>127</v>
      </c>
      <c r="J141" s="1" t="s">
        <v>128</v>
      </c>
      <c r="K141" s="1" t="s">
        <v>129</v>
      </c>
      <c r="L141" s="9">
        <v>-15289</v>
      </c>
      <c r="M141" s="1" t="s">
        <v>103</v>
      </c>
      <c r="N141" s="1" t="s">
        <v>265</v>
      </c>
      <c r="O141" s="1" t="s">
        <v>1270</v>
      </c>
      <c r="P141" s="1" t="s">
        <v>127</v>
      </c>
      <c r="Q141" s="1" t="s">
        <v>131</v>
      </c>
      <c r="R141" s="1"/>
      <c r="S141" s="9">
        <v>15289.51</v>
      </c>
      <c r="T141" s="1">
        <v>0.51000000000021828</v>
      </c>
      <c r="U141" s="1" t="s">
        <v>146</v>
      </c>
      <c r="V141" s="1" t="s">
        <v>15</v>
      </c>
      <c r="W141" s="1" t="s">
        <v>17</v>
      </c>
      <c r="X141" s="1" t="s">
        <v>111</v>
      </c>
      <c r="Y141" s="1"/>
      <c r="Z141" s="1" t="s">
        <v>1271</v>
      </c>
      <c r="AA141" s="1" t="s">
        <v>17</v>
      </c>
      <c r="AB141" s="1">
        <v>0</v>
      </c>
      <c r="AC141" s="1" t="s">
        <v>17</v>
      </c>
      <c r="AD141" t="s">
        <v>112</v>
      </c>
      <c r="AE141" t="s">
        <v>113</v>
      </c>
      <c r="AF141" t="s">
        <v>1272</v>
      </c>
      <c r="AG141" t="s">
        <v>114</v>
      </c>
      <c r="AH141" t="s">
        <v>1270</v>
      </c>
      <c r="AI141" t="s">
        <v>1270</v>
      </c>
      <c r="AJ141" t="s">
        <v>149</v>
      </c>
      <c r="AK141" t="s">
        <v>116</v>
      </c>
      <c r="AL141" t="s">
        <v>137</v>
      </c>
      <c r="AM141" t="s">
        <v>117</v>
      </c>
      <c r="AN141" t="s">
        <v>534</v>
      </c>
      <c r="AO141" t="s">
        <v>1273</v>
      </c>
      <c r="AP141" t="s">
        <v>119</v>
      </c>
      <c r="AQ141" t="s">
        <v>119</v>
      </c>
      <c r="AR141" t="s">
        <v>534</v>
      </c>
      <c r="AS141" t="s">
        <v>1274</v>
      </c>
      <c r="AT141" t="s">
        <v>265</v>
      </c>
    </row>
    <row r="142" spans="1:46">
      <c r="A142" s="1" t="s">
        <v>1275</v>
      </c>
      <c r="B142" s="1" t="s">
        <v>1276</v>
      </c>
      <c r="C142" s="1" t="s">
        <v>1277</v>
      </c>
      <c r="D142" s="1" t="s">
        <v>101</v>
      </c>
      <c r="E142" s="1" t="s">
        <v>124</v>
      </c>
      <c r="F142" s="1" t="s">
        <v>103</v>
      </c>
      <c r="G142" s="1" t="s">
        <v>1278</v>
      </c>
      <c r="H142" s="1" t="s">
        <v>1279</v>
      </c>
      <c r="I142" s="1" t="s">
        <v>127</v>
      </c>
      <c r="J142" s="1" t="s">
        <v>128</v>
      </c>
      <c r="K142" s="1" t="s">
        <v>129</v>
      </c>
      <c r="L142" s="9">
        <v>-9006.15</v>
      </c>
      <c r="M142" s="1" t="s">
        <v>103</v>
      </c>
      <c r="N142" s="1" t="s">
        <v>1278</v>
      </c>
      <c r="O142" s="1" t="s">
        <v>1279</v>
      </c>
      <c r="P142" s="1" t="s">
        <v>127</v>
      </c>
      <c r="Q142" s="1" t="s">
        <v>131</v>
      </c>
      <c r="R142" s="1"/>
      <c r="S142" s="9">
        <v>9006.15</v>
      </c>
      <c r="T142" s="1">
        <v>0</v>
      </c>
      <c r="U142" s="1" t="s">
        <v>132</v>
      </c>
      <c r="V142" s="1" t="s">
        <v>15</v>
      </c>
      <c r="W142" s="1" t="s">
        <v>17</v>
      </c>
      <c r="X142" s="1" t="s">
        <v>111</v>
      </c>
      <c r="Y142" s="1"/>
      <c r="Z142" s="1" t="s">
        <v>159</v>
      </c>
      <c r="AA142" s="1" t="s">
        <v>17</v>
      </c>
      <c r="AB142" s="1">
        <v>0</v>
      </c>
      <c r="AC142" s="1" t="s">
        <v>17</v>
      </c>
      <c r="AD142" t="s">
        <v>112</v>
      </c>
      <c r="AE142" t="s">
        <v>113</v>
      </c>
      <c r="AF142" t="s">
        <v>1280</v>
      </c>
      <c r="AG142" t="s">
        <v>114</v>
      </c>
      <c r="AH142" t="s">
        <v>1279</v>
      </c>
      <c r="AI142" t="s">
        <v>1279</v>
      </c>
      <c r="AJ142" t="s">
        <v>149</v>
      </c>
      <c r="AK142" t="s">
        <v>161</v>
      </c>
      <c r="AL142" t="s">
        <v>137</v>
      </c>
      <c r="AM142" t="s">
        <v>117</v>
      </c>
      <c r="AN142" t="s">
        <v>162</v>
      </c>
      <c r="AO142" t="s">
        <v>1281</v>
      </c>
      <c r="AP142" t="s">
        <v>119</v>
      </c>
      <c r="AQ142" t="s">
        <v>119</v>
      </c>
      <c r="AR142" t="s">
        <v>162</v>
      </c>
      <c r="AS142" t="s">
        <v>1282</v>
      </c>
      <c r="AT142" t="s">
        <v>157</v>
      </c>
    </row>
    <row r="143" spans="1:46">
      <c r="A143" s="1" t="s">
        <v>1283</v>
      </c>
      <c r="B143" s="1" t="s">
        <v>1284</v>
      </c>
      <c r="C143" s="1" t="s">
        <v>1285</v>
      </c>
      <c r="D143" s="1" t="s">
        <v>101</v>
      </c>
      <c r="E143" s="1" t="s">
        <v>102</v>
      </c>
      <c r="F143" s="1" t="s">
        <v>103</v>
      </c>
      <c r="G143" s="1" t="s">
        <v>1286</v>
      </c>
      <c r="H143" s="1" t="s">
        <v>959</v>
      </c>
      <c r="I143" s="1" t="s">
        <v>106</v>
      </c>
      <c r="J143" s="1" t="s">
        <v>107</v>
      </c>
      <c r="K143" s="1"/>
      <c r="L143" s="9">
        <v>15498.94</v>
      </c>
      <c r="M143" s="1" t="s">
        <v>103</v>
      </c>
      <c r="N143" s="1" t="s">
        <v>1286</v>
      </c>
      <c r="O143" s="1"/>
      <c r="P143" s="1" t="s">
        <v>106</v>
      </c>
      <c r="Q143" s="1" t="s">
        <v>108</v>
      </c>
      <c r="R143" s="1" t="s">
        <v>109</v>
      </c>
      <c r="S143" s="9">
        <v>-15498.94</v>
      </c>
      <c r="T143" s="1">
        <v>0</v>
      </c>
      <c r="U143" s="1" t="s">
        <v>110</v>
      </c>
      <c r="V143" s="1" t="s">
        <v>15</v>
      </c>
      <c r="W143" s="1" t="s">
        <v>17</v>
      </c>
      <c r="X143" s="1" t="s">
        <v>111</v>
      </c>
      <c r="Y143" s="1"/>
      <c r="Z143" s="1" t="s">
        <v>959</v>
      </c>
      <c r="AA143" s="1" t="s">
        <v>17</v>
      </c>
      <c r="AB143" s="1">
        <v>0</v>
      </c>
      <c r="AC143" s="1" t="s">
        <v>17</v>
      </c>
      <c r="AD143" t="s">
        <v>112</v>
      </c>
      <c r="AE143" t="s">
        <v>113</v>
      </c>
      <c r="AF143" t="s">
        <v>959</v>
      </c>
      <c r="AG143" t="s">
        <v>114</v>
      </c>
      <c r="AH143" t="s">
        <v>1287</v>
      </c>
      <c r="AI143" t="s">
        <v>1287</v>
      </c>
      <c r="AJ143" t="s">
        <v>17</v>
      </c>
      <c r="AK143" t="s">
        <v>257</v>
      </c>
      <c r="AL143" t="s">
        <v>17</v>
      </c>
      <c r="AM143" t="s">
        <v>117</v>
      </c>
      <c r="AN143" t="s">
        <v>1286</v>
      </c>
      <c r="AO143" t="s">
        <v>169</v>
      </c>
      <c r="AP143" t="s">
        <v>119</v>
      </c>
      <c r="AQ143" t="s">
        <v>119</v>
      </c>
      <c r="AR143" t="s">
        <v>1286</v>
      </c>
      <c r="AS143" t="s">
        <v>170</v>
      </c>
      <c r="AT143" t="s">
        <v>1286</v>
      </c>
    </row>
    <row r="144" spans="1:46">
      <c r="A144" s="1" t="s">
        <v>1288</v>
      </c>
      <c r="B144" s="1" t="s">
        <v>1289</v>
      </c>
      <c r="C144" s="1" t="s">
        <v>1290</v>
      </c>
      <c r="D144" s="1" t="s">
        <v>101</v>
      </c>
      <c r="E144" s="1" t="s">
        <v>124</v>
      </c>
      <c r="F144" s="1" t="s">
        <v>103</v>
      </c>
      <c r="G144" s="1" t="s">
        <v>511</v>
      </c>
      <c r="H144" s="1" t="s">
        <v>1291</v>
      </c>
      <c r="I144" s="1" t="s">
        <v>127</v>
      </c>
      <c r="J144" s="1" t="s">
        <v>128</v>
      </c>
      <c r="K144" s="1" t="s">
        <v>129</v>
      </c>
      <c r="L144" s="9">
        <v>-12147.83</v>
      </c>
      <c r="M144" s="1" t="s">
        <v>103</v>
      </c>
      <c r="N144" s="1" t="s">
        <v>511</v>
      </c>
      <c r="O144" s="1" t="s">
        <v>1291</v>
      </c>
      <c r="P144" s="1" t="s">
        <v>127</v>
      </c>
      <c r="Q144" s="1" t="s">
        <v>131</v>
      </c>
      <c r="R144" s="1"/>
      <c r="S144" s="9">
        <v>12147.83</v>
      </c>
      <c r="T144" s="1">
        <v>0</v>
      </c>
      <c r="U144" s="1" t="s">
        <v>132</v>
      </c>
      <c r="V144" s="1" t="s">
        <v>15</v>
      </c>
      <c r="W144" s="1" t="s">
        <v>17</v>
      </c>
      <c r="X144" s="1" t="s">
        <v>111</v>
      </c>
      <c r="Y144" s="1"/>
      <c r="Z144" s="1" t="s">
        <v>1060</v>
      </c>
      <c r="AA144" s="1" t="s">
        <v>17</v>
      </c>
      <c r="AB144" s="1">
        <v>0</v>
      </c>
      <c r="AC144" s="1" t="s">
        <v>17</v>
      </c>
      <c r="AD144" t="s">
        <v>112</v>
      </c>
      <c r="AE144" t="s">
        <v>113</v>
      </c>
      <c r="AF144" t="s">
        <v>1292</v>
      </c>
      <c r="AG144" t="s">
        <v>114</v>
      </c>
      <c r="AH144" t="s">
        <v>1291</v>
      </c>
      <c r="AI144" t="s">
        <v>1291</v>
      </c>
      <c r="AJ144" t="s">
        <v>149</v>
      </c>
      <c r="AK144" t="s">
        <v>189</v>
      </c>
      <c r="AL144" t="s">
        <v>137</v>
      </c>
      <c r="AM144" t="s">
        <v>117</v>
      </c>
      <c r="AN144" t="s">
        <v>190</v>
      </c>
      <c r="AO144" t="s">
        <v>1293</v>
      </c>
      <c r="AP144" t="s">
        <v>119</v>
      </c>
      <c r="AQ144" t="s">
        <v>119</v>
      </c>
      <c r="AR144" t="s">
        <v>190</v>
      </c>
      <c r="AS144" t="s">
        <v>1294</v>
      </c>
      <c r="AT144" t="s">
        <v>511</v>
      </c>
    </row>
    <row r="145" spans="1:46">
      <c r="A145" s="1" t="s">
        <v>1295</v>
      </c>
      <c r="B145" s="1" t="s">
        <v>1296</v>
      </c>
      <c r="C145" s="1" t="s">
        <v>1297</v>
      </c>
      <c r="D145" s="1" t="s">
        <v>101</v>
      </c>
      <c r="E145" s="1" t="s">
        <v>102</v>
      </c>
      <c r="F145" s="1" t="s">
        <v>103</v>
      </c>
      <c r="G145" s="1" t="s">
        <v>1298</v>
      </c>
      <c r="H145" s="1" t="s">
        <v>1228</v>
      </c>
      <c r="I145" s="1" t="s">
        <v>106</v>
      </c>
      <c r="J145" s="1" t="s">
        <v>107</v>
      </c>
      <c r="K145" s="1"/>
      <c r="L145" s="9">
        <v>66363.100000000006</v>
      </c>
      <c r="M145" s="1" t="s">
        <v>103</v>
      </c>
      <c r="N145" s="1" t="s">
        <v>1298</v>
      </c>
      <c r="O145" s="1"/>
      <c r="P145" s="1" t="s">
        <v>106</v>
      </c>
      <c r="Q145" s="1" t="s">
        <v>108</v>
      </c>
      <c r="R145" s="1" t="s">
        <v>230</v>
      </c>
      <c r="S145" s="9">
        <v>-66363.100000000006</v>
      </c>
      <c r="T145" s="1">
        <v>0</v>
      </c>
      <c r="U145" s="1" t="s">
        <v>110</v>
      </c>
      <c r="V145" s="1" t="s">
        <v>15</v>
      </c>
      <c r="W145" s="1" t="s">
        <v>17</v>
      </c>
      <c r="X145" s="1" t="s">
        <v>111</v>
      </c>
      <c r="Y145" s="1"/>
      <c r="Z145" s="1" t="s">
        <v>1228</v>
      </c>
      <c r="AA145" s="1" t="s">
        <v>17</v>
      </c>
      <c r="AB145" s="1">
        <v>0</v>
      </c>
      <c r="AC145" s="1" t="s">
        <v>17</v>
      </c>
      <c r="AD145" t="s">
        <v>112</v>
      </c>
      <c r="AE145" t="s">
        <v>231</v>
      </c>
      <c r="AF145" t="s">
        <v>1228</v>
      </c>
      <c r="AG145" t="s">
        <v>114</v>
      </c>
      <c r="AH145" t="s">
        <v>1299</v>
      </c>
      <c r="AI145" t="s">
        <v>1299</v>
      </c>
      <c r="AJ145" t="s">
        <v>17</v>
      </c>
      <c r="AK145" t="s">
        <v>233</v>
      </c>
      <c r="AL145" t="s">
        <v>17</v>
      </c>
      <c r="AM145" t="s">
        <v>117</v>
      </c>
      <c r="AN145" t="s">
        <v>1298</v>
      </c>
      <c r="AO145" t="s">
        <v>1300</v>
      </c>
      <c r="AP145" t="s">
        <v>119</v>
      </c>
      <c r="AQ145" t="s">
        <v>119</v>
      </c>
      <c r="AR145" t="s">
        <v>1298</v>
      </c>
      <c r="AS145" t="s">
        <v>1301</v>
      </c>
      <c r="AT145" t="s">
        <v>1298</v>
      </c>
    </row>
    <row r="146" spans="1:46">
      <c r="A146" s="1" t="s">
        <v>1302</v>
      </c>
      <c r="B146" s="1" t="s">
        <v>1303</v>
      </c>
      <c r="C146" s="1" t="s">
        <v>1304</v>
      </c>
      <c r="D146" s="1" t="s">
        <v>40</v>
      </c>
      <c r="E146" s="1" t="s">
        <v>124</v>
      </c>
      <c r="F146" s="1" t="s">
        <v>103</v>
      </c>
      <c r="G146" s="1" t="s">
        <v>448</v>
      </c>
      <c r="H146" s="1" t="s">
        <v>1305</v>
      </c>
      <c r="I146" s="1" t="s">
        <v>127</v>
      </c>
      <c r="J146" s="1" t="s">
        <v>128</v>
      </c>
      <c r="K146" s="1" t="s">
        <v>129</v>
      </c>
      <c r="L146" s="9">
        <v>-16546</v>
      </c>
      <c r="M146" s="1" t="s">
        <v>103</v>
      </c>
      <c r="N146" s="1" t="s">
        <v>448</v>
      </c>
      <c r="O146" s="1" t="s">
        <v>1305</v>
      </c>
      <c r="P146" s="1" t="s">
        <v>127</v>
      </c>
      <c r="Q146" s="1" t="s">
        <v>131</v>
      </c>
      <c r="R146" s="1"/>
      <c r="S146" s="9">
        <v>16546.18</v>
      </c>
      <c r="T146" s="1">
        <v>0.18000000000029104</v>
      </c>
      <c r="U146" s="1" t="s">
        <v>146</v>
      </c>
      <c r="V146" s="1" t="s">
        <v>15</v>
      </c>
      <c r="W146" s="1" t="s">
        <v>17</v>
      </c>
      <c r="X146" s="1" t="s">
        <v>111</v>
      </c>
      <c r="Y146" s="1"/>
      <c r="Z146" s="1" t="s">
        <v>1090</v>
      </c>
      <c r="AA146" s="1" t="s">
        <v>17</v>
      </c>
      <c r="AB146" s="1">
        <v>0</v>
      </c>
      <c r="AC146" s="1" t="s">
        <v>17</v>
      </c>
      <c r="AD146" t="s">
        <v>112</v>
      </c>
      <c r="AE146" t="s">
        <v>113</v>
      </c>
      <c r="AF146" t="s">
        <v>1306</v>
      </c>
      <c r="AG146" t="s">
        <v>114</v>
      </c>
      <c r="AH146" t="s">
        <v>1305</v>
      </c>
      <c r="AI146" t="s">
        <v>1305</v>
      </c>
      <c r="AJ146" t="s">
        <v>135</v>
      </c>
      <c r="AK146" t="s">
        <v>200</v>
      </c>
      <c r="AL146" t="s">
        <v>137</v>
      </c>
      <c r="AM146" t="s">
        <v>117</v>
      </c>
      <c r="AN146" t="s">
        <v>395</v>
      </c>
      <c r="AO146" t="s">
        <v>1307</v>
      </c>
      <c r="AP146" t="s">
        <v>119</v>
      </c>
      <c r="AQ146" t="s">
        <v>119</v>
      </c>
      <c r="AR146" t="s">
        <v>395</v>
      </c>
      <c r="AS146" t="s">
        <v>1308</v>
      </c>
      <c r="AT146" t="s">
        <v>821</v>
      </c>
    </row>
    <row r="147" spans="1:46">
      <c r="A147" s="1" t="s">
        <v>1309</v>
      </c>
      <c r="B147" s="1" t="s">
        <v>1310</v>
      </c>
      <c r="C147" s="1" t="s">
        <v>1311</v>
      </c>
      <c r="D147" s="1" t="s">
        <v>101</v>
      </c>
      <c r="E147" s="1" t="s">
        <v>124</v>
      </c>
      <c r="F147" s="1" t="s">
        <v>103</v>
      </c>
      <c r="G147" s="1" t="s">
        <v>224</v>
      </c>
      <c r="H147" s="1" t="s">
        <v>1312</v>
      </c>
      <c r="I147" s="1" t="s">
        <v>127</v>
      </c>
      <c r="J147" s="1" t="s">
        <v>128</v>
      </c>
      <c r="K147" s="1" t="s">
        <v>129</v>
      </c>
      <c r="L147" s="9">
        <v>-11519.5</v>
      </c>
      <c r="M147" s="1" t="s">
        <v>103</v>
      </c>
      <c r="N147" s="1" t="s">
        <v>469</v>
      </c>
      <c r="O147" s="1" t="s">
        <v>1312</v>
      </c>
      <c r="P147" s="1" t="s">
        <v>127</v>
      </c>
      <c r="Q147" s="1" t="s">
        <v>131</v>
      </c>
      <c r="R147" s="1"/>
      <c r="S147" s="9">
        <v>11519.5</v>
      </c>
      <c r="T147" s="1">
        <v>0</v>
      </c>
      <c r="U147" s="1" t="s">
        <v>132</v>
      </c>
      <c r="V147" s="1" t="s">
        <v>15</v>
      </c>
      <c r="W147" s="1" t="s">
        <v>17</v>
      </c>
      <c r="X147" s="1" t="s">
        <v>111</v>
      </c>
      <c r="Y147" s="1"/>
      <c r="Z147" s="1" t="s">
        <v>465</v>
      </c>
      <c r="AA147" s="1" t="s">
        <v>17</v>
      </c>
      <c r="AB147" s="1">
        <v>0</v>
      </c>
      <c r="AC147" s="1" t="s">
        <v>17</v>
      </c>
      <c r="AD147" t="s">
        <v>112</v>
      </c>
      <c r="AE147" t="s">
        <v>113</v>
      </c>
      <c r="AF147" t="s">
        <v>1313</v>
      </c>
      <c r="AG147" t="s">
        <v>114</v>
      </c>
      <c r="AH147" t="s">
        <v>1312</v>
      </c>
      <c r="AI147" t="s">
        <v>1312</v>
      </c>
      <c r="AJ147" t="s">
        <v>135</v>
      </c>
      <c r="AK147" t="s">
        <v>200</v>
      </c>
      <c r="AL147" t="s">
        <v>137</v>
      </c>
      <c r="AM147" t="s">
        <v>117</v>
      </c>
      <c r="AN147" t="s">
        <v>448</v>
      </c>
      <c r="AO147" t="s">
        <v>1033</v>
      </c>
      <c r="AP147" t="s">
        <v>119</v>
      </c>
      <c r="AQ147" t="s">
        <v>119</v>
      </c>
      <c r="AR147" t="s">
        <v>448</v>
      </c>
      <c r="AS147" t="s">
        <v>1034</v>
      </c>
      <c r="AT147" t="s">
        <v>469</v>
      </c>
    </row>
    <row r="148" spans="1:46">
      <c r="A148" s="1" t="s">
        <v>1314</v>
      </c>
      <c r="B148" s="1" t="s">
        <v>1315</v>
      </c>
      <c r="C148" s="1" t="s">
        <v>1316</v>
      </c>
      <c r="D148" s="1" t="s">
        <v>101</v>
      </c>
      <c r="E148" s="1" t="s">
        <v>124</v>
      </c>
      <c r="F148" s="1" t="s">
        <v>103</v>
      </c>
      <c r="G148" s="1" t="s">
        <v>531</v>
      </c>
      <c r="H148" s="1" t="s">
        <v>1317</v>
      </c>
      <c r="I148" s="1" t="s">
        <v>127</v>
      </c>
      <c r="J148" s="1" t="s">
        <v>128</v>
      </c>
      <c r="K148" s="1" t="s">
        <v>129</v>
      </c>
      <c r="L148" s="9">
        <v>-17593.400000000001</v>
      </c>
      <c r="M148" s="1" t="s">
        <v>103</v>
      </c>
      <c r="N148" s="1" t="s">
        <v>531</v>
      </c>
      <c r="O148" s="1" t="s">
        <v>1317</v>
      </c>
      <c r="P148" s="1" t="s">
        <v>127</v>
      </c>
      <c r="Q148" s="1" t="s">
        <v>131</v>
      </c>
      <c r="R148" s="1"/>
      <c r="S148" s="9">
        <v>17593.400000000001</v>
      </c>
      <c r="T148" s="1">
        <v>0</v>
      </c>
      <c r="U148" s="1" t="s">
        <v>132</v>
      </c>
      <c r="V148" s="1" t="s">
        <v>15</v>
      </c>
      <c r="W148" s="1" t="s">
        <v>17</v>
      </c>
      <c r="X148" s="1" t="s">
        <v>111</v>
      </c>
      <c r="Y148" s="1"/>
      <c r="Z148" s="1" t="s">
        <v>627</v>
      </c>
      <c r="AA148" s="1" t="s">
        <v>17</v>
      </c>
      <c r="AB148" s="1">
        <v>0</v>
      </c>
      <c r="AC148" s="1" t="s">
        <v>17</v>
      </c>
      <c r="AD148" t="s">
        <v>112</v>
      </c>
      <c r="AE148" t="s">
        <v>113</v>
      </c>
      <c r="AF148" t="s">
        <v>1318</v>
      </c>
      <c r="AG148" t="s">
        <v>114</v>
      </c>
      <c r="AH148" t="s">
        <v>1317</v>
      </c>
      <c r="AI148" t="s">
        <v>1317</v>
      </c>
      <c r="AJ148" t="s">
        <v>149</v>
      </c>
      <c r="AK148" t="s">
        <v>150</v>
      </c>
      <c r="AL148" t="s">
        <v>137</v>
      </c>
      <c r="AM148" t="s">
        <v>117</v>
      </c>
      <c r="AN148" t="s">
        <v>1186</v>
      </c>
      <c r="AO148" t="s">
        <v>1319</v>
      </c>
      <c r="AP148" t="s">
        <v>119</v>
      </c>
      <c r="AQ148" t="s">
        <v>119</v>
      </c>
      <c r="AR148" t="s">
        <v>1186</v>
      </c>
      <c r="AS148" t="s">
        <v>1320</v>
      </c>
      <c r="AT148" t="s">
        <v>531</v>
      </c>
    </row>
    <row r="149" spans="1:46">
      <c r="A149" s="1" t="s">
        <v>1321</v>
      </c>
      <c r="B149" s="1" t="s">
        <v>1322</v>
      </c>
      <c r="C149" s="1" t="s">
        <v>1323</v>
      </c>
      <c r="D149" s="1" t="s">
        <v>101</v>
      </c>
      <c r="E149" s="1" t="s">
        <v>124</v>
      </c>
      <c r="F149" s="1" t="s">
        <v>103</v>
      </c>
      <c r="G149" s="1" t="s">
        <v>541</v>
      </c>
      <c r="H149" s="1" t="s">
        <v>1324</v>
      </c>
      <c r="I149" s="1" t="s">
        <v>127</v>
      </c>
      <c r="J149" s="1" t="s">
        <v>128</v>
      </c>
      <c r="K149" s="1" t="s">
        <v>129</v>
      </c>
      <c r="L149" s="9">
        <v>-15289.51</v>
      </c>
      <c r="M149" s="1" t="s">
        <v>103</v>
      </c>
      <c r="N149" s="1" t="s">
        <v>541</v>
      </c>
      <c r="O149" s="1" t="s">
        <v>1324</v>
      </c>
      <c r="P149" s="1" t="s">
        <v>127</v>
      </c>
      <c r="Q149" s="1" t="s">
        <v>131</v>
      </c>
      <c r="R149" s="1"/>
      <c r="S149" s="9">
        <v>15289.51</v>
      </c>
      <c r="T149" s="1">
        <v>0</v>
      </c>
      <c r="U149" s="1" t="s">
        <v>132</v>
      </c>
      <c r="V149" s="1" t="s">
        <v>15</v>
      </c>
      <c r="W149" s="1" t="s">
        <v>17</v>
      </c>
      <c r="X149" s="1" t="s">
        <v>111</v>
      </c>
      <c r="Y149" s="1"/>
      <c r="Z149" s="1" t="s">
        <v>965</v>
      </c>
      <c r="AA149" s="1" t="s">
        <v>17</v>
      </c>
      <c r="AB149" s="1">
        <v>0</v>
      </c>
      <c r="AC149" s="1" t="s">
        <v>17</v>
      </c>
      <c r="AD149" t="s">
        <v>112</v>
      </c>
      <c r="AE149" t="s">
        <v>113</v>
      </c>
      <c r="AF149" t="s">
        <v>1325</v>
      </c>
      <c r="AG149" t="s">
        <v>487</v>
      </c>
      <c r="AH149" t="s">
        <v>1324</v>
      </c>
      <c r="AI149" t="s">
        <v>1324</v>
      </c>
      <c r="AJ149" t="s">
        <v>135</v>
      </c>
      <c r="AK149" t="s">
        <v>257</v>
      </c>
      <c r="AL149" t="s">
        <v>137</v>
      </c>
      <c r="AM149" t="s">
        <v>117</v>
      </c>
      <c r="AN149" t="s">
        <v>341</v>
      </c>
      <c r="AO149" t="s">
        <v>429</v>
      </c>
      <c r="AP149" t="s">
        <v>119</v>
      </c>
      <c r="AQ149" t="s">
        <v>119</v>
      </c>
      <c r="AR149" t="s">
        <v>341</v>
      </c>
      <c r="AS149" t="s">
        <v>430</v>
      </c>
      <c r="AT149" t="s">
        <v>541</v>
      </c>
    </row>
    <row r="150" spans="1:46">
      <c r="A150" s="1" t="s">
        <v>1326</v>
      </c>
      <c r="B150" s="1" t="s">
        <v>1327</v>
      </c>
      <c r="C150" s="1" t="s">
        <v>1328</v>
      </c>
      <c r="D150" s="1" t="s">
        <v>101</v>
      </c>
      <c r="E150" s="1" t="s">
        <v>102</v>
      </c>
      <c r="F150" s="1" t="s">
        <v>103</v>
      </c>
      <c r="G150" s="1" t="s">
        <v>333</v>
      </c>
      <c r="H150" s="1" t="s">
        <v>396</v>
      </c>
      <c r="I150" s="1" t="s">
        <v>106</v>
      </c>
      <c r="J150" s="1" t="s">
        <v>107</v>
      </c>
      <c r="K150" s="1"/>
      <c r="L150" s="9">
        <v>56340.800000000003</v>
      </c>
      <c r="M150" s="1" t="s">
        <v>103</v>
      </c>
      <c r="N150" s="1" t="s">
        <v>333</v>
      </c>
      <c r="O150" s="1"/>
      <c r="P150" s="1" t="s">
        <v>106</v>
      </c>
      <c r="Q150" s="1" t="s">
        <v>108</v>
      </c>
      <c r="R150" s="1" t="s">
        <v>109</v>
      </c>
      <c r="S150" s="9">
        <v>-56340.800000000003</v>
      </c>
      <c r="T150" s="1">
        <v>0</v>
      </c>
      <c r="U150" s="1" t="s">
        <v>110</v>
      </c>
      <c r="V150" s="1" t="s">
        <v>15</v>
      </c>
      <c r="W150" s="1" t="s">
        <v>17</v>
      </c>
      <c r="X150" s="1" t="s">
        <v>111</v>
      </c>
      <c r="Y150" s="1"/>
      <c r="Z150" s="1" t="s">
        <v>396</v>
      </c>
      <c r="AA150" s="1" t="s">
        <v>17</v>
      </c>
      <c r="AB150" s="1">
        <v>0</v>
      </c>
      <c r="AC150" s="1" t="s">
        <v>17</v>
      </c>
      <c r="AD150" t="s">
        <v>112</v>
      </c>
      <c r="AE150" t="s">
        <v>113</v>
      </c>
      <c r="AF150" t="s">
        <v>396</v>
      </c>
      <c r="AG150" t="s">
        <v>114</v>
      </c>
      <c r="AH150" t="s">
        <v>1329</v>
      </c>
      <c r="AI150" t="s">
        <v>1329</v>
      </c>
      <c r="AJ150" t="s">
        <v>17</v>
      </c>
      <c r="AK150" t="s">
        <v>257</v>
      </c>
      <c r="AL150" t="s">
        <v>17</v>
      </c>
      <c r="AM150" t="s">
        <v>117</v>
      </c>
      <c r="AN150" t="s">
        <v>333</v>
      </c>
      <c r="AO150" t="s">
        <v>1330</v>
      </c>
      <c r="AP150" t="s">
        <v>119</v>
      </c>
      <c r="AQ150" t="s">
        <v>119</v>
      </c>
      <c r="AR150" t="s">
        <v>333</v>
      </c>
      <c r="AS150" t="s">
        <v>1331</v>
      </c>
      <c r="AT150" t="s">
        <v>333</v>
      </c>
    </row>
    <row r="151" spans="1:46">
      <c r="A151" s="1" t="s">
        <v>1332</v>
      </c>
      <c r="B151" s="1" t="s">
        <v>1333</v>
      </c>
      <c r="C151" s="1" t="s">
        <v>1334</v>
      </c>
      <c r="D151" s="1" t="s">
        <v>101</v>
      </c>
      <c r="E151" s="1" t="s">
        <v>352</v>
      </c>
      <c r="F151" s="1" t="s">
        <v>103</v>
      </c>
      <c r="G151" s="1" t="s">
        <v>1335</v>
      </c>
      <c r="H151" s="1" t="s">
        <v>1336</v>
      </c>
      <c r="I151" s="1" t="s">
        <v>106</v>
      </c>
      <c r="J151" s="1" t="s">
        <v>107</v>
      </c>
      <c r="K151" s="1"/>
      <c r="L151" s="9">
        <v>8120</v>
      </c>
      <c r="M151" s="1" t="s">
        <v>103</v>
      </c>
      <c r="N151" s="1" t="s">
        <v>1337</v>
      </c>
      <c r="O151" s="1"/>
      <c r="P151" s="1" t="s">
        <v>106</v>
      </c>
      <c r="Q151" s="1" t="s">
        <v>108</v>
      </c>
      <c r="R151" s="1" t="s">
        <v>109</v>
      </c>
      <c r="S151" s="9">
        <v>-8120</v>
      </c>
      <c r="T151" s="1">
        <v>0</v>
      </c>
      <c r="U151" s="1" t="s">
        <v>356</v>
      </c>
      <c r="V151" s="1" t="s">
        <v>15</v>
      </c>
      <c r="W151" s="1" t="s">
        <v>17</v>
      </c>
      <c r="X151" s="1" t="s">
        <v>111</v>
      </c>
      <c r="Y151" s="1"/>
      <c r="Z151" s="1" t="s">
        <v>1336</v>
      </c>
      <c r="AA151" s="1" t="s">
        <v>17</v>
      </c>
      <c r="AB151" s="1">
        <v>0</v>
      </c>
      <c r="AC151" s="1" t="s">
        <v>17</v>
      </c>
      <c r="AD151" t="s">
        <v>112</v>
      </c>
      <c r="AE151" t="s">
        <v>113</v>
      </c>
      <c r="AF151" t="s">
        <v>1336</v>
      </c>
      <c r="AG151" t="s">
        <v>114</v>
      </c>
      <c r="AH151" t="s">
        <v>1338</v>
      </c>
      <c r="AI151" t="s">
        <v>1338</v>
      </c>
      <c r="AJ151" t="s">
        <v>17</v>
      </c>
      <c r="AK151" t="s">
        <v>663</v>
      </c>
      <c r="AL151" t="s">
        <v>17</v>
      </c>
      <c r="AM151" t="s">
        <v>117</v>
      </c>
      <c r="AN151" t="s">
        <v>1335</v>
      </c>
      <c r="AO151" t="s">
        <v>987</v>
      </c>
      <c r="AP151" t="s">
        <v>119</v>
      </c>
      <c r="AQ151" t="s">
        <v>119</v>
      </c>
      <c r="AR151" t="s">
        <v>1335</v>
      </c>
      <c r="AS151" t="s">
        <v>988</v>
      </c>
      <c r="AT151" t="s">
        <v>1335</v>
      </c>
    </row>
    <row r="152" spans="1:46">
      <c r="A152" s="1" t="s">
        <v>1339</v>
      </c>
      <c r="B152" s="1" t="s">
        <v>1340</v>
      </c>
      <c r="C152" s="1" t="s">
        <v>1341</v>
      </c>
      <c r="D152" s="1" t="s">
        <v>101</v>
      </c>
      <c r="E152" s="1" t="s">
        <v>124</v>
      </c>
      <c r="F152" s="1" t="s">
        <v>103</v>
      </c>
      <c r="G152" s="1" t="s">
        <v>1342</v>
      </c>
      <c r="H152" s="1" t="s">
        <v>1343</v>
      </c>
      <c r="I152" s="1" t="s">
        <v>127</v>
      </c>
      <c r="J152" s="1" t="s">
        <v>1344</v>
      </c>
      <c r="K152" s="1" t="s">
        <v>129</v>
      </c>
      <c r="L152" s="9">
        <v>-17174.509999999998</v>
      </c>
      <c r="M152" s="1" t="s">
        <v>103</v>
      </c>
      <c r="N152" s="1" t="s">
        <v>1345</v>
      </c>
      <c r="O152" s="1" t="s">
        <v>1343</v>
      </c>
      <c r="P152" s="1" t="s">
        <v>127</v>
      </c>
      <c r="Q152" s="1" t="s">
        <v>131</v>
      </c>
      <c r="R152" s="1"/>
      <c r="S152" s="9">
        <v>17174.509999999998</v>
      </c>
      <c r="T152" s="1">
        <v>0</v>
      </c>
      <c r="U152" s="1" t="s">
        <v>132</v>
      </c>
      <c r="V152" s="1" t="s">
        <v>15</v>
      </c>
      <c r="W152" s="1" t="s">
        <v>17</v>
      </c>
      <c r="X152" s="1" t="s">
        <v>111</v>
      </c>
      <c r="Y152" s="1"/>
      <c r="Z152" s="1" t="s">
        <v>1017</v>
      </c>
      <c r="AA152" s="1" t="s">
        <v>17</v>
      </c>
      <c r="AB152" s="1">
        <v>0</v>
      </c>
      <c r="AC152" s="1" t="s">
        <v>17</v>
      </c>
      <c r="AD152" t="s">
        <v>112</v>
      </c>
      <c r="AE152" t="s">
        <v>113</v>
      </c>
      <c r="AF152" t="s">
        <v>1346</v>
      </c>
      <c r="AG152" t="s">
        <v>114</v>
      </c>
      <c r="AH152" t="s">
        <v>1343</v>
      </c>
      <c r="AI152" t="s">
        <v>1343</v>
      </c>
      <c r="AJ152" t="s">
        <v>135</v>
      </c>
      <c r="AK152" t="s">
        <v>179</v>
      </c>
      <c r="AL152" t="s">
        <v>17</v>
      </c>
      <c r="AM152" t="s">
        <v>117</v>
      </c>
      <c r="AN152" t="s">
        <v>320</v>
      </c>
      <c r="AO152" t="s">
        <v>321</v>
      </c>
      <c r="AP152" t="s">
        <v>119</v>
      </c>
      <c r="AQ152" t="s">
        <v>119</v>
      </c>
      <c r="AR152" t="s">
        <v>664</v>
      </c>
      <c r="AS152" t="s">
        <v>322</v>
      </c>
      <c r="AT152" t="s">
        <v>320</v>
      </c>
    </row>
    <row r="153" spans="1:46">
      <c r="A153" s="1" t="s">
        <v>1347</v>
      </c>
      <c r="B153" s="1" t="s">
        <v>1348</v>
      </c>
      <c r="C153" s="1" t="s">
        <v>1349</v>
      </c>
      <c r="D153" s="1" t="s">
        <v>40</v>
      </c>
      <c r="E153" s="1" t="s">
        <v>124</v>
      </c>
      <c r="F153" s="1" t="s">
        <v>103</v>
      </c>
      <c r="G153" s="1" t="s">
        <v>1350</v>
      </c>
      <c r="H153" s="1" t="s">
        <v>1351</v>
      </c>
      <c r="I153" s="1" t="s">
        <v>127</v>
      </c>
      <c r="J153" s="1" t="s">
        <v>128</v>
      </c>
      <c r="K153" s="1" t="s">
        <v>129</v>
      </c>
      <c r="L153" s="9">
        <v>-14661</v>
      </c>
      <c r="M153" s="1" t="s">
        <v>103</v>
      </c>
      <c r="N153" s="1" t="s">
        <v>1350</v>
      </c>
      <c r="O153" s="1" t="s">
        <v>1351</v>
      </c>
      <c r="P153" s="1" t="s">
        <v>127</v>
      </c>
      <c r="Q153" s="1" t="s">
        <v>131</v>
      </c>
      <c r="R153" s="1"/>
      <c r="S153" s="9">
        <v>14661.16</v>
      </c>
      <c r="T153" s="1">
        <v>0.15999999999985448</v>
      </c>
      <c r="U153" s="1" t="s">
        <v>146</v>
      </c>
      <c r="V153" s="1" t="s">
        <v>15</v>
      </c>
      <c r="W153" s="1" t="s">
        <v>17</v>
      </c>
      <c r="X153" s="1" t="s">
        <v>111</v>
      </c>
      <c r="Y153" s="1"/>
      <c r="Z153" s="1" t="s">
        <v>1352</v>
      </c>
      <c r="AA153" s="1" t="s">
        <v>17</v>
      </c>
      <c r="AB153" s="1">
        <v>0</v>
      </c>
      <c r="AC153" s="1" t="s">
        <v>17</v>
      </c>
      <c r="AD153" t="s">
        <v>112</v>
      </c>
      <c r="AE153" t="s">
        <v>113</v>
      </c>
      <c r="AF153" t="s">
        <v>1353</v>
      </c>
      <c r="AG153" t="s">
        <v>114</v>
      </c>
      <c r="AH153" t="s">
        <v>1351</v>
      </c>
      <c r="AI153" t="s">
        <v>1351</v>
      </c>
      <c r="AJ153" t="s">
        <v>135</v>
      </c>
      <c r="AK153" t="s">
        <v>136</v>
      </c>
      <c r="AL153" t="s">
        <v>137</v>
      </c>
      <c r="AM153" t="s">
        <v>117</v>
      </c>
      <c r="AN153" t="s">
        <v>1354</v>
      </c>
      <c r="AO153" t="s">
        <v>1355</v>
      </c>
      <c r="AP153" t="s">
        <v>119</v>
      </c>
      <c r="AQ153" t="s">
        <v>119</v>
      </c>
      <c r="AR153" t="s">
        <v>1354</v>
      </c>
      <c r="AS153" t="s">
        <v>1356</v>
      </c>
      <c r="AT153" t="s">
        <v>1357</v>
      </c>
    </row>
    <row r="154" spans="1:46">
      <c r="A154" s="1" t="s">
        <v>1358</v>
      </c>
      <c r="B154" s="1" t="s">
        <v>1359</v>
      </c>
      <c r="C154" s="1" t="s">
        <v>1360</v>
      </c>
      <c r="D154" s="1" t="s">
        <v>36</v>
      </c>
      <c r="E154" s="1" t="s">
        <v>124</v>
      </c>
      <c r="F154" s="1" t="s">
        <v>103</v>
      </c>
      <c r="G154" s="1" t="s">
        <v>1361</v>
      </c>
      <c r="H154" s="1" t="s">
        <v>1362</v>
      </c>
      <c r="I154" s="1" t="s">
        <v>127</v>
      </c>
      <c r="J154" s="1" t="s">
        <v>241</v>
      </c>
      <c r="K154" s="1" t="s">
        <v>1363</v>
      </c>
      <c r="L154" s="9">
        <v>-8120</v>
      </c>
      <c r="M154" s="1" t="s">
        <v>103</v>
      </c>
      <c r="N154" s="1" t="s">
        <v>1361</v>
      </c>
      <c r="O154" s="1" t="s">
        <v>1362</v>
      </c>
      <c r="P154" s="1" t="s">
        <v>127</v>
      </c>
      <c r="Q154" s="1" t="s">
        <v>131</v>
      </c>
      <c r="R154" s="1"/>
      <c r="S154" s="9">
        <v>8260</v>
      </c>
      <c r="T154" s="1">
        <v>140</v>
      </c>
      <c r="U154" s="1" t="s">
        <v>243</v>
      </c>
      <c r="V154" s="1" t="s">
        <v>15</v>
      </c>
      <c r="W154" s="1" t="s">
        <v>17</v>
      </c>
      <c r="X154" s="1" t="s">
        <v>111</v>
      </c>
      <c r="Y154" s="1"/>
      <c r="Z154" s="1" t="s">
        <v>354</v>
      </c>
      <c r="AA154" s="1" t="s">
        <v>17</v>
      </c>
      <c r="AB154" s="1">
        <v>-140</v>
      </c>
      <c r="AC154" s="1" t="s">
        <v>17</v>
      </c>
      <c r="AD154" t="s">
        <v>112</v>
      </c>
      <c r="AE154" t="s">
        <v>113</v>
      </c>
      <c r="AF154" t="s">
        <v>1364</v>
      </c>
      <c r="AG154" t="s">
        <v>114</v>
      </c>
      <c r="AH154" t="s">
        <v>1362</v>
      </c>
      <c r="AI154" t="s">
        <v>1362</v>
      </c>
      <c r="AJ154" t="s">
        <v>135</v>
      </c>
      <c r="AK154" t="s">
        <v>136</v>
      </c>
      <c r="AL154" t="s">
        <v>137</v>
      </c>
      <c r="AM154" t="s">
        <v>117</v>
      </c>
      <c r="AN154" t="s">
        <v>1237</v>
      </c>
      <c r="AO154" t="s">
        <v>246</v>
      </c>
      <c r="AP154" t="s">
        <v>119</v>
      </c>
      <c r="AQ154" t="s">
        <v>119</v>
      </c>
      <c r="AR154" t="s">
        <v>1237</v>
      </c>
      <c r="AS154" t="s">
        <v>247</v>
      </c>
      <c r="AT154" t="s">
        <v>1256</v>
      </c>
    </row>
    <row r="155" spans="1:46">
      <c r="A155" s="1" t="s">
        <v>1365</v>
      </c>
      <c r="B155" s="1" t="s">
        <v>1366</v>
      </c>
      <c r="C155" s="1" t="s">
        <v>1367</v>
      </c>
      <c r="D155" s="1" t="s">
        <v>101</v>
      </c>
      <c r="E155" s="1" t="s">
        <v>124</v>
      </c>
      <c r="F155" s="1" t="s">
        <v>103</v>
      </c>
      <c r="G155" s="1" t="s">
        <v>1368</v>
      </c>
      <c r="H155" s="1" t="s">
        <v>1369</v>
      </c>
      <c r="I155" s="1" t="s">
        <v>127</v>
      </c>
      <c r="J155" s="1" t="s">
        <v>128</v>
      </c>
      <c r="K155" s="1" t="s">
        <v>253</v>
      </c>
      <c r="L155" s="9">
        <v>-36588.019999999997</v>
      </c>
      <c r="M155" s="1" t="s">
        <v>103</v>
      </c>
      <c r="N155" s="1" t="s">
        <v>1368</v>
      </c>
      <c r="O155" s="1" t="s">
        <v>1369</v>
      </c>
      <c r="P155" s="1" t="s">
        <v>127</v>
      </c>
      <c r="Q155" s="1" t="s">
        <v>131</v>
      </c>
      <c r="R155" s="1"/>
      <c r="S155" s="9">
        <v>36588.019999999997</v>
      </c>
      <c r="T155" s="1">
        <v>0</v>
      </c>
      <c r="U155" s="1" t="s">
        <v>132</v>
      </c>
      <c r="V155" s="1" t="s">
        <v>15</v>
      </c>
      <c r="W155" s="1" t="s">
        <v>17</v>
      </c>
      <c r="X155" s="1" t="s">
        <v>111</v>
      </c>
      <c r="Y155" s="1"/>
      <c r="Z155" s="1" t="s">
        <v>364</v>
      </c>
      <c r="AA155" s="1" t="s">
        <v>17</v>
      </c>
      <c r="AB155" s="1">
        <v>0</v>
      </c>
      <c r="AC155" s="1" t="s">
        <v>17</v>
      </c>
      <c r="AD155" t="s">
        <v>112</v>
      </c>
      <c r="AE155" t="s">
        <v>231</v>
      </c>
      <c r="AF155" t="s">
        <v>1370</v>
      </c>
      <c r="AG155" t="s">
        <v>114</v>
      </c>
      <c r="AH155" t="s">
        <v>1369</v>
      </c>
      <c r="AI155" t="s">
        <v>1369</v>
      </c>
      <c r="AJ155" t="s">
        <v>135</v>
      </c>
      <c r="AK155" t="s">
        <v>233</v>
      </c>
      <c r="AL155" t="s">
        <v>137</v>
      </c>
      <c r="AM155" t="s">
        <v>117</v>
      </c>
      <c r="AN155" t="s">
        <v>1298</v>
      </c>
      <c r="AO155" t="s">
        <v>1371</v>
      </c>
      <c r="AP155" t="s">
        <v>119</v>
      </c>
      <c r="AQ155" t="s">
        <v>119</v>
      </c>
      <c r="AR155" t="s">
        <v>1298</v>
      </c>
      <c r="AS155" t="s">
        <v>1372</v>
      </c>
      <c r="AT155" t="s">
        <v>1373</v>
      </c>
    </row>
    <row r="156" spans="1:46">
      <c r="A156" s="1" t="s">
        <v>1374</v>
      </c>
      <c r="B156" s="1" t="s">
        <v>1375</v>
      </c>
      <c r="C156" s="1" t="s">
        <v>1376</v>
      </c>
      <c r="D156" s="1" t="s">
        <v>101</v>
      </c>
      <c r="E156" s="1" t="s">
        <v>124</v>
      </c>
      <c r="F156" s="1" t="s">
        <v>103</v>
      </c>
      <c r="G156" s="1" t="s">
        <v>1377</v>
      </c>
      <c r="H156" s="1" t="s">
        <v>1378</v>
      </c>
      <c r="I156" s="1" t="s">
        <v>127</v>
      </c>
      <c r="J156" s="1" t="s">
        <v>128</v>
      </c>
      <c r="K156" s="1" t="s">
        <v>129</v>
      </c>
      <c r="L156" s="9">
        <v>-16755.62</v>
      </c>
      <c r="M156" s="1" t="s">
        <v>103</v>
      </c>
      <c r="N156" s="1" t="s">
        <v>1377</v>
      </c>
      <c r="O156" s="1" t="s">
        <v>1378</v>
      </c>
      <c r="P156" s="1" t="s">
        <v>127</v>
      </c>
      <c r="Q156" s="1" t="s">
        <v>131</v>
      </c>
      <c r="R156" s="1"/>
      <c r="S156" s="9">
        <v>16755.62</v>
      </c>
      <c r="T156" s="1">
        <v>0</v>
      </c>
      <c r="U156" s="1" t="s">
        <v>132</v>
      </c>
      <c r="V156" s="1" t="s">
        <v>15</v>
      </c>
      <c r="W156" s="1" t="s">
        <v>17</v>
      </c>
      <c r="X156" s="1" t="s">
        <v>111</v>
      </c>
      <c r="Y156" s="1"/>
      <c r="Z156" s="1" t="s">
        <v>159</v>
      </c>
      <c r="AA156" s="1" t="s">
        <v>17</v>
      </c>
      <c r="AB156" s="1">
        <v>0</v>
      </c>
      <c r="AC156" s="1" t="s">
        <v>17</v>
      </c>
      <c r="AD156" t="s">
        <v>112</v>
      </c>
      <c r="AE156" t="s">
        <v>113</v>
      </c>
      <c r="AF156" t="s">
        <v>1379</v>
      </c>
      <c r="AG156" t="s">
        <v>114</v>
      </c>
      <c r="AH156" t="s">
        <v>1378</v>
      </c>
      <c r="AI156" t="s">
        <v>1378</v>
      </c>
      <c r="AJ156" t="s">
        <v>149</v>
      </c>
      <c r="AK156" t="s">
        <v>161</v>
      </c>
      <c r="AL156" t="s">
        <v>137</v>
      </c>
      <c r="AM156" t="s">
        <v>117</v>
      </c>
      <c r="AN156" t="s">
        <v>162</v>
      </c>
      <c r="AO156" t="s">
        <v>681</v>
      </c>
      <c r="AP156" t="s">
        <v>119</v>
      </c>
      <c r="AQ156" t="s">
        <v>119</v>
      </c>
      <c r="AR156" t="s">
        <v>162</v>
      </c>
      <c r="AS156" t="s">
        <v>682</v>
      </c>
      <c r="AT156" t="s">
        <v>1377</v>
      </c>
    </row>
    <row r="157" spans="1:46">
      <c r="A157" s="1" t="s">
        <v>1380</v>
      </c>
      <c r="B157" s="1" t="s">
        <v>1381</v>
      </c>
      <c r="C157" s="1" t="s">
        <v>1382</v>
      </c>
      <c r="D157" s="1" t="s">
        <v>101</v>
      </c>
      <c r="E157" s="1" t="s">
        <v>124</v>
      </c>
      <c r="F157" s="1" t="s">
        <v>103</v>
      </c>
      <c r="G157" s="1" t="s">
        <v>375</v>
      </c>
      <c r="H157" s="1" t="s">
        <v>1383</v>
      </c>
      <c r="I157" s="1" t="s">
        <v>127</v>
      </c>
      <c r="J157" s="1" t="s">
        <v>128</v>
      </c>
      <c r="K157" s="1" t="s">
        <v>129</v>
      </c>
      <c r="L157" s="9">
        <v>-15917.84</v>
      </c>
      <c r="M157" s="1" t="s">
        <v>103</v>
      </c>
      <c r="N157" s="1" t="s">
        <v>1361</v>
      </c>
      <c r="O157" s="1" t="s">
        <v>1383</v>
      </c>
      <c r="P157" s="1" t="s">
        <v>127</v>
      </c>
      <c r="Q157" s="1" t="s">
        <v>131</v>
      </c>
      <c r="R157" s="1"/>
      <c r="S157" s="9">
        <v>15917.84</v>
      </c>
      <c r="T157" s="1">
        <v>0</v>
      </c>
      <c r="U157" s="1" t="s">
        <v>132</v>
      </c>
      <c r="V157" s="1" t="s">
        <v>15</v>
      </c>
      <c r="W157" s="1" t="s">
        <v>17</v>
      </c>
      <c r="X157" s="1" t="s">
        <v>111</v>
      </c>
      <c r="Y157" s="1"/>
      <c r="Z157" s="1" t="s">
        <v>177</v>
      </c>
      <c r="AA157" s="1" t="s">
        <v>17</v>
      </c>
      <c r="AB157" s="1">
        <v>0</v>
      </c>
      <c r="AC157" s="1" t="s">
        <v>17</v>
      </c>
      <c r="AD157" t="s">
        <v>112</v>
      </c>
      <c r="AE157" t="s">
        <v>113</v>
      </c>
      <c r="AF157" t="s">
        <v>1384</v>
      </c>
      <c r="AG157" t="s">
        <v>114</v>
      </c>
      <c r="AH157" t="s">
        <v>1383</v>
      </c>
      <c r="AI157" t="s">
        <v>1383</v>
      </c>
      <c r="AJ157" t="s">
        <v>149</v>
      </c>
      <c r="AK157" t="s">
        <v>179</v>
      </c>
      <c r="AL157" t="s">
        <v>137</v>
      </c>
      <c r="AM157" t="s">
        <v>117</v>
      </c>
      <c r="AN157" t="s">
        <v>180</v>
      </c>
      <c r="AO157" t="s">
        <v>1187</v>
      </c>
      <c r="AP157" t="s">
        <v>119</v>
      </c>
      <c r="AQ157" t="s">
        <v>119</v>
      </c>
      <c r="AR157" t="s">
        <v>180</v>
      </c>
      <c r="AS157" t="s">
        <v>1188</v>
      </c>
      <c r="AT157" t="s">
        <v>547</v>
      </c>
    </row>
    <row r="158" spans="1:46">
      <c r="A158" s="1" t="s">
        <v>1385</v>
      </c>
      <c r="B158" s="1" t="s">
        <v>1386</v>
      </c>
      <c r="C158" s="1" t="s">
        <v>1387</v>
      </c>
      <c r="D158" s="1" t="s">
        <v>101</v>
      </c>
      <c r="E158" s="1" t="s">
        <v>352</v>
      </c>
      <c r="F158" s="1" t="s">
        <v>103</v>
      </c>
      <c r="G158" s="1" t="s">
        <v>678</v>
      </c>
      <c r="H158" s="1" t="s">
        <v>1388</v>
      </c>
      <c r="I158" s="1" t="s">
        <v>106</v>
      </c>
      <c r="J158" s="1" t="s">
        <v>107</v>
      </c>
      <c r="K158" s="1"/>
      <c r="L158" s="9">
        <v>17593</v>
      </c>
      <c r="M158" s="1" t="s">
        <v>103</v>
      </c>
      <c r="N158" s="1" t="s">
        <v>1389</v>
      </c>
      <c r="O158" s="1"/>
      <c r="P158" s="1" t="s">
        <v>106</v>
      </c>
      <c r="Q158" s="1" t="s">
        <v>108</v>
      </c>
      <c r="R158" s="1" t="s">
        <v>109</v>
      </c>
      <c r="S158" s="9">
        <v>-17593</v>
      </c>
      <c r="T158" s="1">
        <v>0</v>
      </c>
      <c r="U158" s="1" t="s">
        <v>356</v>
      </c>
      <c r="V158" s="1" t="s">
        <v>15</v>
      </c>
      <c r="W158" s="1" t="s">
        <v>17</v>
      </c>
      <c r="X158" s="1" t="s">
        <v>111</v>
      </c>
      <c r="Y158" s="1"/>
      <c r="Z158" s="1" t="s">
        <v>1388</v>
      </c>
      <c r="AA158" s="1" t="s">
        <v>17</v>
      </c>
      <c r="AB158" s="1">
        <v>0</v>
      </c>
      <c r="AC158" s="1" t="s">
        <v>17</v>
      </c>
      <c r="AD158" t="s">
        <v>112</v>
      </c>
      <c r="AE158" t="s">
        <v>113</v>
      </c>
      <c r="AF158" t="s">
        <v>1388</v>
      </c>
      <c r="AG158" t="s">
        <v>114</v>
      </c>
      <c r="AH158" t="s">
        <v>1390</v>
      </c>
      <c r="AI158" t="s">
        <v>1390</v>
      </c>
      <c r="AJ158" t="s">
        <v>17</v>
      </c>
      <c r="AK158" t="s">
        <v>179</v>
      </c>
      <c r="AL158" t="s">
        <v>17</v>
      </c>
      <c r="AM158" t="s">
        <v>117</v>
      </c>
      <c r="AN158" t="s">
        <v>678</v>
      </c>
      <c r="AO158" t="s">
        <v>1391</v>
      </c>
      <c r="AP158" t="s">
        <v>119</v>
      </c>
      <c r="AQ158" t="s">
        <v>119</v>
      </c>
      <c r="AR158" t="s">
        <v>678</v>
      </c>
      <c r="AS158" t="s">
        <v>1392</v>
      </c>
      <c r="AT158" t="s">
        <v>678</v>
      </c>
    </row>
    <row r="159" spans="1:46">
      <c r="A159" s="1" t="s">
        <v>1393</v>
      </c>
      <c r="B159" s="1" t="s">
        <v>1394</v>
      </c>
      <c r="C159" s="1" t="s">
        <v>1395</v>
      </c>
      <c r="D159" s="1" t="s">
        <v>40</v>
      </c>
      <c r="E159" s="1" t="s">
        <v>124</v>
      </c>
      <c r="F159" s="1" t="s">
        <v>103</v>
      </c>
      <c r="G159" s="1" t="s">
        <v>1354</v>
      </c>
      <c r="H159" s="1" t="s">
        <v>1396</v>
      </c>
      <c r="I159" s="1" t="s">
        <v>127</v>
      </c>
      <c r="J159" s="1" t="s">
        <v>128</v>
      </c>
      <c r="K159" s="1" t="s">
        <v>129</v>
      </c>
      <c r="L159" s="9">
        <v>-14870</v>
      </c>
      <c r="M159" s="1" t="s">
        <v>103</v>
      </c>
      <c r="N159" s="1" t="s">
        <v>1397</v>
      </c>
      <c r="O159" s="1" t="s">
        <v>1396</v>
      </c>
      <c r="P159" s="1" t="s">
        <v>127</v>
      </c>
      <c r="Q159" s="1" t="s">
        <v>131</v>
      </c>
      <c r="R159" s="1"/>
      <c r="S159" s="9">
        <v>14870.62</v>
      </c>
      <c r="T159" s="1">
        <v>0.62000000000080036</v>
      </c>
      <c r="U159" s="1" t="s">
        <v>146</v>
      </c>
      <c r="V159" s="1" t="s">
        <v>15</v>
      </c>
      <c r="W159" s="1" t="s">
        <v>17</v>
      </c>
      <c r="X159" s="1" t="s">
        <v>111</v>
      </c>
      <c r="Y159" s="1"/>
      <c r="Z159" s="1" t="s">
        <v>1398</v>
      </c>
      <c r="AA159" s="1" t="s">
        <v>17</v>
      </c>
      <c r="AB159" s="1">
        <v>0</v>
      </c>
      <c r="AC159" s="1" t="s">
        <v>17</v>
      </c>
      <c r="AD159" t="s">
        <v>112</v>
      </c>
      <c r="AE159" t="s">
        <v>113</v>
      </c>
      <c r="AF159" t="s">
        <v>1399</v>
      </c>
      <c r="AG159" t="s">
        <v>114</v>
      </c>
      <c r="AH159" t="s">
        <v>1396</v>
      </c>
      <c r="AI159" t="s">
        <v>1396</v>
      </c>
      <c r="AJ159" t="s">
        <v>135</v>
      </c>
      <c r="AK159" t="s">
        <v>136</v>
      </c>
      <c r="AL159" t="s">
        <v>137</v>
      </c>
      <c r="AM159" t="s">
        <v>117</v>
      </c>
      <c r="AN159" t="s">
        <v>204</v>
      </c>
      <c r="AO159" t="s">
        <v>1400</v>
      </c>
      <c r="AP159" t="s">
        <v>119</v>
      </c>
      <c r="AQ159" t="s">
        <v>119</v>
      </c>
      <c r="AR159" t="s">
        <v>204</v>
      </c>
      <c r="AS159" t="s">
        <v>1401</v>
      </c>
      <c r="AT159" t="s">
        <v>1402</v>
      </c>
    </row>
    <row r="160" spans="1:46">
      <c r="A160" s="1" t="s">
        <v>1403</v>
      </c>
      <c r="B160" s="1" t="s">
        <v>1404</v>
      </c>
      <c r="C160" s="1" t="s">
        <v>1405</v>
      </c>
      <c r="D160" s="1" t="s">
        <v>101</v>
      </c>
      <c r="E160" s="1" t="s">
        <v>102</v>
      </c>
      <c r="F160" s="1" t="s">
        <v>103</v>
      </c>
      <c r="G160" s="1" t="s">
        <v>1406</v>
      </c>
      <c r="H160" s="1" t="s">
        <v>584</v>
      </c>
      <c r="I160" s="1" t="s">
        <v>106</v>
      </c>
      <c r="J160" s="1" t="s">
        <v>107</v>
      </c>
      <c r="K160" s="1"/>
      <c r="L160" s="9">
        <v>65101.440000000002</v>
      </c>
      <c r="M160" s="1" t="s">
        <v>103</v>
      </c>
      <c r="N160" s="1" t="s">
        <v>1406</v>
      </c>
      <c r="O160" s="1"/>
      <c r="P160" s="1" t="s">
        <v>106</v>
      </c>
      <c r="Q160" s="1" t="s">
        <v>108</v>
      </c>
      <c r="R160" s="1" t="s">
        <v>230</v>
      </c>
      <c r="S160" s="9">
        <v>-65101.440000000002</v>
      </c>
      <c r="T160" s="1">
        <v>0</v>
      </c>
      <c r="U160" s="1" t="s">
        <v>110</v>
      </c>
      <c r="V160" s="1" t="s">
        <v>15</v>
      </c>
      <c r="W160" s="1" t="s">
        <v>17</v>
      </c>
      <c r="X160" s="1" t="s">
        <v>111</v>
      </c>
      <c r="Y160" s="1"/>
      <c r="Z160" s="1" t="s">
        <v>584</v>
      </c>
      <c r="AA160" s="1" t="s">
        <v>17</v>
      </c>
      <c r="AB160" s="1">
        <v>0</v>
      </c>
      <c r="AC160" s="1" t="s">
        <v>17</v>
      </c>
      <c r="AD160" t="s">
        <v>112</v>
      </c>
      <c r="AE160" t="s">
        <v>231</v>
      </c>
      <c r="AF160" t="s">
        <v>584</v>
      </c>
      <c r="AG160" t="s">
        <v>114</v>
      </c>
      <c r="AH160" t="s">
        <v>1407</v>
      </c>
      <c r="AI160" t="s">
        <v>1407</v>
      </c>
      <c r="AJ160" t="s">
        <v>17</v>
      </c>
      <c r="AK160" t="s">
        <v>233</v>
      </c>
      <c r="AL160" t="s">
        <v>17</v>
      </c>
      <c r="AM160" t="s">
        <v>117</v>
      </c>
      <c r="AN160" t="s">
        <v>1406</v>
      </c>
      <c r="AO160" t="s">
        <v>1408</v>
      </c>
      <c r="AP160" t="s">
        <v>119</v>
      </c>
      <c r="AQ160" t="s">
        <v>119</v>
      </c>
      <c r="AR160" t="s">
        <v>1406</v>
      </c>
      <c r="AS160" t="s">
        <v>1409</v>
      </c>
      <c r="AT160" t="s">
        <v>1406</v>
      </c>
    </row>
    <row r="161" spans="1:46">
      <c r="A161" s="1" t="s">
        <v>1410</v>
      </c>
      <c r="B161" s="1" t="s">
        <v>1411</v>
      </c>
      <c r="C161" s="1" t="s">
        <v>1412</v>
      </c>
      <c r="D161" s="1" t="s">
        <v>101</v>
      </c>
      <c r="E161" s="1" t="s">
        <v>102</v>
      </c>
      <c r="F161" s="1" t="s">
        <v>103</v>
      </c>
      <c r="G161" s="1" t="s">
        <v>1226</v>
      </c>
      <c r="H161" s="1" t="s">
        <v>1413</v>
      </c>
      <c r="I161" s="1" t="s">
        <v>106</v>
      </c>
      <c r="J161" s="1" t="s">
        <v>107</v>
      </c>
      <c r="K161" s="1"/>
      <c r="L161" s="9">
        <v>13613.94</v>
      </c>
      <c r="M161" s="1" t="s">
        <v>103</v>
      </c>
      <c r="N161" s="1" t="s">
        <v>1226</v>
      </c>
      <c r="O161" s="1"/>
      <c r="P161" s="1" t="s">
        <v>106</v>
      </c>
      <c r="Q161" s="1" t="s">
        <v>108</v>
      </c>
      <c r="R161" s="1" t="s">
        <v>109</v>
      </c>
      <c r="S161" s="9">
        <v>-13613.94</v>
      </c>
      <c r="T161" s="1">
        <v>0</v>
      </c>
      <c r="U161" s="1" t="s">
        <v>110</v>
      </c>
      <c r="V161" s="1" t="s">
        <v>15</v>
      </c>
      <c r="W161" s="1" t="s">
        <v>17</v>
      </c>
      <c r="X161" s="1" t="s">
        <v>111</v>
      </c>
      <c r="Y161" s="1"/>
      <c r="Z161" s="1" t="s">
        <v>1413</v>
      </c>
      <c r="AA161" s="1" t="s">
        <v>17</v>
      </c>
      <c r="AB161" s="1">
        <v>0</v>
      </c>
      <c r="AC161" s="1" t="s">
        <v>17</v>
      </c>
      <c r="AD161" t="s">
        <v>112</v>
      </c>
      <c r="AE161" t="s">
        <v>113</v>
      </c>
      <c r="AF161" t="s">
        <v>1413</v>
      </c>
      <c r="AG161" t="s">
        <v>114</v>
      </c>
      <c r="AH161" t="s">
        <v>1414</v>
      </c>
      <c r="AI161" t="s">
        <v>1414</v>
      </c>
      <c r="AJ161" t="s">
        <v>17</v>
      </c>
      <c r="AK161" t="s">
        <v>408</v>
      </c>
      <c r="AL161" t="s">
        <v>17</v>
      </c>
      <c r="AM161" t="s">
        <v>117</v>
      </c>
      <c r="AN161" t="s">
        <v>1226</v>
      </c>
      <c r="AO161" t="s">
        <v>215</v>
      </c>
      <c r="AP161" t="s">
        <v>119</v>
      </c>
      <c r="AQ161" t="s">
        <v>119</v>
      </c>
      <c r="AR161" t="s">
        <v>1226</v>
      </c>
      <c r="AS161" t="s">
        <v>216</v>
      </c>
      <c r="AT161" t="s">
        <v>1226</v>
      </c>
    </row>
    <row r="162" spans="1:46">
      <c r="A162" s="1" t="s">
        <v>1415</v>
      </c>
      <c r="B162" s="1" t="s">
        <v>1416</v>
      </c>
      <c r="C162" s="1" t="s">
        <v>1417</v>
      </c>
      <c r="D162" s="1" t="s">
        <v>101</v>
      </c>
      <c r="E162" s="1" t="s">
        <v>124</v>
      </c>
      <c r="F162" s="1" t="s">
        <v>103</v>
      </c>
      <c r="G162" s="1" t="s">
        <v>1418</v>
      </c>
      <c r="H162" s="1" t="s">
        <v>1419</v>
      </c>
      <c r="I162" s="1" t="s">
        <v>127</v>
      </c>
      <c r="J162" s="1" t="s">
        <v>128</v>
      </c>
      <c r="K162" s="1" t="s">
        <v>129</v>
      </c>
      <c r="L162" s="9">
        <v>-10472.26</v>
      </c>
      <c r="M162" s="1" t="s">
        <v>103</v>
      </c>
      <c r="N162" s="1" t="s">
        <v>1418</v>
      </c>
      <c r="O162" s="1" t="s">
        <v>1419</v>
      </c>
      <c r="P162" s="1" t="s">
        <v>127</v>
      </c>
      <c r="Q162" s="1" t="s">
        <v>131</v>
      </c>
      <c r="R162" s="1"/>
      <c r="S162" s="9">
        <v>10472.26</v>
      </c>
      <c r="T162" s="1">
        <v>0</v>
      </c>
      <c r="U162" s="1" t="s">
        <v>132</v>
      </c>
      <c r="V162" s="1" t="s">
        <v>15</v>
      </c>
      <c r="W162" s="1" t="s">
        <v>17</v>
      </c>
      <c r="X162" s="1" t="s">
        <v>111</v>
      </c>
      <c r="Y162" s="1"/>
      <c r="Z162" s="1" t="s">
        <v>903</v>
      </c>
      <c r="AA162" s="1" t="s">
        <v>17</v>
      </c>
      <c r="AB162" s="1">
        <v>0</v>
      </c>
      <c r="AC162" s="1" t="s">
        <v>17</v>
      </c>
      <c r="AD162" t="s">
        <v>112</v>
      </c>
      <c r="AE162" t="s">
        <v>113</v>
      </c>
      <c r="AF162" t="s">
        <v>1420</v>
      </c>
      <c r="AG162" t="s">
        <v>114</v>
      </c>
      <c r="AH162" t="s">
        <v>1419</v>
      </c>
      <c r="AI162" t="s">
        <v>1419</v>
      </c>
      <c r="AJ162" t="s">
        <v>149</v>
      </c>
      <c r="AK162" t="s">
        <v>161</v>
      </c>
      <c r="AL162" t="s">
        <v>137</v>
      </c>
      <c r="AM162" t="s">
        <v>117</v>
      </c>
      <c r="AN162" t="s">
        <v>806</v>
      </c>
      <c r="AO162" t="s">
        <v>1421</v>
      </c>
      <c r="AP162" t="s">
        <v>119</v>
      </c>
      <c r="AQ162" t="s">
        <v>119</v>
      </c>
      <c r="AR162" t="s">
        <v>806</v>
      </c>
      <c r="AS162" t="s">
        <v>1422</v>
      </c>
      <c r="AT162" t="s">
        <v>1418</v>
      </c>
    </row>
    <row r="163" spans="1:46">
      <c r="A163" s="1" t="s">
        <v>1423</v>
      </c>
      <c r="B163" s="1" t="s">
        <v>1424</v>
      </c>
      <c r="C163" s="1" t="s">
        <v>1425</v>
      </c>
      <c r="D163" s="1" t="s">
        <v>101</v>
      </c>
      <c r="E163" s="1" t="s">
        <v>124</v>
      </c>
      <c r="F163" s="1" t="s">
        <v>103</v>
      </c>
      <c r="G163" s="1" t="s">
        <v>193</v>
      </c>
      <c r="H163" s="1" t="s">
        <v>1426</v>
      </c>
      <c r="I163" s="1" t="s">
        <v>127</v>
      </c>
      <c r="J163" s="1" t="s">
        <v>128</v>
      </c>
      <c r="K163" s="1" t="s">
        <v>129</v>
      </c>
      <c r="L163" s="9">
        <v>-12357.26</v>
      </c>
      <c r="M163" s="1" t="s">
        <v>103</v>
      </c>
      <c r="N163" s="1" t="s">
        <v>193</v>
      </c>
      <c r="O163" s="1" t="s">
        <v>1426</v>
      </c>
      <c r="P163" s="1" t="s">
        <v>127</v>
      </c>
      <c r="Q163" s="1" t="s">
        <v>131</v>
      </c>
      <c r="R163" s="1"/>
      <c r="S163" s="9">
        <v>12357.26</v>
      </c>
      <c r="T163" s="1">
        <v>0</v>
      </c>
      <c r="U163" s="1" t="s">
        <v>132</v>
      </c>
      <c r="V163" s="1" t="s">
        <v>15</v>
      </c>
      <c r="W163" s="1" t="s">
        <v>17</v>
      </c>
      <c r="X163" s="1" t="s">
        <v>111</v>
      </c>
      <c r="Y163" s="1"/>
      <c r="Z163" s="1" t="s">
        <v>854</v>
      </c>
      <c r="AA163" s="1" t="s">
        <v>17</v>
      </c>
      <c r="AB163" s="1">
        <v>0</v>
      </c>
      <c r="AC163" s="1" t="s">
        <v>17</v>
      </c>
      <c r="AD163" t="s">
        <v>112</v>
      </c>
      <c r="AE163" t="s">
        <v>113</v>
      </c>
      <c r="AF163" t="s">
        <v>1427</v>
      </c>
      <c r="AG163" t="s">
        <v>114</v>
      </c>
      <c r="AH163" t="s">
        <v>1426</v>
      </c>
      <c r="AI163" t="s">
        <v>1426</v>
      </c>
      <c r="AJ163" t="s">
        <v>149</v>
      </c>
      <c r="AK163" t="s">
        <v>189</v>
      </c>
      <c r="AL163" t="s">
        <v>137</v>
      </c>
      <c r="AM163" t="s">
        <v>117</v>
      </c>
      <c r="AN163" t="s">
        <v>190</v>
      </c>
      <c r="AO163" t="s">
        <v>1428</v>
      </c>
      <c r="AP163" t="s">
        <v>119</v>
      </c>
      <c r="AQ163" t="s">
        <v>119</v>
      </c>
      <c r="AR163" t="s">
        <v>190</v>
      </c>
      <c r="AS163" t="s">
        <v>1421</v>
      </c>
      <c r="AT163" t="s">
        <v>193</v>
      </c>
    </row>
    <row r="164" spans="1:46">
      <c r="A164" s="1" t="s">
        <v>1429</v>
      </c>
      <c r="B164" s="1" t="s">
        <v>1430</v>
      </c>
      <c r="C164" s="1" t="s">
        <v>1431</v>
      </c>
      <c r="D164" s="1" t="s">
        <v>101</v>
      </c>
      <c r="E164" s="1" t="s">
        <v>102</v>
      </c>
      <c r="F164" s="1" t="s">
        <v>103</v>
      </c>
      <c r="G164" s="1" t="s">
        <v>1278</v>
      </c>
      <c r="H164" s="1" t="s">
        <v>1162</v>
      </c>
      <c r="I164" s="1" t="s">
        <v>106</v>
      </c>
      <c r="J164" s="1" t="s">
        <v>107</v>
      </c>
      <c r="K164" s="1"/>
      <c r="L164" s="9">
        <v>25342</v>
      </c>
      <c r="M164" s="1" t="s">
        <v>103</v>
      </c>
      <c r="N164" s="1" t="s">
        <v>1278</v>
      </c>
      <c r="O164" s="1"/>
      <c r="P164" s="1" t="s">
        <v>106</v>
      </c>
      <c r="Q164" s="1" t="s">
        <v>108</v>
      </c>
      <c r="R164" s="1" t="s">
        <v>109</v>
      </c>
      <c r="S164" s="9">
        <v>-25342</v>
      </c>
      <c r="T164" s="1">
        <v>0</v>
      </c>
      <c r="U164" s="1" t="s">
        <v>110</v>
      </c>
      <c r="V164" s="1" t="s">
        <v>15</v>
      </c>
      <c r="W164" s="1" t="s">
        <v>17</v>
      </c>
      <c r="X164" s="1" t="s">
        <v>111</v>
      </c>
      <c r="Y164" s="1"/>
      <c r="Z164" s="1" t="s">
        <v>1162</v>
      </c>
      <c r="AA164" s="1" t="s">
        <v>17</v>
      </c>
      <c r="AB164" s="1">
        <v>0</v>
      </c>
      <c r="AC164" s="1" t="s">
        <v>17</v>
      </c>
      <c r="AD164" t="s">
        <v>112</v>
      </c>
      <c r="AE164" t="s">
        <v>113</v>
      </c>
      <c r="AF164" t="s">
        <v>1162</v>
      </c>
      <c r="AG164" t="s">
        <v>114</v>
      </c>
      <c r="AH164" t="s">
        <v>1432</v>
      </c>
      <c r="AI164" t="s">
        <v>1432</v>
      </c>
      <c r="AJ164" t="s">
        <v>17</v>
      </c>
      <c r="AK164" t="s">
        <v>161</v>
      </c>
      <c r="AL164" t="s">
        <v>17</v>
      </c>
      <c r="AM164" t="s">
        <v>117</v>
      </c>
      <c r="AN164" t="s">
        <v>1278</v>
      </c>
      <c r="AO164" t="s">
        <v>1433</v>
      </c>
      <c r="AP164" t="s">
        <v>119</v>
      </c>
      <c r="AQ164" t="s">
        <v>119</v>
      </c>
      <c r="AR164" t="s">
        <v>1278</v>
      </c>
      <c r="AS164" t="s">
        <v>1434</v>
      </c>
      <c r="AT164" t="s">
        <v>1278</v>
      </c>
    </row>
    <row r="165" spans="1:46">
      <c r="A165" s="1" t="s">
        <v>1435</v>
      </c>
      <c r="B165" s="1" t="s">
        <v>1436</v>
      </c>
      <c r="C165" s="1" t="s">
        <v>1437</v>
      </c>
      <c r="D165" s="1" t="s">
        <v>101</v>
      </c>
      <c r="E165" s="1" t="s">
        <v>102</v>
      </c>
      <c r="F165" s="1" t="s">
        <v>103</v>
      </c>
      <c r="G165" s="1" t="s">
        <v>1213</v>
      </c>
      <c r="H165" s="1" t="s">
        <v>1438</v>
      </c>
      <c r="I165" s="1" t="s">
        <v>106</v>
      </c>
      <c r="J165" s="1" t="s">
        <v>107</v>
      </c>
      <c r="K165" s="1"/>
      <c r="L165" s="9">
        <v>18012</v>
      </c>
      <c r="M165" s="1" t="s">
        <v>103</v>
      </c>
      <c r="N165" s="1" t="s">
        <v>1213</v>
      </c>
      <c r="O165" s="1"/>
      <c r="P165" s="1" t="s">
        <v>106</v>
      </c>
      <c r="Q165" s="1" t="s">
        <v>108</v>
      </c>
      <c r="R165" s="1" t="s">
        <v>109</v>
      </c>
      <c r="S165" s="9">
        <v>-18012</v>
      </c>
      <c r="T165" s="1">
        <v>0</v>
      </c>
      <c r="U165" s="1" t="s">
        <v>110</v>
      </c>
      <c r="V165" s="1" t="s">
        <v>15</v>
      </c>
      <c r="W165" s="1" t="s">
        <v>17</v>
      </c>
      <c r="X165" s="1" t="s">
        <v>111</v>
      </c>
      <c r="Y165" s="1"/>
      <c r="Z165" s="1" t="s">
        <v>1438</v>
      </c>
      <c r="AA165" s="1" t="s">
        <v>17</v>
      </c>
      <c r="AB165" s="1">
        <v>0</v>
      </c>
      <c r="AC165" s="1" t="s">
        <v>17</v>
      </c>
      <c r="AD165" t="s">
        <v>112</v>
      </c>
      <c r="AE165" t="s">
        <v>113</v>
      </c>
      <c r="AF165" t="s">
        <v>1438</v>
      </c>
      <c r="AG165" t="s">
        <v>114</v>
      </c>
      <c r="AH165" t="s">
        <v>1439</v>
      </c>
      <c r="AI165" t="s">
        <v>1439</v>
      </c>
      <c r="AJ165" t="s">
        <v>17</v>
      </c>
      <c r="AK165" t="s">
        <v>663</v>
      </c>
      <c r="AL165" t="s">
        <v>17</v>
      </c>
      <c r="AM165" t="s">
        <v>117</v>
      </c>
      <c r="AN165" t="s">
        <v>1213</v>
      </c>
      <c r="AO165" t="s">
        <v>1440</v>
      </c>
      <c r="AP165" t="s">
        <v>119</v>
      </c>
      <c r="AQ165" t="s">
        <v>119</v>
      </c>
      <c r="AR165" t="s">
        <v>1213</v>
      </c>
      <c r="AS165" t="s">
        <v>1441</v>
      </c>
      <c r="AT165" t="s">
        <v>1213</v>
      </c>
    </row>
    <row r="166" spans="1:46">
      <c r="A166" s="1" t="s">
        <v>1442</v>
      </c>
      <c r="B166" s="1" t="s">
        <v>1443</v>
      </c>
      <c r="C166" s="1" t="s">
        <v>1444</v>
      </c>
      <c r="D166" s="1" t="s">
        <v>36</v>
      </c>
      <c r="E166" s="1" t="s">
        <v>124</v>
      </c>
      <c r="F166" s="1" t="s">
        <v>103</v>
      </c>
      <c r="G166" s="1" t="s">
        <v>1402</v>
      </c>
      <c r="H166" s="1" t="s">
        <v>1445</v>
      </c>
      <c r="I166" s="1" t="s">
        <v>127</v>
      </c>
      <c r="J166" s="1" t="s">
        <v>241</v>
      </c>
      <c r="K166" s="1" t="s">
        <v>1446</v>
      </c>
      <c r="L166" s="9">
        <v>-8120</v>
      </c>
      <c r="M166" s="1" t="s">
        <v>103</v>
      </c>
      <c r="N166" s="1" t="s">
        <v>1402</v>
      </c>
      <c r="O166" s="1" t="s">
        <v>1445</v>
      </c>
      <c r="P166" s="1" t="s">
        <v>127</v>
      </c>
      <c r="Q166" s="1" t="s">
        <v>131</v>
      </c>
      <c r="R166" s="1"/>
      <c r="S166" s="9">
        <v>8260</v>
      </c>
      <c r="T166" s="1">
        <v>140</v>
      </c>
      <c r="U166" s="1" t="s">
        <v>243</v>
      </c>
      <c r="V166" s="1" t="s">
        <v>15</v>
      </c>
      <c r="W166" s="1" t="s">
        <v>17</v>
      </c>
      <c r="X166" s="1" t="s">
        <v>111</v>
      </c>
      <c r="Y166" s="1"/>
      <c r="Z166" s="1" t="s">
        <v>972</v>
      </c>
      <c r="AA166" s="1" t="s">
        <v>17</v>
      </c>
      <c r="AB166" s="1">
        <v>-140</v>
      </c>
      <c r="AC166" s="1" t="s">
        <v>17</v>
      </c>
      <c r="AD166" t="s">
        <v>112</v>
      </c>
      <c r="AE166" t="s">
        <v>113</v>
      </c>
      <c r="AF166" t="s">
        <v>1447</v>
      </c>
      <c r="AG166" t="s">
        <v>114</v>
      </c>
      <c r="AH166" t="s">
        <v>1445</v>
      </c>
      <c r="AI166" t="s">
        <v>1445</v>
      </c>
      <c r="AJ166" t="s">
        <v>135</v>
      </c>
      <c r="AK166" t="s">
        <v>136</v>
      </c>
      <c r="AL166" t="s">
        <v>137</v>
      </c>
      <c r="AM166" t="s">
        <v>117</v>
      </c>
      <c r="AN166" t="s">
        <v>270</v>
      </c>
      <c r="AO166" t="s">
        <v>246</v>
      </c>
      <c r="AP166" t="s">
        <v>119</v>
      </c>
      <c r="AQ166" t="s">
        <v>119</v>
      </c>
      <c r="AR166" t="s">
        <v>270</v>
      </c>
      <c r="AS166" t="s">
        <v>247</v>
      </c>
      <c r="AT166" t="s">
        <v>355</v>
      </c>
    </row>
    <row r="167" spans="1:46">
      <c r="A167" s="1" t="s">
        <v>1448</v>
      </c>
      <c r="B167" s="1" t="s">
        <v>1449</v>
      </c>
      <c r="C167" s="1" t="s">
        <v>1450</v>
      </c>
      <c r="D167" s="1" t="s">
        <v>40</v>
      </c>
      <c r="E167" s="1" t="s">
        <v>124</v>
      </c>
      <c r="F167" s="1" t="s">
        <v>103</v>
      </c>
      <c r="G167" s="1" t="s">
        <v>389</v>
      </c>
      <c r="H167" s="1" t="s">
        <v>1451</v>
      </c>
      <c r="I167" s="1" t="s">
        <v>127</v>
      </c>
      <c r="J167" s="1" t="s">
        <v>128</v>
      </c>
      <c r="K167" s="1" t="s">
        <v>129</v>
      </c>
      <c r="L167" s="9">
        <v>-14032</v>
      </c>
      <c r="M167" s="1" t="s">
        <v>103</v>
      </c>
      <c r="N167" s="1" t="s">
        <v>389</v>
      </c>
      <c r="O167" s="1" t="s">
        <v>1451</v>
      </c>
      <c r="P167" s="1" t="s">
        <v>127</v>
      </c>
      <c r="Q167" s="1" t="s">
        <v>131</v>
      </c>
      <c r="R167" s="1"/>
      <c r="S167" s="9">
        <v>14032.83</v>
      </c>
      <c r="T167" s="1">
        <v>0.82999999999992724</v>
      </c>
      <c r="U167" s="1" t="s">
        <v>146</v>
      </c>
      <c r="V167" s="1" t="s">
        <v>15</v>
      </c>
      <c r="W167" s="1" t="s">
        <v>17</v>
      </c>
      <c r="X167" s="1" t="s">
        <v>111</v>
      </c>
      <c r="Y167" s="1"/>
      <c r="Z167" s="1" t="s">
        <v>1452</v>
      </c>
      <c r="AA167" s="1" t="s">
        <v>17</v>
      </c>
      <c r="AB167" s="1">
        <v>0</v>
      </c>
      <c r="AC167" s="1" t="s">
        <v>17</v>
      </c>
      <c r="AD167" t="s">
        <v>112</v>
      </c>
      <c r="AE167" t="s">
        <v>113</v>
      </c>
      <c r="AF167" t="s">
        <v>1453</v>
      </c>
      <c r="AG167" t="s">
        <v>114</v>
      </c>
      <c r="AH167" t="s">
        <v>1451</v>
      </c>
      <c r="AI167" t="s">
        <v>1451</v>
      </c>
      <c r="AJ167" t="s">
        <v>135</v>
      </c>
      <c r="AK167" t="s">
        <v>179</v>
      </c>
      <c r="AL167" t="s">
        <v>137</v>
      </c>
      <c r="AM167" t="s">
        <v>117</v>
      </c>
      <c r="AN167" t="s">
        <v>386</v>
      </c>
      <c r="AO167" t="s">
        <v>512</v>
      </c>
      <c r="AP167" t="s">
        <v>119</v>
      </c>
      <c r="AQ167" t="s">
        <v>119</v>
      </c>
      <c r="AR167" t="s">
        <v>386</v>
      </c>
      <c r="AS167" t="s">
        <v>513</v>
      </c>
      <c r="AT167" t="s">
        <v>389</v>
      </c>
    </row>
    <row r="168" spans="1:46">
      <c r="A168" s="1" t="s">
        <v>1454</v>
      </c>
      <c r="B168" s="1" t="s">
        <v>1455</v>
      </c>
      <c r="C168" s="1" t="s">
        <v>1456</v>
      </c>
      <c r="D168" s="1" t="s">
        <v>101</v>
      </c>
      <c r="E168" s="1" t="s">
        <v>124</v>
      </c>
      <c r="F168" s="1" t="s">
        <v>103</v>
      </c>
      <c r="G168" s="1" t="s">
        <v>1457</v>
      </c>
      <c r="H168" s="1" t="s">
        <v>1458</v>
      </c>
      <c r="I168" s="1" t="s">
        <v>127</v>
      </c>
      <c r="J168" s="1" t="s">
        <v>128</v>
      </c>
      <c r="K168" s="1" t="s">
        <v>129</v>
      </c>
      <c r="L168" s="9">
        <v>-15917.84</v>
      </c>
      <c r="M168" s="1" t="s">
        <v>103</v>
      </c>
      <c r="N168" s="1" t="s">
        <v>1457</v>
      </c>
      <c r="O168" s="1" t="s">
        <v>1458</v>
      </c>
      <c r="P168" s="1" t="s">
        <v>127</v>
      </c>
      <c r="Q168" s="1" t="s">
        <v>131</v>
      </c>
      <c r="R168" s="1"/>
      <c r="S168" s="9">
        <v>15917.84</v>
      </c>
      <c r="T168" s="1">
        <v>0</v>
      </c>
      <c r="U168" s="1" t="s">
        <v>132</v>
      </c>
      <c r="V168" s="1" t="s">
        <v>15</v>
      </c>
      <c r="W168" s="1" t="s">
        <v>17</v>
      </c>
      <c r="X168" s="1" t="s">
        <v>111</v>
      </c>
      <c r="Y168" s="1"/>
      <c r="Z168" s="1" t="s">
        <v>1459</v>
      </c>
      <c r="AA168" s="1" t="s">
        <v>17</v>
      </c>
      <c r="AB168" s="1">
        <v>0</v>
      </c>
      <c r="AC168" s="1" t="s">
        <v>17</v>
      </c>
      <c r="AD168" t="s">
        <v>112</v>
      </c>
      <c r="AE168" t="s">
        <v>113</v>
      </c>
      <c r="AF168" t="s">
        <v>1460</v>
      </c>
      <c r="AG168" t="s">
        <v>114</v>
      </c>
      <c r="AH168" t="s">
        <v>1458</v>
      </c>
      <c r="AI168" t="s">
        <v>1458</v>
      </c>
      <c r="AJ168" t="s">
        <v>135</v>
      </c>
      <c r="AK168" t="s">
        <v>257</v>
      </c>
      <c r="AL168" t="s">
        <v>137</v>
      </c>
      <c r="AM168" t="s">
        <v>117</v>
      </c>
      <c r="AN168" t="s">
        <v>301</v>
      </c>
      <c r="AO168" t="s">
        <v>1187</v>
      </c>
      <c r="AP168" t="s">
        <v>119</v>
      </c>
      <c r="AQ168" t="s">
        <v>119</v>
      </c>
      <c r="AR168" t="s">
        <v>301</v>
      </c>
      <c r="AS168" t="s">
        <v>1188</v>
      </c>
      <c r="AT168" t="s">
        <v>294</v>
      </c>
    </row>
    <row r="169" spans="1:46">
      <c r="A169" s="1" t="s">
        <v>1461</v>
      </c>
      <c r="B169" s="1" t="s">
        <v>1462</v>
      </c>
      <c r="C169" s="1" t="s">
        <v>1463</v>
      </c>
      <c r="D169" s="1" t="s">
        <v>40</v>
      </c>
      <c r="E169" s="1" t="s">
        <v>124</v>
      </c>
      <c r="F169" s="1" t="s">
        <v>103</v>
      </c>
      <c r="G169" s="1" t="s">
        <v>1464</v>
      </c>
      <c r="H169" s="1" t="s">
        <v>1465</v>
      </c>
      <c r="I169" s="1" t="s">
        <v>127</v>
      </c>
      <c r="J169" s="1" t="s">
        <v>128</v>
      </c>
      <c r="K169" s="1" t="s">
        <v>129</v>
      </c>
      <c r="L169" s="9">
        <v>-13614</v>
      </c>
      <c r="M169" s="1" t="s">
        <v>103</v>
      </c>
      <c r="N169" s="1" t="s">
        <v>1464</v>
      </c>
      <c r="O169" s="1" t="s">
        <v>1465</v>
      </c>
      <c r="P169" s="1" t="s">
        <v>127</v>
      </c>
      <c r="Q169" s="1" t="s">
        <v>131</v>
      </c>
      <c r="R169" s="1"/>
      <c r="S169" s="9">
        <v>13613.94</v>
      </c>
      <c r="T169" s="1">
        <v>-5.9999999999490683E-2</v>
      </c>
      <c r="U169" s="1" t="s">
        <v>146</v>
      </c>
      <c r="V169" s="1" t="s">
        <v>15</v>
      </c>
      <c r="W169" s="1" t="s">
        <v>17</v>
      </c>
      <c r="X169" s="1" t="s">
        <v>111</v>
      </c>
      <c r="Y169" s="1"/>
      <c r="Z169" s="1" t="s">
        <v>635</v>
      </c>
      <c r="AA169" s="1" t="s">
        <v>17</v>
      </c>
      <c r="AB169" s="1">
        <v>0</v>
      </c>
      <c r="AC169" s="1" t="s">
        <v>17</v>
      </c>
      <c r="AD169" t="s">
        <v>112</v>
      </c>
      <c r="AE169" t="s">
        <v>113</v>
      </c>
      <c r="AF169" t="s">
        <v>1466</v>
      </c>
      <c r="AG169" t="s">
        <v>114</v>
      </c>
      <c r="AH169" t="s">
        <v>1465</v>
      </c>
      <c r="AI169" t="s">
        <v>1465</v>
      </c>
      <c r="AJ169" t="s">
        <v>149</v>
      </c>
      <c r="AK169" t="s">
        <v>189</v>
      </c>
      <c r="AL169" t="s">
        <v>137</v>
      </c>
      <c r="AM169" t="s">
        <v>117</v>
      </c>
      <c r="AN169" t="s">
        <v>511</v>
      </c>
      <c r="AO169" t="s">
        <v>1467</v>
      </c>
      <c r="AP169" t="s">
        <v>119</v>
      </c>
      <c r="AQ169" t="s">
        <v>119</v>
      </c>
      <c r="AR169" t="s">
        <v>511</v>
      </c>
      <c r="AS169" t="s">
        <v>1468</v>
      </c>
      <c r="AT169" t="s">
        <v>507</v>
      </c>
    </row>
    <row r="170" spans="1:46">
      <c r="A170" s="1" t="s">
        <v>1469</v>
      </c>
      <c r="B170" s="1" t="s">
        <v>1470</v>
      </c>
      <c r="C170" s="1" t="s">
        <v>1471</v>
      </c>
      <c r="D170" s="1" t="s">
        <v>101</v>
      </c>
      <c r="E170" s="1" t="s">
        <v>352</v>
      </c>
      <c r="F170" s="1" t="s">
        <v>103</v>
      </c>
      <c r="G170" s="1" t="s">
        <v>1472</v>
      </c>
      <c r="H170" s="1" t="s">
        <v>980</v>
      </c>
      <c r="I170" s="1" t="s">
        <v>106</v>
      </c>
      <c r="J170" s="1" t="s">
        <v>107</v>
      </c>
      <c r="K170" s="1"/>
      <c r="L170" s="9">
        <v>32464.02</v>
      </c>
      <c r="M170" s="1" t="s">
        <v>103</v>
      </c>
      <c r="N170" s="1" t="s">
        <v>1473</v>
      </c>
      <c r="O170" s="1"/>
      <c r="P170" s="1" t="s">
        <v>106</v>
      </c>
      <c r="Q170" s="1" t="s">
        <v>108</v>
      </c>
      <c r="R170" s="1" t="s">
        <v>109</v>
      </c>
      <c r="S170" s="9">
        <v>-32464.02</v>
      </c>
      <c r="T170" s="1">
        <v>0</v>
      </c>
      <c r="U170" s="1" t="s">
        <v>356</v>
      </c>
      <c r="V170" s="1" t="s">
        <v>15</v>
      </c>
      <c r="W170" s="1" t="s">
        <v>17</v>
      </c>
      <c r="X170" s="1" t="s">
        <v>111</v>
      </c>
      <c r="Y170" s="1"/>
      <c r="Z170" s="1" t="s">
        <v>980</v>
      </c>
      <c r="AA170" s="1" t="s">
        <v>17</v>
      </c>
      <c r="AB170" s="1">
        <v>0</v>
      </c>
      <c r="AC170" s="1" t="s">
        <v>17</v>
      </c>
      <c r="AD170" t="s">
        <v>112</v>
      </c>
      <c r="AE170" t="s">
        <v>113</v>
      </c>
      <c r="AF170" t="s">
        <v>980</v>
      </c>
      <c r="AG170" t="s">
        <v>114</v>
      </c>
      <c r="AH170" t="s">
        <v>1474</v>
      </c>
      <c r="AI170" t="s">
        <v>1474</v>
      </c>
      <c r="AJ170" t="s">
        <v>17</v>
      </c>
      <c r="AK170" t="s">
        <v>200</v>
      </c>
      <c r="AL170" t="s">
        <v>17</v>
      </c>
      <c r="AM170" t="s">
        <v>117</v>
      </c>
      <c r="AN170" t="s">
        <v>1472</v>
      </c>
      <c r="AO170" t="s">
        <v>1475</v>
      </c>
      <c r="AP170" t="s">
        <v>119</v>
      </c>
      <c r="AQ170" t="s">
        <v>119</v>
      </c>
      <c r="AR170" t="s">
        <v>1472</v>
      </c>
      <c r="AS170" t="s">
        <v>1476</v>
      </c>
      <c r="AT170" t="s">
        <v>1472</v>
      </c>
    </row>
    <row r="171" spans="1:46">
      <c r="A171" s="1" t="s">
        <v>1477</v>
      </c>
      <c r="B171" s="1" t="s">
        <v>1478</v>
      </c>
      <c r="C171" s="1" t="s">
        <v>1479</v>
      </c>
      <c r="D171" s="1" t="s">
        <v>101</v>
      </c>
      <c r="E171" s="1" t="s">
        <v>124</v>
      </c>
      <c r="F171" s="1" t="s">
        <v>103</v>
      </c>
      <c r="G171" s="1" t="s">
        <v>1480</v>
      </c>
      <c r="H171" s="1" t="s">
        <v>1481</v>
      </c>
      <c r="I171" s="1" t="s">
        <v>127</v>
      </c>
      <c r="J171" s="1" t="s">
        <v>128</v>
      </c>
      <c r="K171" s="1" t="s">
        <v>129</v>
      </c>
      <c r="L171" s="9">
        <v>-15498.94</v>
      </c>
      <c r="M171" s="1" t="s">
        <v>103</v>
      </c>
      <c r="N171" s="1" t="s">
        <v>773</v>
      </c>
      <c r="O171" s="1" t="s">
        <v>1481</v>
      </c>
      <c r="P171" s="1" t="s">
        <v>127</v>
      </c>
      <c r="Q171" s="1" t="s">
        <v>131</v>
      </c>
      <c r="R171" s="1"/>
      <c r="S171" s="9">
        <v>15498.94</v>
      </c>
      <c r="T171" s="1">
        <v>0</v>
      </c>
      <c r="U171" s="1" t="s">
        <v>132</v>
      </c>
      <c r="V171" s="1" t="s">
        <v>15</v>
      </c>
      <c r="W171" s="1" t="s">
        <v>17</v>
      </c>
      <c r="X171" s="1" t="s">
        <v>111</v>
      </c>
      <c r="Y171" s="1"/>
      <c r="Z171" s="1" t="s">
        <v>485</v>
      </c>
      <c r="AA171" s="1" t="s">
        <v>17</v>
      </c>
      <c r="AB171" s="1">
        <v>0</v>
      </c>
      <c r="AC171" s="1" t="s">
        <v>17</v>
      </c>
      <c r="AD171" t="s">
        <v>112</v>
      </c>
      <c r="AE171" t="s">
        <v>113</v>
      </c>
      <c r="AF171" t="s">
        <v>1482</v>
      </c>
      <c r="AG171" t="s">
        <v>487</v>
      </c>
      <c r="AH171" t="s">
        <v>1481</v>
      </c>
      <c r="AI171" t="s">
        <v>1481</v>
      </c>
      <c r="AJ171" t="s">
        <v>149</v>
      </c>
      <c r="AK171" t="s">
        <v>189</v>
      </c>
      <c r="AL171" t="s">
        <v>137</v>
      </c>
      <c r="AM171" t="s">
        <v>117</v>
      </c>
      <c r="AN171" t="s">
        <v>645</v>
      </c>
      <c r="AO171" t="s">
        <v>139</v>
      </c>
      <c r="AP171" t="s">
        <v>119</v>
      </c>
      <c r="AQ171" t="s">
        <v>119</v>
      </c>
      <c r="AR171" t="s">
        <v>645</v>
      </c>
      <c r="AS171" t="s">
        <v>140</v>
      </c>
      <c r="AT171" t="s">
        <v>305</v>
      </c>
    </row>
    <row r="172" spans="1:46">
      <c r="A172" s="1" t="s">
        <v>1483</v>
      </c>
      <c r="B172" s="1" t="s">
        <v>1484</v>
      </c>
      <c r="C172" s="1" t="s">
        <v>1485</v>
      </c>
      <c r="D172" s="1" t="s">
        <v>101</v>
      </c>
      <c r="E172" s="1" t="s">
        <v>124</v>
      </c>
      <c r="F172" s="1" t="s">
        <v>103</v>
      </c>
      <c r="G172" s="1" t="s">
        <v>1337</v>
      </c>
      <c r="H172" s="1" t="s">
        <v>1486</v>
      </c>
      <c r="I172" s="1" t="s">
        <v>127</v>
      </c>
      <c r="J172" s="1" t="s">
        <v>128</v>
      </c>
      <c r="K172" s="1" t="s">
        <v>129</v>
      </c>
      <c r="L172" s="9">
        <v>-15708.4</v>
      </c>
      <c r="M172" s="1" t="s">
        <v>103</v>
      </c>
      <c r="N172" s="1" t="s">
        <v>1337</v>
      </c>
      <c r="O172" s="1" t="s">
        <v>1486</v>
      </c>
      <c r="P172" s="1" t="s">
        <v>127</v>
      </c>
      <c r="Q172" s="1" t="s">
        <v>131</v>
      </c>
      <c r="R172" s="1"/>
      <c r="S172" s="9">
        <v>15708.4</v>
      </c>
      <c r="T172" s="1">
        <v>0</v>
      </c>
      <c r="U172" s="1" t="s">
        <v>132</v>
      </c>
      <c r="V172" s="1" t="s">
        <v>15</v>
      </c>
      <c r="W172" s="1" t="s">
        <v>17</v>
      </c>
      <c r="X172" s="1" t="s">
        <v>111</v>
      </c>
      <c r="Y172" s="1"/>
      <c r="Z172" s="1" t="s">
        <v>354</v>
      </c>
      <c r="AA172" s="1" t="s">
        <v>17</v>
      </c>
      <c r="AB172" s="1">
        <v>0</v>
      </c>
      <c r="AC172" s="1" t="s">
        <v>17</v>
      </c>
      <c r="AD172" t="s">
        <v>112</v>
      </c>
      <c r="AE172" t="s">
        <v>113</v>
      </c>
      <c r="AF172" t="s">
        <v>1487</v>
      </c>
      <c r="AG172" t="s">
        <v>114</v>
      </c>
      <c r="AH172" t="s">
        <v>1486</v>
      </c>
      <c r="AI172" t="s">
        <v>1486</v>
      </c>
      <c r="AJ172" t="s">
        <v>135</v>
      </c>
      <c r="AK172" t="s">
        <v>663</v>
      </c>
      <c r="AL172" t="s">
        <v>137</v>
      </c>
      <c r="AM172" t="s">
        <v>117</v>
      </c>
      <c r="AN172" t="s">
        <v>931</v>
      </c>
      <c r="AO172" t="s">
        <v>630</v>
      </c>
      <c r="AP172" t="s">
        <v>119</v>
      </c>
      <c r="AQ172" t="s">
        <v>119</v>
      </c>
      <c r="AR172" t="s">
        <v>931</v>
      </c>
      <c r="AS172" t="s">
        <v>631</v>
      </c>
      <c r="AT172" t="s">
        <v>1337</v>
      </c>
    </row>
    <row r="173" spans="1:46">
      <c r="A173" s="1" t="s">
        <v>1488</v>
      </c>
      <c r="B173" s="1" t="s">
        <v>1489</v>
      </c>
      <c r="C173" s="1" t="s">
        <v>1490</v>
      </c>
      <c r="D173" s="1" t="s">
        <v>101</v>
      </c>
      <c r="E173" s="1" t="s">
        <v>102</v>
      </c>
      <c r="F173" s="1" t="s">
        <v>103</v>
      </c>
      <c r="G173" s="1" t="s">
        <v>1491</v>
      </c>
      <c r="H173" s="1" t="s">
        <v>903</v>
      </c>
      <c r="I173" s="1" t="s">
        <v>106</v>
      </c>
      <c r="J173" s="1" t="s">
        <v>107</v>
      </c>
      <c r="K173" s="1"/>
      <c r="L173" s="9">
        <v>51523.55</v>
      </c>
      <c r="M173" s="1" t="s">
        <v>103</v>
      </c>
      <c r="N173" s="1" t="s">
        <v>1491</v>
      </c>
      <c r="O173" s="1"/>
      <c r="P173" s="1" t="s">
        <v>106</v>
      </c>
      <c r="Q173" s="1" t="s">
        <v>108</v>
      </c>
      <c r="R173" s="1" t="s">
        <v>109</v>
      </c>
      <c r="S173" s="9">
        <v>-51523.55</v>
      </c>
      <c r="T173" s="1">
        <v>0</v>
      </c>
      <c r="U173" s="1" t="s">
        <v>110</v>
      </c>
      <c r="V173" s="1" t="s">
        <v>15</v>
      </c>
      <c r="W173" s="1" t="s">
        <v>17</v>
      </c>
      <c r="X173" s="1" t="s">
        <v>111</v>
      </c>
      <c r="Y173" s="1"/>
      <c r="Z173" s="1" t="s">
        <v>903</v>
      </c>
      <c r="AA173" s="1" t="s">
        <v>17</v>
      </c>
      <c r="AB173" s="1">
        <v>0</v>
      </c>
      <c r="AC173" s="1" t="s">
        <v>17</v>
      </c>
      <c r="AD173" t="s">
        <v>112</v>
      </c>
      <c r="AE173" t="s">
        <v>113</v>
      </c>
      <c r="AF173" t="s">
        <v>903</v>
      </c>
      <c r="AG173" t="s">
        <v>114</v>
      </c>
      <c r="AH173" t="s">
        <v>1492</v>
      </c>
      <c r="AI173" t="s">
        <v>1492</v>
      </c>
      <c r="AJ173" t="s">
        <v>17</v>
      </c>
      <c r="AK173" t="s">
        <v>179</v>
      </c>
      <c r="AL173" t="s">
        <v>17</v>
      </c>
      <c r="AM173" t="s">
        <v>117</v>
      </c>
      <c r="AN173" t="s">
        <v>1491</v>
      </c>
      <c r="AO173" t="s">
        <v>1493</v>
      </c>
      <c r="AP173" t="s">
        <v>119</v>
      </c>
      <c r="AQ173" t="s">
        <v>119</v>
      </c>
      <c r="AR173" t="s">
        <v>1491</v>
      </c>
      <c r="AS173" t="s">
        <v>1494</v>
      </c>
      <c r="AT173" t="s">
        <v>1491</v>
      </c>
    </row>
    <row r="174" spans="1:46">
      <c r="A174" s="1" t="s">
        <v>1495</v>
      </c>
      <c r="B174" s="1" t="s">
        <v>1496</v>
      </c>
      <c r="C174" s="1" t="s">
        <v>1497</v>
      </c>
      <c r="D174" s="1" t="s">
        <v>36</v>
      </c>
      <c r="E174" s="1" t="s">
        <v>124</v>
      </c>
      <c r="F174" s="1" t="s">
        <v>103</v>
      </c>
      <c r="G174" s="1" t="s">
        <v>484</v>
      </c>
      <c r="H174" s="1" t="s">
        <v>1498</v>
      </c>
      <c r="I174" s="1" t="s">
        <v>127</v>
      </c>
      <c r="J174" s="1" t="s">
        <v>241</v>
      </c>
      <c r="K174" s="1" t="s">
        <v>1499</v>
      </c>
      <c r="L174" s="9">
        <v>-8120</v>
      </c>
      <c r="M174" s="1" t="s">
        <v>103</v>
      </c>
      <c r="N174" s="1" t="s">
        <v>484</v>
      </c>
      <c r="O174" s="1" t="s">
        <v>1498</v>
      </c>
      <c r="P174" s="1" t="s">
        <v>127</v>
      </c>
      <c r="Q174" s="1" t="s">
        <v>131</v>
      </c>
      <c r="R174" s="1"/>
      <c r="S174" s="9">
        <v>8260</v>
      </c>
      <c r="T174" s="1">
        <v>140</v>
      </c>
      <c r="U174" s="1" t="s">
        <v>243</v>
      </c>
      <c r="V174" s="1" t="s">
        <v>15</v>
      </c>
      <c r="W174" s="1" t="s">
        <v>17</v>
      </c>
      <c r="X174" s="1" t="s">
        <v>111</v>
      </c>
      <c r="Y174" s="1"/>
      <c r="Z174" s="1" t="s">
        <v>1500</v>
      </c>
      <c r="AA174" s="1" t="s">
        <v>17</v>
      </c>
      <c r="AB174" s="1">
        <v>-140</v>
      </c>
      <c r="AC174" s="1" t="s">
        <v>17</v>
      </c>
      <c r="AD174" t="s">
        <v>112</v>
      </c>
      <c r="AE174" t="s">
        <v>113</v>
      </c>
      <c r="AF174" t="s">
        <v>1501</v>
      </c>
      <c r="AG174" t="s">
        <v>114</v>
      </c>
      <c r="AH174" t="s">
        <v>1498</v>
      </c>
      <c r="AI174" t="s">
        <v>1498</v>
      </c>
      <c r="AJ174" t="s">
        <v>149</v>
      </c>
      <c r="AK174" t="s">
        <v>116</v>
      </c>
      <c r="AL174" t="s">
        <v>137</v>
      </c>
      <c r="AM174" t="s">
        <v>117</v>
      </c>
      <c r="AN174" t="s">
        <v>166</v>
      </c>
      <c r="AO174" t="s">
        <v>246</v>
      </c>
      <c r="AP174" t="s">
        <v>119</v>
      </c>
      <c r="AQ174" t="s">
        <v>119</v>
      </c>
      <c r="AR174" t="s">
        <v>166</v>
      </c>
      <c r="AS174" t="s">
        <v>247</v>
      </c>
      <c r="AT174" t="s">
        <v>690</v>
      </c>
    </row>
    <row r="175" spans="1:46">
      <c r="A175" s="1" t="s">
        <v>1502</v>
      </c>
      <c r="B175" s="1" t="s">
        <v>1503</v>
      </c>
      <c r="C175" s="1" t="s">
        <v>1504</v>
      </c>
      <c r="D175" s="1" t="s">
        <v>36</v>
      </c>
      <c r="E175" s="1" t="s">
        <v>124</v>
      </c>
      <c r="F175" s="1" t="s">
        <v>103</v>
      </c>
      <c r="G175" s="1" t="s">
        <v>1505</v>
      </c>
      <c r="H175" s="1" t="s">
        <v>1506</v>
      </c>
      <c r="I175" s="1" t="s">
        <v>127</v>
      </c>
      <c r="J175" s="1" t="s">
        <v>241</v>
      </c>
      <c r="K175" s="1" t="s">
        <v>1507</v>
      </c>
      <c r="L175" s="9">
        <v>-8120</v>
      </c>
      <c r="M175" s="1" t="s">
        <v>103</v>
      </c>
      <c r="N175" s="1" t="s">
        <v>1505</v>
      </c>
      <c r="O175" s="1" t="s">
        <v>1506</v>
      </c>
      <c r="P175" s="1" t="s">
        <v>127</v>
      </c>
      <c r="Q175" s="1" t="s">
        <v>131</v>
      </c>
      <c r="R175" s="1"/>
      <c r="S175" s="9">
        <v>8260</v>
      </c>
      <c r="T175" s="1">
        <v>140</v>
      </c>
      <c r="U175" s="1" t="s">
        <v>243</v>
      </c>
      <c r="V175" s="1" t="s">
        <v>15</v>
      </c>
      <c r="W175" s="1" t="s">
        <v>17</v>
      </c>
      <c r="X175" s="1" t="s">
        <v>111</v>
      </c>
      <c r="Y175" s="1"/>
      <c r="Z175" s="1" t="s">
        <v>1336</v>
      </c>
      <c r="AA175" s="1" t="s">
        <v>17</v>
      </c>
      <c r="AB175" s="1">
        <v>-140</v>
      </c>
      <c r="AC175" s="1" t="s">
        <v>17</v>
      </c>
      <c r="AD175" t="s">
        <v>112</v>
      </c>
      <c r="AE175" t="s">
        <v>113</v>
      </c>
      <c r="AF175" t="s">
        <v>1508</v>
      </c>
      <c r="AG175" t="s">
        <v>114</v>
      </c>
      <c r="AH175" t="s">
        <v>1506</v>
      </c>
      <c r="AI175" t="s">
        <v>1506</v>
      </c>
      <c r="AJ175" t="s">
        <v>135</v>
      </c>
      <c r="AK175" t="s">
        <v>663</v>
      </c>
      <c r="AL175" t="s">
        <v>137</v>
      </c>
      <c r="AM175" t="s">
        <v>117</v>
      </c>
      <c r="AN175" t="s">
        <v>1209</v>
      </c>
      <c r="AO175" t="s">
        <v>246</v>
      </c>
      <c r="AP175" t="s">
        <v>119</v>
      </c>
      <c r="AQ175" t="s">
        <v>119</v>
      </c>
      <c r="AR175" t="s">
        <v>1209</v>
      </c>
      <c r="AS175" t="s">
        <v>247</v>
      </c>
      <c r="AT175" t="s">
        <v>1509</v>
      </c>
    </row>
    <row r="176" spans="1:46">
      <c r="A176" s="1" t="s">
        <v>1510</v>
      </c>
      <c r="B176" s="1" t="s">
        <v>1511</v>
      </c>
      <c r="C176" s="1" t="s">
        <v>1512</v>
      </c>
      <c r="D176" s="1" t="s">
        <v>40</v>
      </c>
      <c r="E176" s="1" t="s">
        <v>124</v>
      </c>
      <c r="F176" s="1" t="s">
        <v>103</v>
      </c>
      <c r="G176" s="1" t="s">
        <v>569</v>
      </c>
      <c r="H176" s="1" t="s">
        <v>1513</v>
      </c>
      <c r="I176" s="1" t="s">
        <v>127</v>
      </c>
      <c r="J176" s="1" t="s">
        <v>128</v>
      </c>
      <c r="K176" s="1" t="s">
        <v>129</v>
      </c>
      <c r="L176" s="9">
        <v>-15708</v>
      </c>
      <c r="M176" s="1" t="s">
        <v>103</v>
      </c>
      <c r="N176" s="1" t="s">
        <v>1196</v>
      </c>
      <c r="O176" s="1" t="s">
        <v>1513</v>
      </c>
      <c r="P176" s="1" t="s">
        <v>127</v>
      </c>
      <c r="Q176" s="1" t="s">
        <v>131</v>
      </c>
      <c r="R176" s="1"/>
      <c r="S176" s="9">
        <v>15708.4</v>
      </c>
      <c r="T176" s="1">
        <v>0.3999999999996362</v>
      </c>
      <c r="U176" s="1" t="s">
        <v>146</v>
      </c>
      <c r="V176" s="1" t="s">
        <v>15</v>
      </c>
      <c r="W176" s="1" t="s">
        <v>17</v>
      </c>
      <c r="X176" s="1" t="s">
        <v>111</v>
      </c>
      <c r="Y176" s="1"/>
      <c r="Z176" s="1" t="s">
        <v>1514</v>
      </c>
      <c r="AA176" s="1" t="s">
        <v>17</v>
      </c>
      <c r="AB176" s="1">
        <v>0</v>
      </c>
      <c r="AC176" s="1" t="s">
        <v>17</v>
      </c>
      <c r="AD176" t="s">
        <v>112</v>
      </c>
      <c r="AE176" t="s">
        <v>113</v>
      </c>
      <c r="AF176" t="s">
        <v>1515</v>
      </c>
      <c r="AG176" t="s">
        <v>114</v>
      </c>
      <c r="AH176" t="s">
        <v>1513</v>
      </c>
      <c r="AI176" t="s">
        <v>1513</v>
      </c>
      <c r="AJ176" t="s">
        <v>135</v>
      </c>
      <c r="AK176" t="s">
        <v>136</v>
      </c>
      <c r="AL176" t="s">
        <v>137</v>
      </c>
      <c r="AM176" t="s">
        <v>117</v>
      </c>
      <c r="AN176" t="s">
        <v>221</v>
      </c>
      <c r="AO176" t="s">
        <v>613</v>
      </c>
      <c r="AP176" t="s">
        <v>119</v>
      </c>
      <c r="AQ176" t="s">
        <v>119</v>
      </c>
      <c r="AR176" t="s">
        <v>221</v>
      </c>
      <c r="AS176" t="s">
        <v>614</v>
      </c>
      <c r="AT176" t="s">
        <v>1196</v>
      </c>
    </row>
    <row r="177" spans="1:46">
      <c r="A177" s="1" t="s">
        <v>1516</v>
      </c>
      <c r="B177" s="1" t="s">
        <v>1517</v>
      </c>
      <c r="C177" s="1" t="s">
        <v>1518</v>
      </c>
      <c r="D177" s="1" t="s">
        <v>101</v>
      </c>
      <c r="E177" s="1" t="s">
        <v>352</v>
      </c>
      <c r="F177" s="1" t="s">
        <v>103</v>
      </c>
      <c r="G177" s="1" t="s">
        <v>221</v>
      </c>
      <c r="H177" s="1" t="s">
        <v>1219</v>
      </c>
      <c r="I177" s="1" t="s">
        <v>106</v>
      </c>
      <c r="J177" s="1" t="s">
        <v>107</v>
      </c>
      <c r="K177" s="1"/>
      <c r="L177" s="9">
        <v>11100.61</v>
      </c>
      <c r="M177" s="1" t="s">
        <v>103</v>
      </c>
      <c r="N177" s="1" t="s">
        <v>462</v>
      </c>
      <c r="O177" s="1"/>
      <c r="P177" s="1" t="s">
        <v>106</v>
      </c>
      <c r="Q177" s="1" t="s">
        <v>108</v>
      </c>
      <c r="R177" s="1" t="s">
        <v>109</v>
      </c>
      <c r="S177" s="9">
        <v>-11100.61</v>
      </c>
      <c r="T177" s="1">
        <v>0</v>
      </c>
      <c r="U177" s="1" t="s">
        <v>356</v>
      </c>
      <c r="V177" s="1" t="s">
        <v>15</v>
      </c>
      <c r="W177" s="1" t="s">
        <v>17</v>
      </c>
      <c r="X177" s="1" t="s">
        <v>111</v>
      </c>
      <c r="Y177" s="1"/>
      <c r="Z177" s="1" t="s">
        <v>1219</v>
      </c>
      <c r="AA177" s="1" t="s">
        <v>17</v>
      </c>
      <c r="AB177" s="1">
        <v>0</v>
      </c>
      <c r="AC177" s="1" t="s">
        <v>17</v>
      </c>
      <c r="AD177" t="s">
        <v>112</v>
      </c>
      <c r="AE177" t="s">
        <v>113</v>
      </c>
      <c r="AF177" t="s">
        <v>1219</v>
      </c>
      <c r="AG177" t="s">
        <v>114</v>
      </c>
      <c r="AH177" t="s">
        <v>1519</v>
      </c>
      <c r="AI177" t="s">
        <v>1519</v>
      </c>
      <c r="AJ177" t="s">
        <v>17</v>
      </c>
      <c r="AK177" t="s">
        <v>136</v>
      </c>
      <c r="AL177" t="s">
        <v>17</v>
      </c>
      <c r="AM177" t="s">
        <v>117</v>
      </c>
      <c r="AN177" t="s">
        <v>221</v>
      </c>
      <c r="AO177" t="s">
        <v>1520</v>
      </c>
      <c r="AP177" t="s">
        <v>119</v>
      </c>
      <c r="AQ177" t="s">
        <v>119</v>
      </c>
      <c r="AR177" t="s">
        <v>221</v>
      </c>
      <c r="AS177" t="s">
        <v>1521</v>
      </c>
      <c r="AT177" t="s">
        <v>221</v>
      </c>
    </row>
    <row r="178" spans="1:46">
      <c r="A178" s="1" t="s">
        <v>1522</v>
      </c>
      <c r="B178" s="1" t="s">
        <v>1523</v>
      </c>
      <c r="C178" s="1" t="s">
        <v>1524</v>
      </c>
      <c r="D178" s="1" t="s">
        <v>101</v>
      </c>
      <c r="E178" s="1" t="s">
        <v>124</v>
      </c>
      <c r="F178" s="1" t="s">
        <v>103</v>
      </c>
      <c r="G178" s="1" t="s">
        <v>1354</v>
      </c>
      <c r="H178" s="1" t="s">
        <v>1525</v>
      </c>
      <c r="I178" s="1" t="s">
        <v>127</v>
      </c>
      <c r="J178" s="1" t="s">
        <v>128</v>
      </c>
      <c r="K178" s="1" t="s">
        <v>129</v>
      </c>
      <c r="L178" s="9">
        <v>-16336.73</v>
      </c>
      <c r="M178" s="1" t="s">
        <v>103</v>
      </c>
      <c r="N178" s="1" t="s">
        <v>1354</v>
      </c>
      <c r="O178" s="1" t="s">
        <v>1525</v>
      </c>
      <c r="P178" s="1" t="s">
        <v>127</v>
      </c>
      <c r="Q178" s="1" t="s">
        <v>131</v>
      </c>
      <c r="R178" s="1"/>
      <c r="S178" s="9">
        <v>16336.73</v>
      </c>
      <c r="T178" s="1">
        <v>0</v>
      </c>
      <c r="U178" s="1" t="s">
        <v>132</v>
      </c>
      <c r="V178" s="1" t="s">
        <v>15</v>
      </c>
      <c r="W178" s="1" t="s">
        <v>17</v>
      </c>
      <c r="X178" s="1" t="s">
        <v>111</v>
      </c>
      <c r="Y178" s="1"/>
      <c r="Z178" s="1" t="s">
        <v>1398</v>
      </c>
      <c r="AA178" s="1" t="s">
        <v>17</v>
      </c>
      <c r="AB178" s="1">
        <v>0</v>
      </c>
      <c r="AC178" s="1" t="s">
        <v>17</v>
      </c>
      <c r="AD178" t="s">
        <v>112</v>
      </c>
      <c r="AE178" t="s">
        <v>113</v>
      </c>
      <c r="AF178" t="s">
        <v>1526</v>
      </c>
      <c r="AG178" t="s">
        <v>114</v>
      </c>
      <c r="AH178" t="s">
        <v>1525</v>
      </c>
      <c r="AI178" t="s">
        <v>1525</v>
      </c>
      <c r="AJ178" t="s">
        <v>135</v>
      </c>
      <c r="AK178" t="s">
        <v>136</v>
      </c>
      <c r="AL178" t="s">
        <v>137</v>
      </c>
      <c r="AM178" t="s">
        <v>117</v>
      </c>
      <c r="AN178" t="s">
        <v>353</v>
      </c>
      <c r="AO178" t="s">
        <v>1527</v>
      </c>
      <c r="AP178" t="s">
        <v>119</v>
      </c>
      <c r="AQ178" t="s">
        <v>119</v>
      </c>
      <c r="AR178" t="s">
        <v>353</v>
      </c>
      <c r="AS178" t="s">
        <v>1528</v>
      </c>
      <c r="AT178" t="s">
        <v>1354</v>
      </c>
    </row>
    <row r="179" spans="1:46">
      <c r="A179" s="1" t="s">
        <v>1529</v>
      </c>
      <c r="B179" s="1" t="s">
        <v>1530</v>
      </c>
      <c r="C179" s="1" t="s">
        <v>1531</v>
      </c>
      <c r="D179" s="1" t="s">
        <v>101</v>
      </c>
      <c r="E179" s="1" t="s">
        <v>124</v>
      </c>
      <c r="F179" s="1" t="s">
        <v>103</v>
      </c>
      <c r="G179" s="1" t="s">
        <v>1532</v>
      </c>
      <c r="H179" s="1" t="s">
        <v>1533</v>
      </c>
      <c r="I179" s="1" t="s">
        <v>127</v>
      </c>
      <c r="J179" s="1" t="s">
        <v>128</v>
      </c>
      <c r="K179" s="1" t="s">
        <v>129</v>
      </c>
      <c r="L179" s="9">
        <v>-16755.62</v>
      </c>
      <c r="M179" s="1" t="s">
        <v>103</v>
      </c>
      <c r="N179" s="1" t="s">
        <v>1532</v>
      </c>
      <c r="O179" s="1" t="s">
        <v>1533</v>
      </c>
      <c r="P179" s="1" t="s">
        <v>127</v>
      </c>
      <c r="Q179" s="1" t="s">
        <v>131</v>
      </c>
      <c r="R179" s="1"/>
      <c r="S179" s="9">
        <v>16755.62</v>
      </c>
      <c r="T179" s="1">
        <v>0</v>
      </c>
      <c r="U179" s="1" t="s">
        <v>132</v>
      </c>
      <c r="V179" s="1" t="s">
        <v>15</v>
      </c>
      <c r="W179" s="1" t="s">
        <v>17</v>
      </c>
      <c r="X179" s="1" t="s">
        <v>111</v>
      </c>
      <c r="Y179" s="1"/>
      <c r="Z179" s="1" t="s">
        <v>205</v>
      </c>
      <c r="AA179" s="1" t="s">
        <v>17</v>
      </c>
      <c r="AB179" s="1">
        <v>0</v>
      </c>
      <c r="AC179" s="1" t="s">
        <v>17</v>
      </c>
      <c r="AD179" t="s">
        <v>112</v>
      </c>
      <c r="AE179" t="s">
        <v>113</v>
      </c>
      <c r="AF179" t="s">
        <v>1534</v>
      </c>
      <c r="AG179" t="s">
        <v>114</v>
      </c>
      <c r="AH179" t="s">
        <v>1533</v>
      </c>
      <c r="AI179" t="s">
        <v>1533</v>
      </c>
      <c r="AJ179" t="s">
        <v>135</v>
      </c>
      <c r="AK179" t="s">
        <v>663</v>
      </c>
      <c r="AL179" t="s">
        <v>137</v>
      </c>
      <c r="AM179" t="s">
        <v>117</v>
      </c>
      <c r="AN179" t="s">
        <v>1177</v>
      </c>
      <c r="AO179" t="s">
        <v>681</v>
      </c>
      <c r="AP179" t="s">
        <v>119</v>
      </c>
      <c r="AQ179" t="s">
        <v>119</v>
      </c>
      <c r="AR179" t="s">
        <v>1177</v>
      </c>
      <c r="AS179" t="s">
        <v>682</v>
      </c>
      <c r="AT179" t="s">
        <v>1532</v>
      </c>
    </row>
    <row r="180" spans="1:46">
      <c r="A180" s="1" t="s">
        <v>1535</v>
      </c>
      <c r="B180" s="1" t="s">
        <v>1536</v>
      </c>
      <c r="C180" s="1" t="s">
        <v>1537</v>
      </c>
      <c r="D180" s="1" t="s">
        <v>101</v>
      </c>
      <c r="E180" s="1" t="s">
        <v>352</v>
      </c>
      <c r="F180" s="1" t="s">
        <v>103</v>
      </c>
      <c r="G180" s="1" t="s">
        <v>224</v>
      </c>
      <c r="H180" s="1" t="s">
        <v>133</v>
      </c>
      <c r="I180" s="1" t="s">
        <v>106</v>
      </c>
      <c r="J180" s="1" t="s">
        <v>107</v>
      </c>
      <c r="K180" s="1"/>
      <c r="L180" s="9">
        <v>15498.94</v>
      </c>
      <c r="M180" s="1" t="s">
        <v>103</v>
      </c>
      <c r="N180" s="1" t="s">
        <v>469</v>
      </c>
      <c r="O180" s="1"/>
      <c r="P180" s="1" t="s">
        <v>106</v>
      </c>
      <c r="Q180" s="1" t="s">
        <v>108</v>
      </c>
      <c r="R180" s="1" t="s">
        <v>109</v>
      </c>
      <c r="S180" s="9">
        <v>-15498.94</v>
      </c>
      <c r="T180" s="1">
        <v>0</v>
      </c>
      <c r="U180" s="1" t="s">
        <v>356</v>
      </c>
      <c r="V180" s="1" t="s">
        <v>15</v>
      </c>
      <c r="W180" s="1" t="s">
        <v>17</v>
      </c>
      <c r="X180" s="1" t="s">
        <v>111</v>
      </c>
      <c r="Y180" s="1"/>
      <c r="Z180" s="1" t="s">
        <v>133</v>
      </c>
      <c r="AA180" s="1" t="s">
        <v>17</v>
      </c>
      <c r="AB180" s="1">
        <v>0</v>
      </c>
      <c r="AC180" s="1" t="s">
        <v>17</v>
      </c>
      <c r="AD180" t="s">
        <v>112</v>
      </c>
      <c r="AE180" t="s">
        <v>113</v>
      </c>
      <c r="AF180" t="s">
        <v>133</v>
      </c>
      <c r="AG180" t="s">
        <v>114</v>
      </c>
      <c r="AH180" t="s">
        <v>1538</v>
      </c>
      <c r="AI180" t="s">
        <v>1538</v>
      </c>
      <c r="AJ180" t="s">
        <v>17</v>
      </c>
      <c r="AK180" t="s">
        <v>200</v>
      </c>
      <c r="AL180" t="s">
        <v>17</v>
      </c>
      <c r="AM180" t="s">
        <v>117</v>
      </c>
      <c r="AN180" t="s">
        <v>224</v>
      </c>
      <c r="AO180" t="s">
        <v>169</v>
      </c>
      <c r="AP180" t="s">
        <v>119</v>
      </c>
      <c r="AQ180" t="s">
        <v>119</v>
      </c>
      <c r="AR180" t="s">
        <v>224</v>
      </c>
      <c r="AS180" t="s">
        <v>170</v>
      </c>
      <c r="AT180" t="s">
        <v>224</v>
      </c>
    </row>
    <row r="181" spans="1:46">
      <c r="A181" s="1" t="s">
        <v>1539</v>
      </c>
      <c r="B181" s="1" t="s">
        <v>1540</v>
      </c>
      <c r="C181" s="1" t="s">
        <v>1541</v>
      </c>
      <c r="D181" s="1" t="s">
        <v>101</v>
      </c>
      <c r="E181" s="1" t="s">
        <v>124</v>
      </c>
      <c r="F181" s="1" t="s">
        <v>103</v>
      </c>
      <c r="G181" s="1" t="s">
        <v>239</v>
      </c>
      <c r="H181" s="1" t="s">
        <v>1542</v>
      </c>
      <c r="I181" s="1" t="s">
        <v>127</v>
      </c>
      <c r="J181" s="1" t="s">
        <v>128</v>
      </c>
      <c r="K181" s="1" t="s">
        <v>129</v>
      </c>
      <c r="L181" s="9">
        <v>-15289.51</v>
      </c>
      <c r="M181" s="1" t="s">
        <v>103</v>
      </c>
      <c r="N181" s="1" t="s">
        <v>239</v>
      </c>
      <c r="O181" s="1" t="s">
        <v>1542</v>
      </c>
      <c r="P181" s="1" t="s">
        <v>127</v>
      </c>
      <c r="Q181" s="1" t="s">
        <v>131</v>
      </c>
      <c r="R181" s="1"/>
      <c r="S181" s="9">
        <v>15289.51</v>
      </c>
      <c r="T181" s="1">
        <v>0</v>
      </c>
      <c r="U181" s="1" t="s">
        <v>132</v>
      </c>
      <c r="V181" s="1" t="s">
        <v>15</v>
      </c>
      <c r="W181" s="1" t="s">
        <v>17</v>
      </c>
      <c r="X181" s="1" t="s">
        <v>111</v>
      </c>
      <c r="Y181" s="1"/>
      <c r="Z181" s="1" t="s">
        <v>873</v>
      </c>
      <c r="AA181" s="1" t="s">
        <v>17</v>
      </c>
      <c r="AB181" s="1">
        <v>0</v>
      </c>
      <c r="AC181" s="1" t="s">
        <v>17</v>
      </c>
      <c r="AD181" t="s">
        <v>112</v>
      </c>
      <c r="AE181" t="s">
        <v>113</v>
      </c>
      <c r="AF181" t="s">
        <v>1543</v>
      </c>
      <c r="AG181" t="s">
        <v>114</v>
      </c>
      <c r="AH181" t="s">
        <v>1542</v>
      </c>
      <c r="AI181" t="s">
        <v>1542</v>
      </c>
      <c r="AJ181" t="s">
        <v>135</v>
      </c>
      <c r="AK181" t="s">
        <v>663</v>
      </c>
      <c r="AL181" t="s">
        <v>137</v>
      </c>
      <c r="AM181" t="s">
        <v>117</v>
      </c>
      <c r="AN181" t="s">
        <v>875</v>
      </c>
      <c r="AO181" t="s">
        <v>429</v>
      </c>
      <c r="AP181" t="s">
        <v>119</v>
      </c>
      <c r="AQ181" t="s">
        <v>119</v>
      </c>
      <c r="AR181" t="s">
        <v>875</v>
      </c>
      <c r="AS181" t="s">
        <v>430</v>
      </c>
      <c r="AT181" t="s">
        <v>239</v>
      </c>
    </row>
    <row r="182" spans="1:46">
      <c r="A182" s="1" t="s">
        <v>1544</v>
      </c>
      <c r="B182" s="1" t="s">
        <v>1545</v>
      </c>
      <c r="C182" s="1" t="s">
        <v>1546</v>
      </c>
      <c r="D182" s="1" t="s">
        <v>101</v>
      </c>
      <c r="E182" s="1" t="s">
        <v>102</v>
      </c>
      <c r="F182" s="1" t="s">
        <v>103</v>
      </c>
      <c r="G182" s="1" t="s">
        <v>773</v>
      </c>
      <c r="H182" s="1" t="s">
        <v>1120</v>
      </c>
      <c r="I182" s="1" t="s">
        <v>106</v>
      </c>
      <c r="J182" s="1" t="s">
        <v>107</v>
      </c>
      <c r="K182" s="1"/>
      <c r="L182" s="9">
        <v>8120</v>
      </c>
      <c r="M182" s="1" t="s">
        <v>103</v>
      </c>
      <c r="N182" s="1" t="s">
        <v>773</v>
      </c>
      <c r="O182" s="1"/>
      <c r="P182" s="1" t="s">
        <v>106</v>
      </c>
      <c r="Q182" s="1" t="s">
        <v>108</v>
      </c>
      <c r="R182" s="1" t="s">
        <v>109</v>
      </c>
      <c r="S182" s="9">
        <v>-8120</v>
      </c>
      <c r="T182" s="1">
        <v>0</v>
      </c>
      <c r="U182" s="1" t="s">
        <v>110</v>
      </c>
      <c r="V182" s="1" t="s">
        <v>15</v>
      </c>
      <c r="W182" s="1" t="s">
        <v>17</v>
      </c>
      <c r="X182" s="1" t="s">
        <v>111</v>
      </c>
      <c r="Y182" s="1"/>
      <c r="Z182" s="1" t="s">
        <v>1120</v>
      </c>
      <c r="AA182" s="1" t="s">
        <v>17</v>
      </c>
      <c r="AB182" s="1">
        <v>0</v>
      </c>
      <c r="AC182" s="1" t="s">
        <v>17</v>
      </c>
      <c r="AD182" t="s">
        <v>112</v>
      </c>
      <c r="AE182" t="s">
        <v>113</v>
      </c>
      <c r="AF182" t="s">
        <v>1120</v>
      </c>
      <c r="AG182" t="s">
        <v>114</v>
      </c>
      <c r="AH182" t="s">
        <v>1547</v>
      </c>
      <c r="AI182" t="s">
        <v>1547</v>
      </c>
      <c r="AJ182" t="s">
        <v>17</v>
      </c>
      <c r="AK182" t="s">
        <v>308</v>
      </c>
      <c r="AL182" t="s">
        <v>17</v>
      </c>
      <c r="AM182" t="s">
        <v>117</v>
      </c>
      <c r="AN182" t="s">
        <v>773</v>
      </c>
      <c r="AO182" t="s">
        <v>987</v>
      </c>
      <c r="AP182" t="s">
        <v>119</v>
      </c>
      <c r="AQ182" t="s">
        <v>119</v>
      </c>
      <c r="AR182" t="s">
        <v>773</v>
      </c>
      <c r="AS182" t="s">
        <v>988</v>
      </c>
      <c r="AT182" t="s">
        <v>773</v>
      </c>
    </row>
    <row r="183" spans="1:46">
      <c r="A183" s="1" t="s">
        <v>1548</v>
      </c>
      <c r="B183" s="1" t="s">
        <v>1549</v>
      </c>
      <c r="C183" s="1" t="s">
        <v>1550</v>
      </c>
      <c r="D183" s="1" t="s">
        <v>101</v>
      </c>
      <c r="E183" s="1" t="s">
        <v>102</v>
      </c>
      <c r="F183" s="1" t="s">
        <v>103</v>
      </c>
      <c r="G183" s="1" t="s">
        <v>1551</v>
      </c>
      <c r="H183" s="1" t="s">
        <v>1514</v>
      </c>
      <c r="I183" s="1" t="s">
        <v>106</v>
      </c>
      <c r="J183" s="1" t="s">
        <v>107</v>
      </c>
      <c r="K183" s="1"/>
      <c r="L183" s="9">
        <v>15708</v>
      </c>
      <c r="M183" s="1" t="s">
        <v>103</v>
      </c>
      <c r="N183" s="1" t="s">
        <v>1551</v>
      </c>
      <c r="O183" s="1"/>
      <c r="P183" s="1" t="s">
        <v>106</v>
      </c>
      <c r="Q183" s="1" t="s">
        <v>108</v>
      </c>
      <c r="R183" s="1" t="s">
        <v>109</v>
      </c>
      <c r="S183" s="9">
        <v>-15708</v>
      </c>
      <c r="T183" s="1">
        <v>0</v>
      </c>
      <c r="U183" s="1" t="s">
        <v>110</v>
      </c>
      <c r="V183" s="1" t="s">
        <v>15</v>
      </c>
      <c r="W183" s="1" t="s">
        <v>17</v>
      </c>
      <c r="X183" s="1" t="s">
        <v>111</v>
      </c>
      <c r="Y183" s="1"/>
      <c r="Z183" s="1" t="s">
        <v>1514</v>
      </c>
      <c r="AA183" s="1" t="s">
        <v>17</v>
      </c>
      <c r="AB183" s="1">
        <v>0</v>
      </c>
      <c r="AC183" s="1" t="s">
        <v>17</v>
      </c>
      <c r="AD183" t="s">
        <v>112</v>
      </c>
      <c r="AE183" t="s">
        <v>113</v>
      </c>
      <c r="AF183" t="s">
        <v>1514</v>
      </c>
      <c r="AG183" t="s">
        <v>114</v>
      </c>
      <c r="AH183" t="s">
        <v>1552</v>
      </c>
      <c r="AI183" t="s">
        <v>1552</v>
      </c>
      <c r="AJ183" t="s">
        <v>17</v>
      </c>
      <c r="AK183" t="s">
        <v>200</v>
      </c>
      <c r="AL183" t="s">
        <v>17</v>
      </c>
      <c r="AM183" t="s">
        <v>117</v>
      </c>
      <c r="AN183" t="s">
        <v>1551</v>
      </c>
      <c r="AO183" t="s">
        <v>1553</v>
      </c>
      <c r="AP183" t="s">
        <v>119</v>
      </c>
      <c r="AQ183" t="s">
        <v>119</v>
      </c>
      <c r="AR183" t="s">
        <v>1551</v>
      </c>
      <c r="AS183" t="s">
        <v>1554</v>
      </c>
      <c r="AT183" t="s">
        <v>1551</v>
      </c>
    </row>
    <row r="184" spans="1:46">
      <c r="A184" s="1" t="s">
        <v>1555</v>
      </c>
      <c r="B184" s="1" t="s">
        <v>1556</v>
      </c>
      <c r="C184" s="1" t="s">
        <v>1557</v>
      </c>
      <c r="D184" s="1" t="s">
        <v>101</v>
      </c>
      <c r="E184" s="1" t="s">
        <v>124</v>
      </c>
      <c r="F184" s="1" t="s">
        <v>103</v>
      </c>
      <c r="G184" s="1" t="s">
        <v>314</v>
      </c>
      <c r="H184" s="1" t="s">
        <v>319</v>
      </c>
      <c r="I184" s="1" t="s">
        <v>127</v>
      </c>
      <c r="J184" s="1" t="s">
        <v>128</v>
      </c>
      <c r="K184" s="1" t="s">
        <v>129</v>
      </c>
      <c r="L184" s="9">
        <v>-17174.509999999998</v>
      </c>
      <c r="M184" s="1" t="s">
        <v>103</v>
      </c>
      <c r="N184" s="1" t="s">
        <v>1558</v>
      </c>
      <c r="O184" s="1" t="s">
        <v>319</v>
      </c>
      <c r="P184" s="1" t="s">
        <v>127</v>
      </c>
      <c r="Q184" s="1" t="s">
        <v>131</v>
      </c>
      <c r="R184" s="1"/>
      <c r="S184" s="9">
        <v>17174.509999999998</v>
      </c>
      <c r="T184" s="1">
        <v>0</v>
      </c>
      <c r="U184" s="1" t="s">
        <v>132</v>
      </c>
      <c r="V184" s="1" t="s">
        <v>15</v>
      </c>
      <c r="W184" s="1" t="s">
        <v>17</v>
      </c>
      <c r="X184" s="1" t="s">
        <v>111</v>
      </c>
      <c r="Y184" s="1"/>
      <c r="Z184" s="1" t="s">
        <v>980</v>
      </c>
      <c r="AA184" s="1" t="s">
        <v>17</v>
      </c>
      <c r="AB184" s="1">
        <v>0</v>
      </c>
      <c r="AC184" s="1" t="s">
        <v>17</v>
      </c>
      <c r="AD184" t="s">
        <v>112</v>
      </c>
      <c r="AE184" t="s">
        <v>113</v>
      </c>
      <c r="AF184" t="s">
        <v>1559</v>
      </c>
      <c r="AG184" t="s">
        <v>114</v>
      </c>
      <c r="AH184" t="s">
        <v>319</v>
      </c>
      <c r="AI184" t="s">
        <v>319</v>
      </c>
      <c r="AJ184" t="s">
        <v>135</v>
      </c>
      <c r="AK184" t="s">
        <v>200</v>
      </c>
      <c r="AL184" t="s">
        <v>137</v>
      </c>
      <c r="AM184" t="s">
        <v>117</v>
      </c>
      <c r="AN184" t="s">
        <v>1154</v>
      </c>
      <c r="AO184" t="s">
        <v>321</v>
      </c>
      <c r="AP184" t="s">
        <v>119</v>
      </c>
      <c r="AQ184" t="s">
        <v>119</v>
      </c>
      <c r="AR184" t="s">
        <v>1154</v>
      </c>
      <c r="AS184" t="s">
        <v>322</v>
      </c>
      <c r="AT184" t="s">
        <v>1558</v>
      </c>
    </row>
    <row r="185" spans="1:46">
      <c r="A185" s="1" t="s">
        <v>1560</v>
      </c>
      <c r="B185" s="1" t="s">
        <v>1561</v>
      </c>
      <c r="C185" s="1" t="s">
        <v>1562</v>
      </c>
      <c r="D185" s="1" t="s">
        <v>40</v>
      </c>
      <c r="E185" s="1" t="s">
        <v>124</v>
      </c>
      <c r="F185" s="1" t="s">
        <v>103</v>
      </c>
      <c r="G185" s="1" t="s">
        <v>1563</v>
      </c>
      <c r="H185" s="1" t="s">
        <v>1564</v>
      </c>
      <c r="I185" s="1" t="s">
        <v>127</v>
      </c>
      <c r="J185" s="1" t="s">
        <v>128</v>
      </c>
      <c r="K185" s="1" t="s">
        <v>129</v>
      </c>
      <c r="L185" s="9">
        <v>-12566</v>
      </c>
      <c r="M185" s="1" t="s">
        <v>103</v>
      </c>
      <c r="N185" s="1" t="s">
        <v>1563</v>
      </c>
      <c r="O185" s="1" t="s">
        <v>1564</v>
      </c>
      <c r="P185" s="1" t="s">
        <v>127</v>
      </c>
      <c r="Q185" s="1" t="s">
        <v>131</v>
      </c>
      <c r="R185" s="1"/>
      <c r="S185" s="9">
        <v>12566.72</v>
      </c>
      <c r="T185" s="1">
        <v>0.71999999999934516</v>
      </c>
      <c r="U185" s="1" t="s">
        <v>146</v>
      </c>
      <c r="V185" s="1" t="s">
        <v>15</v>
      </c>
      <c r="W185" s="1" t="s">
        <v>17</v>
      </c>
      <c r="X185" s="1" t="s">
        <v>111</v>
      </c>
      <c r="Y185" s="1"/>
      <c r="Z185" s="1" t="s">
        <v>815</v>
      </c>
      <c r="AA185" s="1" t="s">
        <v>17</v>
      </c>
      <c r="AB185" s="1">
        <v>0</v>
      </c>
      <c r="AC185" s="1" t="s">
        <v>17</v>
      </c>
      <c r="AD185" t="s">
        <v>112</v>
      </c>
      <c r="AE185" t="s">
        <v>113</v>
      </c>
      <c r="AF185" t="s">
        <v>1565</v>
      </c>
      <c r="AG185" t="s">
        <v>114</v>
      </c>
      <c r="AH185" t="s">
        <v>1564</v>
      </c>
      <c r="AI185" t="s">
        <v>1566</v>
      </c>
      <c r="AJ185" t="s">
        <v>149</v>
      </c>
      <c r="AK185" t="s">
        <v>150</v>
      </c>
      <c r="AL185" t="s">
        <v>137</v>
      </c>
      <c r="AM185" t="s">
        <v>117</v>
      </c>
      <c r="AN185" t="s">
        <v>1052</v>
      </c>
      <c r="AO185" t="s">
        <v>1567</v>
      </c>
      <c r="AP185" t="s">
        <v>119</v>
      </c>
      <c r="AQ185" t="s">
        <v>119</v>
      </c>
      <c r="AR185" t="s">
        <v>1052</v>
      </c>
      <c r="AS185" t="s">
        <v>1568</v>
      </c>
      <c r="AT185" t="s">
        <v>1563</v>
      </c>
    </row>
    <row r="186" spans="1:46">
      <c r="A186" s="1" t="s">
        <v>1569</v>
      </c>
      <c r="B186" s="1" t="s">
        <v>1570</v>
      </c>
      <c r="C186" s="1" t="s">
        <v>1571</v>
      </c>
      <c r="D186" s="1" t="s">
        <v>101</v>
      </c>
      <c r="E186" s="1" t="s">
        <v>124</v>
      </c>
      <c r="F186" s="1" t="s">
        <v>103</v>
      </c>
      <c r="G186" s="1" t="s">
        <v>1572</v>
      </c>
      <c r="H186" s="1" t="s">
        <v>1573</v>
      </c>
      <c r="I186" s="1" t="s">
        <v>127</v>
      </c>
      <c r="J186" s="1" t="s">
        <v>128</v>
      </c>
      <c r="K186" s="1" t="s">
        <v>129</v>
      </c>
      <c r="L186" s="9">
        <v>-13404.5</v>
      </c>
      <c r="M186" s="1" t="s">
        <v>103</v>
      </c>
      <c r="N186" s="1" t="s">
        <v>1572</v>
      </c>
      <c r="O186" s="1" t="s">
        <v>1573</v>
      </c>
      <c r="P186" s="1" t="s">
        <v>127</v>
      </c>
      <c r="Q186" s="1" t="s">
        <v>131</v>
      </c>
      <c r="R186" s="1"/>
      <c r="S186" s="9">
        <v>13404.5</v>
      </c>
      <c r="T186" s="1">
        <v>0</v>
      </c>
      <c r="U186" s="1" t="s">
        <v>132</v>
      </c>
      <c r="V186" s="1" t="s">
        <v>15</v>
      </c>
      <c r="W186" s="1" t="s">
        <v>17</v>
      </c>
      <c r="X186" s="1" t="s">
        <v>111</v>
      </c>
      <c r="Y186" s="1"/>
      <c r="Z186" s="1" t="s">
        <v>147</v>
      </c>
      <c r="AA186" s="1" t="s">
        <v>17</v>
      </c>
      <c r="AB186" s="1">
        <v>0</v>
      </c>
      <c r="AC186" s="1" t="s">
        <v>17</v>
      </c>
      <c r="AD186" t="s">
        <v>112</v>
      </c>
      <c r="AE186" t="s">
        <v>113</v>
      </c>
      <c r="AF186" t="s">
        <v>1574</v>
      </c>
      <c r="AG186" t="s">
        <v>114</v>
      </c>
      <c r="AH186" t="s">
        <v>1573</v>
      </c>
      <c r="AI186" t="s">
        <v>1573</v>
      </c>
      <c r="AJ186" t="s">
        <v>149</v>
      </c>
      <c r="AK186" t="s">
        <v>150</v>
      </c>
      <c r="AL186" t="s">
        <v>137</v>
      </c>
      <c r="AM186" t="s">
        <v>117</v>
      </c>
      <c r="AN186" t="s">
        <v>761</v>
      </c>
      <c r="AO186" t="s">
        <v>1204</v>
      </c>
      <c r="AP186" t="s">
        <v>119</v>
      </c>
      <c r="AQ186" t="s">
        <v>119</v>
      </c>
      <c r="AR186" t="s">
        <v>761</v>
      </c>
      <c r="AS186" t="s">
        <v>1205</v>
      </c>
      <c r="AT186" t="s">
        <v>1572</v>
      </c>
    </row>
    <row r="187" spans="1:46">
      <c r="A187" s="1" t="s">
        <v>1575</v>
      </c>
      <c r="B187" s="1" t="s">
        <v>1576</v>
      </c>
      <c r="C187" s="1" t="s">
        <v>1577</v>
      </c>
      <c r="D187" s="1" t="s">
        <v>40</v>
      </c>
      <c r="E187" s="1" t="s">
        <v>124</v>
      </c>
      <c r="F187" s="1" t="s">
        <v>103</v>
      </c>
      <c r="G187" s="1" t="s">
        <v>1480</v>
      </c>
      <c r="H187" s="1" t="s">
        <v>1578</v>
      </c>
      <c r="I187" s="1" t="s">
        <v>127</v>
      </c>
      <c r="J187" s="1" t="s">
        <v>128</v>
      </c>
      <c r="K187" s="1" t="s">
        <v>129</v>
      </c>
      <c r="L187" s="9">
        <v>-19687</v>
      </c>
      <c r="M187" s="1" t="s">
        <v>103</v>
      </c>
      <c r="N187" s="1" t="s">
        <v>1480</v>
      </c>
      <c r="O187" s="1" t="s">
        <v>1578</v>
      </c>
      <c r="P187" s="1" t="s">
        <v>127</v>
      </c>
      <c r="Q187" s="1" t="s">
        <v>131</v>
      </c>
      <c r="R187" s="1"/>
      <c r="S187" s="9">
        <v>19687.86</v>
      </c>
      <c r="T187" s="1">
        <v>0.86000000000058208</v>
      </c>
      <c r="U187" s="1" t="s">
        <v>146</v>
      </c>
      <c r="V187" s="1" t="s">
        <v>15</v>
      </c>
      <c r="W187" s="1" t="s">
        <v>17</v>
      </c>
      <c r="X187" s="1" t="s">
        <v>111</v>
      </c>
      <c r="Y187" s="1"/>
      <c r="Z187" s="1" t="s">
        <v>491</v>
      </c>
      <c r="AA187" s="1" t="s">
        <v>17</v>
      </c>
      <c r="AB187" s="1">
        <v>0</v>
      </c>
      <c r="AC187" s="1" t="s">
        <v>17</v>
      </c>
      <c r="AD187" t="s">
        <v>112</v>
      </c>
      <c r="AE187" t="s">
        <v>113</v>
      </c>
      <c r="AF187" t="s">
        <v>1579</v>
      </c>
      <c r="AG187" t="s">
        <v>114</v>
      </c>
      <c r="AH187" t="s">
        <v>1578</v>
      </c>
      <c r="AI187" t="s">
        <v>1578</v>
      </c>
      <c r="AJ187" t="s">
        <v>149</v>
      </c>
      <c r="AK187" t="s">
        <v>308</v>
      </c>
      <c r="AL187" t="s">
        <v>137</v>
      </c>
      <c r="AM187" t="s">
        <v>117</v>
      </c>
      <c r="AN187" t="s">
        <v>576</v>
      </c>
      <c r="AO187" t="s">
        <v>1580</v>
      </c>
      <c r="AP187" t="s">
        <v>119</v>
      </c>
      <c r="AQ187" t="s">
        <v>119</v>
      </c>
      <c r="AR187" t="s">
        <v>576</v>
      </c>
      <c r="AS187" t="s">
        <v>1581</v>
      </c>
      <c r="AT187" t="s">
        <v>642</v>
      </c>
    </row>
    <row r="188" spans="1:46">
      <c r="A188" s="1" t="s">
        <v>1582</v>
      </c>
      <c r="B188" s="1" t="s">
        <v>1583</v>
      </c>
      <c r="C188" s="1" t="s">
        <v>1584</v>
      </c>
      <c r="D188" s="1" t="s">
        <v>101</v>
      </c>
      <c r="E188" s="1" t="s">
        <v>483</v>
      </c>
      <c r="F188" s="1" t="s">
        <v>103</v>
      </c>
      <c r="G188" s="1" t="s">
        <v>604</v>
      </c>
      <c r="H188" s="1" t="s">
        <v>147</v>
      </c>
      <c r="I188" s="1" t="s">
        <v>106</v>
      </c>
      <c r="J188" s="1" t="s">
        <v>107</v>
      </c>
      <c r="K188" s="1"/>
      <c r="L188" s="9">
        <v>38279.5</v>
      </c>
      <c r="M188" s="1" t="s">
        <v>103</v>
      </c>
      <c r="N188" s="1" t="s">
        <v>604</v>
      </c>
      <c r="O188" s="1"/>
      <c r="P188" s="1" t="s">
        <v>106</v>
      </c>
      <c r="Q188" s="1" t="s">
        <v>108</v>
      </c>
      <c r="R188" s="1" t="s">
        <v>109</v>
      </c>
      <c r="S188" s="9">
        <v>-9843.93</v>
      </c>
      <c r="T188" s="1">
        <v>0</v>
      </c>
      <c r="U188" s="1" t="s">
        <v>486</v>
      </c>
      <c r="V188" s="1" t="s">
        <v>15</v>
      </c>
      <c r="W188" s="1" t="s">
        <v>17</v>
      </c>
      <c r="X188" s="1" t="s">
        <v>111</v>
      </c>
      <c r="Y188" s="1"/>
      <c r="Z188" s="1" t="s">
        <v>147</v>
      </c>
      <c r="AA188" s="1" t="s">
        <v>17</v>
      </c>
      <c r="AB188" s="1">
        <v>0</v>
      </c>
      <c r="AC188" s="1" t="s">
        <v>17</v>
      </c>
      <c r="AD188" t="s">
        <v>112</v>
      </c>
      <c r="AE188" t="s">
        <v>113</v>
      </c>
      <c r="AF188" t="s">
        <v>147</v>
      </c>
      <c r="AG188" t="s">
        <v>114</v>
      </c>
      <c r="AH188" t="s">
        <v>1585</v>
      </c>
      <c r="AI188" t="s">
        <v>1585</v>
      </c>
      <c r="AJ188" t="s">
        <v>17</v>
      </c>
      <c r="AK188" t="s">
        <v>150</v>
      </c>
      <c r="AL188" t="s">
        <v>17</v>
      </c>
      <c r="AM188" t="s">
        <v>117</v>
      </c>
      <c r="AN188" t="s">
        <v>604</v>
      </c>
      <c r="AO188" t="s">
        <v>1586</v>
      </c>
      <c r="AP188" t="s">
        <v>119</v>
      </c>
      <c r="AQ188" t="s">
        <v>119</v>
      </c>
      <c r="AR188" t="s">
        <v>604</v>
      </c>
      <c r="AS188" t="s">
        <v>1587</v>
      </c>
      <c r="AT188" t="s">
        <v>604</v>
      </c>
    </row>
    <row r="189" spans="1:46">
      <c r="A189" s="1" t="s">
        <v>1588</v>
      </c>
      <c r="B189" s="1" t="s">
        <v>1589</v>
      </c>
      <c r="C189" s="1" t="s">
        <v>1584</v>
      </c>
      <c r="D189" s="1" t="s">
        <v>101</v>
      </c>
      <c r="E189" s="1" t="s">
        <v>483</v>
      </c>
      <c r="F189" s="1" t="s">
        <v>103</v>
      </c>
      <c r="G189" s="1" t="s">
        <v>604</v>
      </c>
      <c r="H189" s="1" t="s">
        <v>758</v>
      </c>
      <c r="I189" s="1" t="s">
        <v>106</v>
      </c>
      <c r="J189" s="1" t="s">
        <v>107</v>
      </c>
      <c r="K189" s="1"/>
      <c r="L189" s="9">
        <v>9843.93</v>
      </c>
      <c r="M189" s="1" t="s">
        <v>103</v>
      </c>
      <c r="N189" s="1" t="s">
        <v>604</v>
      </c>
      <c r="O189" s="1"/>
      <c r="P189" s="1" t="s">
        <v>106</v>
      </c>
      <c r="Q189" s="1" t="s">
        <v>108</v>
      </c>
      <c r="R189" s="1" t="s">
        <v>109</v>
      </c>
      <c r="S189" s="9">
        <v>-38279.5</v>
      </c>
      <c r="T189" s="1">
        <v>0</v>
      </c>
      <c r="U189" s="1" t="s">
        <v>486</v>
      </c>
      <c r="V189" s="1" t="s">
        <v>15</v>
      </c>
      <c r="W189" s="1" t="s">
        <v>17</v>
      </c>
      <c r="X189" s="1" t="s">
        <v>111</v>
      </c>
      <c r="Y189" s="1"/>
      <c r="Z189" s="1" t="s">
        <v>758</v>
      </c>
      <c r="AA189" s="1" t="s">
        <v>17</v>
      </c>
      <c r="AB189" s="1">
        <v>0</v>
      </c>
      <c r="AC189" s="1" t="s">
        <v>17</v>
      </c>
      <c r="AD189" t="s">
        <v>112</v>
      </c>
      <c r="AE189" t="s">
        <v>113</v>
      </c>
      <c r="AF189" t="s">
        <v>758</v>
      </c>
      <c r="AG189" t="s">
        <v>760</v>
      </c>
      <c r="AH189" t="s">
        <v>1585</v>
      </c>
      <c r="AI189" t="s">
        <v>1585</v>
      </c>
      <c r="AJ189" t="s">
        <v>17</v>
      </c>
      <c r="AK189" t="s">
        <v>150</v>
      </c>
      <c r="AL189" t="s">
        <v>17</v>
      </c>
      <c r="AM189" t="s">
        <v>117</v>
      </c>
      <c r="AN189" t="s">
        <v>604</v>
      </c>
      <c r="AO189" t="s">
        <v>1590</v>
      </c>
      <c r="AP189" t="s">
        <v>119</v>
      </c>
      <c r="AQ189" t="s">
        <v>119</v>
      </c>
      <c r="AR189" t="s">
        <v>604</v>
      </c>
      <c r="AS189" t="s">
        <v>1591</v>
      </c>
      <c r="AT189" t="s">
        <v>604</v>
      </c>
    </row>
    <row r="190" spans="1:46">
      <c r="A190" s="1" t="s">
        <v>1592</v>
      </c>
      <c r="B190" s="1" t="s">
        <v>1593</v>
      </c>
      <c r="C190" s="1" t="s">
        <v>1594</v>
      </c>
      <c r="D190" s="1" t="s">
        <v>101</v>
      </c>
      <c r="E190" s="1" t="s">
        <v>352</v>
      </c>
      <c r="F190" s="1" t="s">
        <v>103</v>
      </c>
      <c r="G190" s="1" t="s">
        <v>338</v>
      </c>
      <c r="H190" s="1" t="s">
        <v>1264</v>
      </c>
      <c r="I190" s="1" t="s">
        <v>106</v>
      </c>
      <c r="J190" s="1" t="s">
        <v>107</v>
      </c>
      <c r="K190" s="1"/>
      <c r="L190" s="9">
        <v>15708</v>
      </c>
      <c r="M190" s="1" t="s">
        <v>103</v>
      </c>
      <c r="N190" s="1" t="s">
        <v>338</v>
      </c>
      <c r="O190" s="1"/>
      <c r="P190" s="1" t="s">
        <v>106</v>
      </c>
      <c r="Q190" s="1" t="s">
        <v>108</v>
      </c>
      <c r="R190" s="1" t="s">
        <v>109</v>
      </c>
      <c r="S190" s="9">
        <v>-15708</v>
      </c>
      <c r="T190" s="1">
        <v>0</v>
      </c>
      <c r="U190" s="1" t="s">
        <v>356</v>
      </c>
      <c r="V190" s="1" t="s">
        <v>15</v>
      </c>
      <c r="W190" s="1" t="s">
        <v>17</v>
      </c>
      <c r="X190" s="1" t="s">
        <v>111</v>
      </c>
      <c r="Y190" s="1"/>
      <c r="Z190" s="1" t="s">
        <v>1264</v>
      </c>
      <c r="AA190" s="1" t="s">
        <v>17</v>
      </c>
      <c r="AB190" s="1">
        <v>0</v>
      </c>
      <c r="AC190" s="1" t="s">
        <v>17</v>
      </c>
      <c r="AD190" t="s">
        <v>112</v>
      </c>
      <c r="AE190" t="s">
        <v>113</v>
      </c>
      <c r="AF190" t="s">
        <v>1264</v>
      </c>
      <c r="AG190" t="s">
        <v>114</v>
      </c>
      <c r="AH190" t="s">
        <v>1595</v>
      </c>
      <c r="AI190" t="s">
        <v>1595</v>
      </c>
      <c r="AJ190" t="s">
        <v>17</v>
      </c>
      <c r="AK190" t="s">
        <v>257</v>
      </c>
      <c r="AL190" t="s">
        <v>17</v>
      </c>
      <c r="AM190" t="s">
        <v>117</v>
      </c>
      <c r="AN190" t="s">
        <v>338</v>
      </c>
      <c r="AO190" t="s">
        <v>1553</v>
      </c>
      <c r="AP190" t="s">
        <v>119</v>
      </c>
      <c r="AQ190" t="s">
        <v>119</v>
      </c>
      <c r="AR190" t="s">
        <v>338</v>
      </c>
      <c r="AS190" t="s">
        <v>1554</v>
      </c>
      <c r="AT190" t="s">
        <v>338</v>
      </c>
    </row>
    <row r="191" spans="1:46">
      <c r="A191" s="1" t="s">
        <v>1596</v>
      </c>
      <c r="B191" s="1" t="s">
        <v>1597</v>
      </c>
      <c r="C191" s="1" t="s">
        <v>1598</v>
      </c>
      <c r="D191" s="1" t="s">
        <v>101</v>
      </c>
      <c r="E191" s="1" t="s">
        <v>124</v>
      </c>
      <c r="F191" s="1" t="s">
        <v>103</v>
      </c>
      <c r="G191" s="1" t="s">
        <v>1286</v>
      </c>
      <c r="H191" s="1" t="s">
        <v>1599</v>
      </c>
      <c r="I191" s="1" t="s">
        <v>127</v>
      </c>
      <c r="J191" s="1" t="s">
        <v>128</v>
      </c>
      <c r="K191" s="1" t="s">
        <v>129</v>
      </c>
      <c r="L191" s="9">
        <v>-14870.62</v>
      </c>
      <c r="M191" s="1" t="s">
        <v>103</v>
      </c>
      <c r="N191" s="1" t="s">
        <v>1286</v>
      </c>
      <c r="O191" s="1" t="s">
        <v>1599</v>
      </c>
      <c r="P191" s="1" t="s">
        <v>127</v>
      </c>
      <c r="Q191" s="1" t="s">
        <v>131</v>
      </c>
      <c r="R191" s="1"/>
      <c r="S191" s="9">
        <v>14870.62</v>
      </c>
      <c r="T191" s="1">
        <v>0</v>
      </c>
      <c r="U191" s="1" t="s">
        <v>132</v>
      </c>
      <c r="V191" s="1" t="s">
        <v>15</v>
      </c>
      <c r="W191" s="1" t="s">
        <v>17</v>
      </c>
      <c r="X191" s="1" t="s">
        <v>111</v>
      </c>
      <c r="Y191" s="1"/>
      <c r="Z191" s="1" t="s">
        <v>426</v>
      </c>
      <c r="AA191" s="1" t="s">
        <v>17</v>
      </c>
      <c r="AB191" s="1">
        <v>0</v>
      </c>
      <c r="AC191" s="1" t="s">
        <v>17</v>
      </c>
      <c r="AD191" t="s">
        <v>112</v>
      </c>
      <c r="AE191" t="s">
        <v>113</v>
      </c>
      <c r="AF191" t="s">
        <v>1600</v>
      </c>
      <c r="AG191" t="s">
        <v>114</v>
      </c>
      <c r="AH191" t="s">
        <v>1599</v>
      </c>
      <c r="AI191" t="s">
        <v>1599</v>
      </c>
      <c r="AJ191" t="s">
        <v>135</v>
      </c>
      <c r="AK191" t="s">
        <v>408</v>
      </c>
      <c r="AL191" t="s">
        <v>137</v>
      </c>
      <c r="AM191" t="s">
        <v>117</v>
      </c>
      <c r="AN191" t="s">
        <v>428</v>
      </c>
      <c r="AO191" t="s">
        <v>449</v>
      </c>
      <c r="AP191" t="s">
        <v>119</v>
      </c>
      <c r="AQ191" t="s">
        <v>119</v>
      </c>
      <c r="AR191" t="s">
        <v>428</v>
      </c>
      <c r="AS191" t="s">
        <v>450</v>
      </c>
      <c r="AT191" t="s">
        <v>1286</v>
      </c>
    </row>
    <row r="192" spans="1:46">
      <c r="A192" s="1" t="s">
        <v>1601</v>
      </c>
      <c r="B192" s="1" t="s">
        <v>1602</v>
      </c>
      <c r="C192" s="1" t="s">
        <v>1603</v>
      </c>
      <c r="D192" s="1" t="s">
        <v>101</v>
      </c>
      <c r="E192" s="1" t="s">
        <v>124</v>
      </c>
      <c r="F192" s="1" t="s">
        <v>103</v>
      </c>
      <c r="G192" s="1" t="s">
        <v>378</v>
      </c>
      <c r="H192" s="1" t="s">
        <v>1604</v>
      </c>
      <c r="I192" s="1" t="s">
        <v>127</v>
      </c>
      <c r="J192" s="1" t="s">
        <v>128</v>
      </c>
      <c r="K192" s="1" t="s">
        <v>129</v>
      </c>
      <c r="L192" s="9">
        <v>-15917.84</v>
      </c>
      <c r="M192" s="1" t="s">
        <v>103</v>
      </c>
      <c r="N192" s="1" t="s">
        <v>378</v>
      </c>
      <c r="O192" s="1" t="s">
        <v>1604</v>
      </c>
      <c r="P192" s="1" t="s">
        <v>127</v>
      </c>
      <c r="Q192" s="1" t="s">
        <v>131</v>
      </c>
      <c r="R192" s="1"/>
      <c r="S192" s="9">
        <v>15917.84</v>
      </c>
      <c r="T192" s="1">
        <v>0</v>
      </c>
      <c r="U192" s="1" t="s">
        <v>132</v>
      </c>
      <c r="V192" s="1" t="s">
        <v>15</v>
      </c>
      <c r="W192" s="1" t="s">
        <v>17</v>
      </c>
      <c r="X192" s="1" t="s">
        <v>111</v>
      </c>
      <c r="Y192" s="1"/>
      <c r="Z192" s="1" t="s">
        <v>373</v>
      </c>
      <c r="AA192" s="1" t="s">
        <v>17</v>
      </c>
      <c r="AB192" s="1">
        <v>0</v>
      </c>
      <c r="AC192" s="1" t="s">
        <v>17</v>
      </c>
      <c r="AD192" t="s">
        <v>112</v>
      </c>
      <c r="AE192" t="s">
        <v>113</v>
      </c>
      <c r="AF192" t="s">
        <v>1605</v>
      </c>
      <c r="AG192" t="s">
        <v>114</v>
      </c>
      <c r="AH192" t="s">
        <v>1604</v>
      </c>
      <c r="AI192" t="s">
        <v>1604</v>
      </c>
      <c r="AJ192" t="s">
        <v>149</v>
      </c>
      <c r="AK192" t="s">
        <v>179</v>
      </c>
      <c r="AL192" t="s">
        <v>137</v>
      </c>
      <c r="AM192" t="s">
        <v>117</v>
      </c>
      <c r="AN192" t="s">
        <v>375</v>
      </c>
      <c r="AO192" t="s">
        <v>1187</v>
      </c>
      <c r="AP192" t="s">
        <v>119</v>
      </c>
      <c r="AQ192" t="s">
        <v>119</v>
      </c>
      <c r="AR192" t="s">
        <v>375</v>
      </c>
      <c r="AS192" t="s">
        <v>1188</v>
      </c>
      <c r="AT192" t="s">
        <v>378</v>
      </c>
    </row>
    <row r="193" spans="1:46">
      <c r="A193" s="1" t="s">
        <v>1606</v>
      </c>
      <c r="B193" s="1" t="s">
        <v>1607</v>
      </c>
      <c r="C193" s="1" t="s">
        <v>1608</v>
      </c>
      <c r="D193" s="1" t="s">
        <v>101</v>
      </c>
      <c r="E193" s="1" t="s">
        <v>124</v>
      </c>
      <c r="F193" s="1" t="s">
        <v>103</v>
      </c>
      <c r="G193" s="1" t="s">
        <v>1256</v>
      </c>
      <c r="H193" s="1" t="s">
        <v>1609</v>
      </c>
      <c r="I193" s="1" t="s">
        <v>127</v>
      </c>
      <c r="J193" s="1" t="s">
        <v>128</v>
      </c>
      <c r="K193" s="1" t="s">
        <v>129</v>
      </c>
      <c r="L193" s="9">
        <v>-7958.93</v>
      </c>
      <c r="M193" s="1" t="s">
        <v>103</v>
      </c>
      <c r="N193" s="1" t="s">
        <v>1256</v>
      </c>
      <c r="O193" s="1" t="s">
        <v>1609</v>
      </c>
      <c r="P193" s="1" t="s">
        <v>127</v>
      </c>
      <c r="Q193" s="1" t="s">
        <v>131</v>
      </c>
      <c r="R193" s="1"/>
      <c r="S193" s="9">
        <v>7958.93</v>
      </c>
      <c r="T193" s="1">
        <v>0</v>
      </c>
      <c r="U193" s="1" t="s">
        <v>132</v>
      </c>
      <c r="V193" s="1" t="s">
        <v>15</v>
      </c>
      <c r="W193" s="1" t="s">
        <v>17</v>
      </c>
      <c r="X193" s="1" t="s">
        <v>111</v>
      </c>
      <c r="Y193" s="1"/>
      <c r="Z193" s="1" t="s">
        <v>1211</v>
      </c>
      <c r="AA193" s="1" t="s">
        <v>17</v>
      </c>
      <c r="AB193" s="1">
        <v>0</v>
      </c>
      <c r="AC193" s="1" t="s">
        <v>17</v>
      </c>
      <c r="AD193" t="s">
        <v>112</v>
      </c>
      <c r="AE193" t="s">
        <v>113</v>
      </c>
      <c r="AF193" t="s">
        <v>1610</v>
      </c>
      <c r="AG193" t="s">
        <v>114</v>
      </c>
      <c r="AH193" t="s">
        <v>1609</v>
      </c>
      <c r="AI193" t="s">
        <v>1609</v>
      </c>
      <c r="AJ193" t="s">
        <v>135</v>
      </c>
      <c r="AK193" t="s">
        <v>663</v>
      </c>
      <c r="AL193" t="s">
        <v>137</v>
      </c>
      <c r="AM193" t="s">
        <v>117</v>
      </c>
      <c r="AN193" t="s">
        <v>1213</v>
      </c>
      <c r="AO193" t="s">
        <v>1611</v>
      </c>
      <c r="AP193" t="s">
        <v>119</v>
      </c>
      <c r="AQ193" t="s">
        <v>119</v>
      </c>
      <c r="AR193" t="s">
        <v>1213</v>
      </c>
      <c r="AS193" t="s">
        <v>1612</v>
      </c>
      <c r="AT193" t="s">
        <v>1256</v>
      </c>
    </row>
    <row r="194" spans="1:46">
      <c r="A194" s="1" t="s">
        <v>1613</v>
      </c>
      <c r="B194" s="1" t="s">
        <v>1614</v>
      </c>
      <c r="C194" s="1" t="s">
        <v>1615</v>
      </c>
      <c r="D194" s="1" t="s">
        <v>101</v>
      </c>
      <c r="E194" s="1" t="s">
        <v>102</v>
      </c>
      <c r="F194" s="1" t="s">
        <v>103</v>
      </c>
      <c r="G194" s="1" t="s">
        <v>1616</v>
      </c>
      <c r="H194" s="1" t="s">
        <v>1617</v>
      </c>
      <c r="I194" s="1" t="s">
        <v>106</v>
      </c>
      <c r="J194" s="1" t="s">
        <v>107</v>
      </c>
      <c r="K194" s="1"/>
      <c r="L194" s="9">
        <v>13404.5</v>
      </c>
      <c r="M194" s="1" t="s">
        <v>103</v>
      </c>
      <c r="N194" s="1" t="s">
        <v>1616</v>
      </c>
      <c r="O194" s="1"/>
      <c r="P194" s="1" t="s">
        <v>106</v>
      </c>
      <c r="Q194" s="1" t="s">
        <v>108</v>
      </c>
      <c r="R194" s="1" t="s">
        <v>109</v>
      </c>
      <c r="S194" s="9">
        <v>-13404.5</v>
      </c>
      <c r="T194" s="1">
        <v>0</v>
      </c>
      <c r="U194" s="1" t="s">
        <v>110</v>
      </c>
      <c r="V194" s="1" t="s">
        <v>15</v>
      </c>
      <c r="W194" s="1" t="s">
        <v>17</v>
      </c>
      <c r="X194" s="1" t="s">
        <v>111</v>
      </c>
      <c r="Y194" s="1"/>
      <c r="Z194" s="1" t="s">
        <v>1617</v>
      </c>
      <c r="AA194" s="1" t="s">
        <v>17</v>
      </c>
      <c r="AB194" s="1">
        <v>0</v>
      </c>
      <c r="AC194" s="1" t="s">
        <v>17</v>
      </c>
      <c r="AD194" t="s">
        <v>112</v>
      </c>
      <c r="AE194" t="s">
        <v>113</v>
      </c>
      <c r="AF194" t="s">
        <v>1617</v>
      </c>
      <c r="AG194" t="s">
        <v>114</v>
      </c>
      <c r="AH194" t="s">
        <v>1618</v>
      </c>
      <c r="AI194" t="s">
        <v>1618</v>
      </c>
      <c r="AJ194" t="s">
        <v>17</v>
      </c>
      <c r="AK194" t="s">
        <v>308</v>
      </c>
      <c r="AL194" t="s">
        <v>17</v>
      </c>
      <c r="AM194" t="s">
        <v>117</v>
      </c>
      <c r="AN194" t="s">
        <v>1616</v>
      </c>
      <c r="AO194" t="s">
        <v>1619</v>
      </c>
      <c r="AP194" t="s">
        <v>119</v>
      </c>
      <c r="AQ194" t="s">
        <v>119</v>
      </c>
      <c r="AR194" t="s">
        <v>1616</v>
      </c>
      <c r="AS194" t="s">
        <v>1620</v>
      </c>
      <c r="AT194" t="s">
        <v>1616</v>
      </c>
    </row>
    <row r="195" spans="1:46">
      <c r="A195" s="1" t="s">
        <v>1621</v>
      </c>
      <c r="B195" s="1" t="s">
        <v>1622</v>
      </c>
      <c r="C195" s="1" t="s">
        <v>1623</v>
      </c>
      <c r="D195" s="1" t="s">
        <v>101</v>
      </c>
      <c r="E195" s="1" t="s">
        <v>102</v>
      </c>
      <c r="F195" s="1" t="s">
        <v>103</v>
      </c>
      <c r="G195" s="1" t="s">
        <v>1624</v>
      </c>
      <c r="H195" s="1" t="s">
        <v>1271</v>
      </c>
      <c r="I195" s="1" t="s">
        <v>106</v>
      </c>
      <c r="J195" s="1" t="s">
        <v>107</v>
      </c>
      <c r="K195" s="1"/>
      <c r="L195" s="9">
        <v>32672</v>
      </c>
      <c r="M195" s="1" t="s">
        <v>103</v>
      </c>
      <c r="N195" s="1" t="s">
        <v>1624</v>
      </c>
      <c r="O195" s="1"/>
      <c r="P195" s="1" t="s">
        <v>106</v>
      </c>
      <c r="Q195" s="1" t="s">
        <v>108</v>
      </c>
      <c r="R195" s="1" t="s">
        <v>109</v>
      </c>
      <c r="S195" s="9">
        <v>-32672</v>
      </c>
      <c r="T195" s="1">
        <v>0</v>
      </c>
      <c r="U195" s="1" t="s">
        <v>110</v>
      </c>
      <c r="V195" s="1" t="s">
        <v>15</v>
      </c>
      <c r="W195" s="1" t="s">
        <v>17</v>
      </c>
      <c r="X195" s="1" t="s">
        <v>111</v>
      </c>
      <c r="Y195" s="1"/>
      <c r="Z195" s="1" t="s">
        <v>1271</v>
      </c>
      <c r="AA195" s="1" t="s">
        <v>17</v>
      </c>
      <c r="AB195" s="1">
        <v>0</v>
      </c>
      <c r="AC195" s="1" t="s">
        <v>17</v>
      </c>
      <c r="AD195" t="s">
        <v>112</v>
      </c>
      <c r="AE195" t="s">
        <v>113</v>
      </c>
      <c r="AF195" t="s">
        <v>1271</v>
      </c>
      <c r="AG195" t="s">
        <v>114</v>
      </c>
      <c r="AH195" t="s">
        <v>1625</v>
      </c>
      <c r="AI195" t="s">
        <v>1625</v>
      </c>
      <c r="AJ195" t="s">
        <v>17</v>
      </c>
      <c r="AK195" t="s">
        <v>116</v>
      </c>
      <c r="AL195" t="s">
        <v>17</v>
      </c>
      <c r="AM195" t="s">
        <v>117</v>
      </c>
      <c r="AN195" t="s">
        <v>1624</v>
      </c>
      <c r="AO195" t="s">
        <v>1626</v>
      </c>
      <c r="AP195" t="s">
        <v>119</v>
      </c>
      <c r="AQ195" t="s">
        <v>119</v>
      </c>
      <c r="AR195" t="s">
        <v>1624</v>
      </c>
      <c r="AS195" t="s">
        <v>1627</v>
      </c>
      <c r="AT195" t="s">
        <v>1624</v>
      </c>
    </row>
    <row r="196" spans="1:46">
      <c r="A196" s="1" t="s">
        <v>1628</v>
      </c>
      <c r="B196" s="1" t="s">
        <v>1629</v>
      </c>
      <c r="C196" s="1" t="s">
        <v>1630</v>
      </c>
      <c r="D196" s="1" t="s">
        <v>36</v>
      </c>
      <c r="E196" s="1" t="s">
        <v>124</v>
      </c>
      <c r="F196" s="1" t="s">
        <v>103</v>
      </c>
      <c r="G196" s="1" t="s">
        <v>1472</v>
      </c>
      <c r="H196" s="1" t="s">
        <v>1631</v>
      </c>
      <c r="I196" s="1" t="s">
        <v>127</v>
      </c>
      <c r="J196" s="1" t="s">
        <v>241</v>
      </c>
      <c r="K196" s="1" t="s">
        <v>1632</v>
      </c>
      <c r="L196" s="9">
        <v>-8120</v>
      </c>
      <c r="M196" s="1" t="s">
        <v>103</v>
      </c>
      <c r="N196" s="1" t="s">
        <v>1472</v>
      </c>
      <c r="O196" s="1" t="s">
        <v>1631</v>
      </c>
      <c r="P196" s="1" t="s">
        <v>127</v>
      </c>
      <c r="Q196" s="1" t="s">
        <v>131</v>
      </c>
      <c r="R196" s="1"/>
      <c r="S196" s="9">
        <v>8260</v>
      </c>
      <c r="T196" s="1">
        <v>140</v>
      </c>
      <c r="U196" s="1" t="s">
        <v>243</v>
      </c>
      <c r="V196" s="1" t="s">
        <v>15</v>
      </c>
      <c r="W196" s="1" t="s">
        <v>17</v>
      </c>
      <c r="X196" s="1" t="s">
        <v>111</v>
      </c>
      <c r="Y196" s="1"/>
      <c r="Z196" s="1" t="s">
        <v>985</v>
      </c>
      <c r="AA196" s="1" t="s">
        <v>17</v>
      </c>
      <c r="AB196" s="1">
        <v>-140</v>
      </c>
      <c r="AC196" s="1" t="s">
        <v>17</v>
      </c>
      <c r="AD196" t="s">
        <v>112</v>
      </c>
      <c r="AE196" t="s">
        <v>113</v>
      </c>
      <c r="AF196" t="s">
        <v>1633</v>
      </c>
      <c r="AG196" t="s">
        <v>114</v>
      </c>
      <c r="AH196" t="s">
        <v>1631</v>
      </c>
      <c r="AI196" t="s">
        <v>1631</v>
      </c>
      <c r="AJ196" t="s">
        <v>135</v>
      </c>
      <c r="AK196" t="s">
        <v>200</v>
      </c>
      <c r="AL196" t="s">
        <v>137</v>
      </c>
      <c r="AM196" t="s">
        <v>117</v>
      </c>
      <c r="AN196" t="s">
        <v>1634</v>
      </c>
      <c r="AO196" t="s">
        <v>246</v>
      </c>
      <c r="AP196" t="s">
        <v>119</v>
      </c>
      <c r="AQ196" t="s">
        <v>119</v>
      </c>
      <c r="AR196" t="s">
        <v>1634</v>
      </c>
      <c r="AS196" t="s">
        <v>247</v>
      </c>
      <c r="AT196" t="s">
        <v>728</v>
      </c>
    </row>
    <row r="197" spans="1:46">
      <c r="A197" s="1" t="s">
        <v>1635</v>
      </c>
      <c r="B197" s="1" t="s">
        <v>1636</v>
      </c>
      <c r="C197" s="1" t="s">
        <v>1637</v>
      </c>
      <c r="D197" s="1" t="s">
        <v>101</v>
      </c>
      <c r="E197" s="1" t="s">
        <v>102</v>
      </c>
      <c r="F197" s="1" t="s">
        <v>103</v>
      </c>
      <c r="G197" s="1" t="s">
        <v>921</v>
      </c>
      <c r="H197" s="1" t="s">
        <v>529</v>
      </c>
      <c r="I197" s="1" t="s">
        <v>106</v>
      </c>
      <c r="J197" s="1" t="s">
        <v>107</v>
      </c>
      <c r="K197" s="1"/>
      <c r="L197" s="9">
        <v>69744.91</v>
      </c>
      <c r="M197" s="1" t="s">
        <v>103</v>
      </c>
      <c r="N197" s="1" t="s">
        <v>921</v>
      </c>
      <c r="O197" s="1"/>
      <c r="P197" s="1" t="s">
        <v>106</v>
      </c>
      <c r="Q197" s="1" t="s">
        <v>108</v>
      </c>
      <c r="R197" s="1" t="s">
        <v>109</v>
      </c>
      <c r="S197" s="9">
        <v>-69744.91</v>
      </c>
      <c r="T197" s="1">
        <v>0</v>
      </c>
      <c r="U197" s="1" t="s">
        <v>110</v>
      </c>
      <c r="V197" s="1" t="s">
        <v>15</v>
      </c>
      <c r="W197" s="1" t="s">
        <v>17</v>
      </c>
      <c r="X197" s="1" t="s">
        <v>111</v>
      </c>
      <c r="Y197" s="1"/>
      <c r="Z197" s="1" t="s">
        <v>529</v>
      </c>
      <c r="AA197" s="1" t="s">
        <v>17</v>
      </c>
      <c r="AB197" s="1">
        <v>0</v>
      </c>
      <c r="AC197" s="1" t="s">
        <v>17</v>
      </c>
      <c r="AD197" t="s">
        <v>112</v>
      </c>
      <c r="AE197" t="s">
        <v>113</v>
      </c>
      <c r="AF197" t="s">
        <v>529</v>
      </c>
      <c r="AG197" t="s">
        <v>114</v>
      </c>
      <c r="AH197" t="s">
        <v>1638</v>
      </c>
      <c r="AI197" t="s">
        <v>1638</v>
      </c>
      <c r="AJ197" t="s">
        <v>17</v>
      </c>
      <c r="AK197" t="s">
        <v>116</v>
      </c>
      <c r="AL197" t="s">
        <v>17</v>
      </c>
      <c r="AM197" t="s">
        <v>117</v>
      </c>
      <c r="AN197" t="s">
        <v>921</v>
      </c>
      <c r="AO197" t="s">
        <v>1639</v>
      </c>
      <c r="AP197" t="s">
        <v>119</v>
      </c>
      <c r="AQ197" t="s">
        <v>119</v>
      </c>
      <c r="AR197" t="s">
        <v>921</v>
      </c>
      <c r="AS197" t="s">
        <v>1640</v>
      </c>
      <c r="AT197" t="s">
        <v>921</v>
      </c>
    </row>
    <row r="198" spans="1:46">
      <c r="A198" s="1" t="s">
        <v>1641</v>
      </c>
      <c r="B198" s="1" t="s">
        <v>1642</v>
      </c>
      <c r="C198" s="1" t="s">
        <v>1643</v>
      </c>
      <c r="D198" s="1" t="s">
        <v>36</v>
      </c>
      <c r="E198" s="1" t="s">
        <v>124</v>
      </c>
      <c r="F198" s="1" t="s">
        <v>103</v>
      </c>
      <c r="G198" s="1" t="s">
        <v>1644</v>
      </c>
      <c r="H198" s="1" t="s">
        <v>1645</v>
      </c>
      <c r="I198" s="1" t="s">
        <v>127</v>
      </c>
      <c r="J198" s="1" t="s">
        <v>241</v>
      </c>
      <c r="K198" s="1" t="s">
        <v>1646</v>
      </c>
      <c r="L198" s="9">
        <v>-8120</v>
      </c>
      <c r="M198" s="1" t="s">
        <v>103</v>
      </c>
      <c r="N198" s="1" t="s">
        <v>1644</v>
      </c>
      <c r="O198" s="1" t="s">
        <v>1645</v>
      </c>
      <c r="P198" s="1" t="s">
        <v>127</v>
      </c>
      <c r="Q198" s="1" t="s">
        <v>131</v>
      </c>
      <c r="R198" s="1"/>
      <c r="S198" s="9">
        <v>8260</v>
      </c>
      <c r="T198" s="1">
        <v>140</v>
      </c>
      <c r="U198" s="1" t="s">
        <v>243</v>
      </c>
      <c r="V198" s="1" t="s">
        <v>15</v>
      </c>
      <c r="W198" s="1" t="s">
        <v>17</v>
      </c>
      <c r="X198" s="1" t="s">
        <v>111</v>
      </c>
      <c r="Y198" s="1"/>
      <c r="Z198" s="1" t="s">
        <v>1083</v>
      </c>
      <c r="AA198" s="1" t="s">
        <v>17</v>
      </c>
      <c r="AB198" s="1">
        <v>-140</v>
      </c>
      <c r="AC198" s="1" t="s">
        <v>17</v>
      </c>
      <c r="AD198" t="s">
        <v>112</v>
      </c>
      <c r="AE198" t="s">
        <v>113</v>
      </c>
      <c r="AF198" t="s">
        <v>1647</v>
      </c>
      <c r="AG198" t="s">
        <v>114</v>
      </c>
      <c r="AH198" t="s">
        <v>1645</v>
      </c>
      <c r="AI198" t="s">
        <v>1645</v>
      </c>
      <c r="AJ198" t="s">
        <v>149</v>
      </c>
      <c r="AK198" t="s">
        <v>161</v>
      </c>
      <c r="AL198" t="s">
        <v>137</v>
      </c>
      <c r="AM198" t="s">
        <v>117</v>
      </c>
      <c r="AN198" t="s">
        <v>1648</v>
      </c>
      <c r="AO198" t="s">
        <v>246</v>
      </c>
      <c r="AP198" t="s">
        <v>119</v>
      </c>
      <c r="AQ198" t="s">
        <v>119</v>
      </c>
      <c r="AR198" t="s">
        <v>1648</v>
      </c>
      <c r="AS198" t="s">
        <v>247</v>
      </c>
      <c r="AT198" t="s">
        <v>1649</v>
      </c>
    </row>
    <row r="199" spans="1:46">
      <c r="A199" s="1" t="s">
        <v>1650</v>
      </c>
      <c r="B199" s="1" t="s">
        <v>1651</v>
      </c>
      <c r="C199" s="1" t="s">
        <v>1652</v>
      </c>
      <c r="D199" s="1" t="s">
        <v>101</v>
      </c>
      <c r="E199" s="1" t="s">
        <v>352</v>
      </c>
      <c r="F199" s="1" t="s">
        <v>103</v>
      </c>
      <c r="G199" s="1" t="s">
        <v>1389</v>
      </c>
      <c r="H199" s="1" t="s">
        <v>384</v>
      </c>
      <c r="I199" s="1" t="s">
        <v>106</v>
      </c>
      <c r="J199" s="1" t="s">
        <v>107</v>
      </c>
      <c r="K199" s="1"/>
      <c r="L199" s="9">
        <v>17803</v>
      </c>
      <c r="M199" s="1" t="s">
        <v>103</v>
      </c>
      <c r="N199" s="1" t="s">
        <v>1389</v>
      </c>
      <c r="O199" s="1"/>
      <c r="P199" s="1" t="s">
        <v>106</v>
      </c>
      <c r="Q199" s="1" t="s">
        <v>108</v>
      </c>
      <c r="R199" s="1" t="s">
        <v>109</v>
      </c>
      <c r="S199" s="9">
        <v>-17803</v>
      </c>
      <c r="T199" s="1">
        <v>0</v>
      </c>
      <c r="U199" s="1" t="s">
        <v>356</v>
      </c>
      <c r="V199" s="1" t="s">
        <v>15</v>
      </c>
      <c r="W199" s="1" t="s">
        <v>17</v>
      </c>
      <c r="X199" s="1" t="s">
        <v>111</v>
      </c>
      <c r="Y199" s="1"/>
      <c r="Z199" s="1" t="s">
        <v>384</v>
      </c>
      <c r="AA199" s="1" t="s">
        <v>17</v>
      </c>
      <c r="AB199" s="1">
        <v>0</v>
      </c>
      <c r="AC199" s="1" t="s">
        <v>17</v>
      </c>
      <c r="AD199" t="s">
        <v>112</v>
      </c>
      <c r="AE199" t="s">
        <v>113</v>
      </c>
      <c r="AF199" t="s">
        <v>384</v>
      </c>
      <c r="AG199" t="s">
        <v>114</v>
      </c>
      <c r="AH199" t="s">
        <v>1653</v>
      </c>
      <c r="AI199" t="s">
        <v>1653</v>
      </c>
      <c r="AJ199" t="s">
        <v>17</v>
      </c>
      <c r="AK199" t="s">
        <v>179</v>
      </c>
      <c r="AL199" t="s">
        <v>17</v>
      </c>
      <c r="AM199" t="s">
        <v>117</v>
      </c>
      <c r="AN199" t="s">
        <v>1389</v>
      </c>
      <c r="AO199" t="s">
        <v>1654</v>
      </c>
      <c r="AP199" t="s">
        <v>119</v>
      </c>
      <c r="AQ199" t="s">
        <v>119</v>
      </c>
      <c r="AR199" t="s">
        <v>1389</v>
      </c>
      <c r="AS199" t="s">
        <v>1655</v>
      </c>
      <c r="AT199" t="s">
        <v>1389</v>
      </c>
    </row>
    <row r="200" spans="1:46">
      <c r="A200" s="1" t="s">
        <v>1656</v>
      </c>
      <c r="B200" s="1" t="s">
        <v>1657</v>
      </c>
      <c r="C200" s="1" t="s">
        <v>1658</v>
      </c>
      <c r="D200" s="1" t="s">
        <v>40</v>
      </c>
      <c r="E200" s="1" t="s">
        <v>124</v>
      </c>
      <c r="F200" s="1" t="s">
        <v>103</v>
      </c>
      <c r="G200" s="1" t="s">
        <v>443</v>
      </c>
      <c r="H200" s="1" t="s">
        <v>1659</v>
      </c>
      <c r="I200" s="1" t="s">
        <v>127</v>
      </c>
      <c r="J200" s="1" t="s">
        <v>128</v>
      </c>
      <c r="K200" s="1" t="s">
        <v>129</v>
      </c>
      <c r="L200" s="9">
        <v>-14870</v>
      </c>
      <c r="M200" s="1" t="s">
        <v>103</v>
      </c>
      <c r="N200" s="1" t="s">
        <v>443</v>
      </c>
      <c r="O200" s="1" t="s">
        <v>1659</v>
      </c>
      <c r="P200" s="1" t="s">
        <v>127</v>
      </c>
      <c r="Q200" s="1" t="s">
        <v>131</v>
      </c>
      <c r="R200" s="1"/>
      <c r="S200" s="9">
        <v>14870.62</v>
      </c>
      <c r="T200" s="1">
        <v>0.62000000000080036</v>
      </c>
      <c r="U200" s="1" t="s">
        <v>146</v>
      </c>
      <c r="V200" s="1" t="s">
        <v>15</v>
      </c>
      <c r="W200" s="1" t="s">
        <v>17</v>
      </c>
      <c r="X200" s="1" t="s">
        <v>111</v>
      </c>
      <c r="Y200" s="1"/>
      <c r="Z200" s="1" t="s">
        <v>1090</v>
      </c>
      <c r="AA200" s="1" t="s">
        <v>17</v>
      </c>
      <c r="AB200" s="1">
        <v>0</v>
      </c>
      <c r="AC200" s="1" t="s">
        <v>17</v>
      </c>
      <c r="AD200" t="s">
        <v>112</v>
      </c>
      <c r="AE200" t="s">
        <v>113</v>
      </c>
      <c r="AF200" t="s">
        <v>1660</v>
      </c>
      <c r="AG200" t="s">
        <v>114</v>
      </c>
      <c r="AH200" t="s">
        <v>1659</v>
      </c>
      <c r="AI200" t="s">
        <v>1659</v>
      </c>
      <c r="AJ200" t="s">
        <v>135</v>
      </c>
      <c r="AK200" t="s">
        <v>200</v>
      </c>
      <c r="AL200" t="s">
        <v>137</v>
      </c>
      <c r="AM200" t="s">
        <v>117</v>
      </c>
      <c r="AN200" t="s">
        <v>395</v>
      </c>
      <c r="AO200" t="s">
        <v>1400</v>
      </c>
      <c r="AP200" t="s">
        <v>119</v>
      </c>
      <c r="AQ200" t="s">
        <v>119</v>
      </c>
      <c r="AR200" t="s">
        <v>395</v>
      </c>
      <c r="AS200" t="s">
        <v>1401</v>
      </c>
      <c r="AT200" t="s">
        <v>443</v>
      </c>
    </row>
    <row r="201" spans="1:46">
      <c r="A201" s="1" t="s">
        <v>1661</v>
      </c>
      <c r="B201" s="1" t="s">
        <v>1662</v>
      </c>
      <c r="C201" s="1" t="s">
        <v>1663</v>
      </c>
      <c r="D201" s="1" t="s">
        <v>40</v>
      </c>
      <c r="E201" s="1" t="s">
        <v>124</v>
      </c>
      <c r="F201" s="1" t="s">
        <v>103</v>
      </c>
      <c r="G201" s="1" t="s">
        <v>305</v>
      </c>
      <c r="H201" s="1" t="s">
        <v>1664</v>
      </c>
      <c r="I201" s="1" t="s">
        <v>127</v>
      </c>
      <c r="J201" s="1" t="s">
        <v>128</v>
      </c>
      <c r="K201" s="1" t="s">
        <v>129</v>
      </c>
      <c r="L201" s="9">
        <v>-21572</v>
      </c>
      <c r="M201" s="1" t="s">
        <v>103</v>
      </c>
      <c r="N201" s="1" t="s">
        <v>305</v>
      </c>
      <c r="O201" s="1" t="s">
        <v>1664</v>
      </c>
      <c r="P201" s="1" t="s">
        <v>127</v>
      </c>
      <c r="Q201" s="1" t="s">
        <v>131</v>
      </c>
      <c r="R201" s="1"/>
      <c r="S201" s="9">
        <v>21572.87</v>
      </c>
      <c r="T201" s="1">
        <v>0.86999999999898137</v>
      </c>
      <c r="U201" s="1" t="s">
        <v>146</v>
      </c>
      <c r="V201" s="1" t="s">
        <v>15</v>
      </c>
      <c r="W201" s="1" t="s">
        <v>17</v>
      </c>
      <c r="X201" s="1" t="s">
        <v>111</v>
      </c>
      <c r="Y201" s="1"/>
      <c r="Z201" s="1" t="s">
        <v>491</v>
      </c>
      <c r="AA201" s="1" t="s">
        <v>17</v>
      </c>
      <c r="AB201" s="1">
        <v>0</v>
      </c>
      <c r="AC201" s="1" t="s">
        <v>17</v>
      </c>
      <c r="AD201" t="s">
        <v>112</v>
      </c>
      <c r="AE201" t="s">
        <v>113</v>
      </c>
      <c r="AF201" t="s">
        <v>1665</v>
      </c>
      <c r="AG201" t="s">
        <v>114</v>
      </c>
      <c r="AH201" t="s">
        <v>1664</v>
      </c>
      <c r="AI201" t="s">
        <v>1664</v>
      </c>
      <c r="AJ201" t="s">
        <v>149</v>
      </c>
      <c r="AK201" t="s">
        <v>308</v>
      </c>
      <c r="AL201" t="s">
        <v>137</v>
      </c>
      <c r="AM201" t="s">
        <v>117</v>
      </c>
      <c r="AN201" t="s">
        <v>576</v>
      </c>
      <c r="AO201" t="s">
        <v>1666</v>
      </c>
      <c r="AP201" t="s">
        <v>119</v>
      </c>
      <c r="AQ201" t="s">
        <v>119</v>
      </c>
      <c r="AR201" t="s">
        <v>576</v>
      </c>
      <c r="AS201" t="s">
        <v>1667</v>
      </c>
      <c r="AT201" t="s">
        <v>1123</v>
      </c>
    </row>
    <row r="202" spans="1:46">
      <c r="A202" s="1" t="s">
        <v>1668</v>
      </c>
      <c r="B202" s="1" t="s">
        <v>1669</v>
      </c>
      <c r="C202" s="1" t="s">
        <v>1670</v>
      </c>
      <c r="D202" s="1" t="s">
        <v>101</v>
      </c>
      <c r="E202" s="1" t="s">
        <v>124</v>
      </c>
      <c r="F202" s="1" t="s">
        <v>103</v>
      </c>
      <c r="G202" s="1" t="s">
        <v>305</v>
      </c>
      <c r="H202" s="1" t="s">
        <v>1671</v>
      </c>
      <c r="I202" s="1" t="s">
        <v>127</v>
      </c>
      <c r="J202" s="1" t="s">
        <v>128</v>
      </c>
      <c r="K202" s="1" t="s">
        <v>129</v>
      </c>
      <c r="L202" s="9">
        <v>-18640.62</v>
      </c>
      <c r="M202" s="1" t="s">
        <v>103</v>
      </c>
      <c r="N202" s="1" t="s">
        <v>1672</v>
      </c>
      <c r="O202" s="1" t="s">
        <v>1671</v>
      </c>
      <c r="P202" s="1" t="s">
        <v>127</v>
      </c>
      <c r="Q202" s="1" t="s">
        <v>131</v>
      </c>
      <c r="R202" s="1"/>
      <c r="S202" s="9">
        <v>18640.62</v>
      </c>
      <c r="T202" s="1">
        <v>0</v>
      </c>
      <c r="U202" s="1" t="s">
        <v>132</v>
      </c>
      <c r="V202" s="1" t="s">
        <v>15</v>
      </c>
      <c r="W202" s="1" t="s">
        <v>17</v>
      </c>
      <c r="X202" s="1" t="s">
        <v>111</v>
      </c>
      <c r="Y202" s="1"/>
      <c r="Z202" s="1" t="s">
        <v>491</v>
      </c>
      <c r="AA202" s="1" t="s">
        <v>17</v>
      </c>
      <c r="AB202" s="1">
        <v>0</v>
      </c>
      <c r="AC202" s="1" t="s">
        <v>17</v>
      </c>
      <c r="AD202" t="s">
        <v>112</v>
      </c>
      <c r="AE202" t="s">
        <v>113</v>
      </c>
      <c r="AF202" t="s">
        <v>1673</v>
      </c>
      <c r="AG202" t="s">
        <v>114</v>
      </c>
      <c r="AH202" t="s">
        <v>1671</v>
      </c>
      <c r="AI202" t="s">
        <v>1671</v>
      </c>
      <c r="AJ202" t="s">
        <v>149</v>
      </c>
      <c r="AK202" t="s">
        <v>189</v>
      </c>
      <c r="AL202" t="s">
        <v>137</v>
      </c>
      <c r="AM202" t="s">
        <v>117</v>
      </c>
      <c r="AN202" t="s">
        <v>645</v>
      </c>
      <c r="AO202" t="s">
        <v>707</v>
      </c>
      <c r="AP202" t="s">
        <v>119</v>
      </c>
      <c r="AQ202" t="s">
        <v>119</v>
      </c>
      <c r="AR202" t="s">
        <v>645</v>
      </c>
      <c r="AS202" t="s">
        <v>708</v>
      </c>
      <c r="AT202" t="s">
        <v>1674</v>
      </c>
    </row>
    <row r="203" spans="1:46">
      <c r="A203" s="1" t="s">
        <v>1675</v>
      </c>
      <c r="B203" s="1" t="s">
        <v>1676</v>
      </c>
      <c r="C203" s="1" t="s">
        <v>1677</v>
      </c>
      <c r="D203" s="1" t="s">
        <v>101</v>
      </c>
      <c r="E203" s="1" t="s">
        <v>124</v>
      </c>
      <c r="F203" s="1" t="s">
        <v>103</v>
      </c>
      <c r="G203" s="1" t="s">
        <v>1678</v>
      </c>
      <c r="H203" s="1" t="s">
        <v>1679</v>
      </c>
      <c r="I203" s="1" t="s">
        <v>127</v>
      </c>
      <c r="J203" s="1" t="s">
        <v>128</v>
      </c>
      <c r="K203" s="1" t="s">
        <v>129</v>
      </c>
      <c r="L203" s="9">
        <v>-15498.94</v>
      </c>
      <c r="M203" s="1" t="s">
        <v>103</v>
      </c>
      <c r="N203" s="1" t="s">
        <v>1678</v>
      </c>
      <c r="O203" s="1" t="s">
        <v>1679</v>
      </c>
      <c r="P203" s="1" t="s">
        <v>127</v>
      </c>
      <c r="Q203" s="1" t="s">
        <v>131</v>
      </c>
      <c r="R203" s="1"/>
      <c r="S203" s="9">
        <v>15498.94</v>
      </c>
      <c r="T203" s="1">
        <v>0</v>
      </c>
      <c r="U203" s="1" t="s">
        <v>132</v>
      </c>
      <c r="V203" s="1" t="s">
        <v>15</v>
      </c>
      <c r="W203" s="1" t="s">
        <v>17</v>
      </c>
      <c r="X203" s="1" t="s">
        <v>111</v>
      </c>
      <c r="Y203" s="1"/>
      <c r="Z203" s="1" t="s">
        <v>426</v>
      </c>
      <c r="AA203" s="1" t="s">
        <v>17</v>
      </c>
      <c r="AB203" s="1">
        <v>0</v>
      </c>
      <c r="AC203" s="1" t="s">
        <v>17</v>
      </c>
      <c r="AD203" t="s">
        <v>112</v>
      </c>
      <c r="AE203" t="s">
        <v>113</v>
      </c>
      <c r="AF203" t="s">
        <v>1680</v>
      </c>
      <c r="AG203" t="s">
        <v>114</v>
      </c>
      <c r="AH203" t="s">
        <v>1679</v>
      </c>
      <c r="AI203" t="s">
        <v>1679</v>
      </c>
      <c r="AJ203" t="s">
        <v>135</v>
      </c>
      <c r="AK203" t="s">
        <v>408</v>
      </c>
      <c r="AL203" t="s">
        <v>137</v>
      </c>
      <c r="AM203" t="s">
        <v>117</v>
      </c>
      <c r="AN203" t="s">
        <v>428</v>
      </c>
      <c r="AO203" t="s">
        <v>139</v>
      </c>
      <c r="AP203" t="s">
        <v>119</v>
      </c>
      <c r="AQ203" t="s">
        <v>119</v>
      </c>
      <c r="AR203" t="s">
        <v>428</v>
      </c>
      <c r="AS203" t="s">
        <v>140</v>
      </c>
      <c r="AT203" t="s">
        <v>964</v>
      </c>
    </row>
    <row r="204" spans="1:46">
      <c r="A204" s="1" t="s">
        <v>1681</v>
      </c>
      <c r="B204" s="1" t="s">
        <v>1682</v>
      </c>
      <c r="C204" s="1" t="s">
        <v>1683</v>
      </c>
      <c r="D204" s="1" t="s">
        <v>101</v>
      </c>
      <c r="E204" s="1" t="s">
        <v>102</v>
      </c>
      <c r="F204" s="1" t="s">
        <v>103</v>
      </c>
      <c r="G204" s="1" t="s">
        <v>261</v>
      </c>
      <c r="H204" s="1" t="s">
        <v>1684</v>
      </c>
      <c r="I204" s="1" t="s">
        <v>106</v>
      </c>
      <c r="J204" s="1" t="s">
        <v>107</v>
      </c>
      <c r="K204" s="1"/>
      <c r="L204" s="9">
        <v>16546</v>
      </c>
      <c r="M204" s="1" t="s">
        <v>103</v>
      </c>
      <c r="N204" s="1" t="s">
        <v>261</v>
      </c>
      <c r="O204" s="1"/>
      <c r="P204" s="1" t="s">
        <v>106</v>
      </c>
      <c r="Q204" s="1" t="s">
        <v>108</v>
      </c>
      <c r="R204" s="1" t="s">
        <v>109</v>
      </c>
      <c r="S204" s="9">
        <v>-16546</v>
      </c>
      <c r="T204" s="1">
        <v>0</v>
      </c>
      <c r="U204" s="1" t="s">
        <v>110</v>
      </c>
      <c r="V204" s="1" t="s">
        <v>15</v>
      </c>
      <c r="W204" s="1" t="s">
        <v>17</v>
      </c>
      <c r="X204" s="1" t="s">
        <v>111</v>
      </c>
      <c r="Y204" s="1"/>
      <c r="Z204" s="1" t="s">
        <v>1684</v>
      </c>
      <c r="AA204" s="1" t="s">
        <v>17</v>
      </c>
      <c r="AB204" s="1">
        <v>0</v>
      </c>
      <c r="AC204" s="1" t="s">
        <v>17</v>
      </c>
      <c r="AD204" t="s">
        <v>112</v>
      </c>
      <c r="AE204" t="s">
        <v>113</v>
      </c>
      <c r="AF204" t="s">
        <v>1684</v>
      </c>
      <c r="AG204" t="s">
        <v>114</v>
      </c>
      <c r="AH204" t="s">
        <v>1685</v>
      </c>
      <c r="AI204" t="s">
        <v>1685</v>
      </c>
      <c r="AJ204" t="s">
        <v>17</v>
      </c>
      <c r="AK204" t="s">
        <v>408</v>
      </c>
      <c r="AL204" t="s">
        <v>17</v>
      </c>
      <c r="AM204" t="s">
        <v>117</v>
      </c>
      <c r="AN204" t="s">
        <v>261</v>
      </c>
      <c r="AO204" t="s">
        <v>1686</v>
      </c>
      <c r="AP204" t="s">
        <v>119</v>
      </c>
      <c r="AQ204" t="s">
        <v>119</v>
      </c>
      <c r="AR204" t="s">
        <v>261</v>
      </c>
      <c r="AS204" t="s">
        <v>1687</v>
      </c>
      <c r="AT204" t="s">
        <v>261</v>
      </c>
    </row>
    <row r="205" spans="1:46">
      <c r="A205" s="1" t="s">
        <v>1688</v>
      </c>
      <c r="B205" s="1" t="s">
        <v>1689</v>
      </c>
      <c r="C205" s="1" t="s">
        <v>1690</v>
      </c>
      <c r="D205" s="1" t="s">
        <v>101</v>
      </c>
      <c r="E205" s="1" t="s">
        <v>124</v>
      </c>
      <c r="F205" s="1" t="s">
        <v>103</v>
      </c>
      <c r="G205" s="1" t="s">
        <v>1691</v>
      </c>
      <c r="H205" s="1" t="s">
        <v>1692</v>
      </c>
      <c r="I205" s="1" t="s">
        <v>127</v>
      </c>
      <c r="J205" s="1" t="s">
        <v>128</v>
      </c>
      <c r="K205" s="1" t="s">
        <v>129</v>
      </c>
      <c r="L205" s="9">
        <v>-17174.509999999998</v>
      </c>
      <c r="M205" s="1" t="s">
        <v>103</v>
      </c>
      <c r="N205" s="1" t="s">
        <v>245</v>
      </c>
      <c r="O205" s="1" t="s">
        <v>1692</v>
      </c>
      <c r="P205" s="1" t="s">
        <v>127</v>
      </c>
      <c r="Q205" s="1" t="s">
        <v>131</v>
      </c>
      <c r="R205" s="1"/>
      <c r="S205" s="9">
        <v>17174.509999999998</v>
      </c>
      <c r="T205" s="1">
        <v>0</v>
      </c>
      <c r="U205" s="1" t="s">
        <v>132</v>
      </c>
      <c r="V205" s="1" t="s">
        <v>15</v>
      </c>
      <c r="W205" s="1" t="s">
        <v>17</v>
      </c>
      <c r="X205" s="1" t="s">
        <v>111</v>
      </c>
      <c r="Y205" s="1"/>
      <c r="Z205" s="1" t="s">
        <v>735</v>
      </c>
      <c r="AA205" s="1" t="s">
        <v>17</v>
      </c>
      <c r="AB205" s="1">
        <v>0</v>
      </c>
      <c r="AC205" s="1" t="s">
        <v>17</v>
      </c>
      <c r="AD205" t="s">
        <v>112</v>
      </c>
      <c r="AE205" t="s">
        <v>113</v>
      </c>
      <c r="AF205" t="s">
        <v>1693</v>
      </c>
      <c r="AG205" t="s">
        <v>114</v>
      </c>
      <c r="AH205" t="s">
        <v>1692</v>
      </c>
      <c r="AI205" t="s">
        <v>1692</v>
      </c>
      <c r="AJ205" t="s">
        <v>149</v>
      </c>
      <c r="AK205" t="s">
        <v>150</v>
      </c>
      <c r="AL205" t="s">
        <v>137</v>
      </c>
      <c r="AM205" t="s">
        <v>117</v>
      </c>
      <c r="AN205" t="s">
        <v>604</v>
      </c>
      <c r="AO205" t="s">
        <v>321</v>
      </c>
      <c r="AP205" t="s">
        <v>119</v>
      </c>
      <c r="AQ205" t="s">
        <v>119</v>
      </c>
      <c r="AR205" t="s">
        <v>604</v>
      </c>
      <c r="AS205" t="s">
        <v>322</v>
      </c>
      <c r="AT205" t="s">
        <v>245</v>
      </c>
    </row>
    <row r="206" spans="1:46">
      <c r="A206" s="1" t="s">
        <v>1694</v>
      </c>
      <c r="B206" s="1" t="s">
        <v>1695</v>
      </c>
      <c r="C206" s="1" t="s">
        <v>1696</v>
      </c>
      <c r="D206" s="1" t="s">
        <v>40</v>
      </c>
      <c r="E206" s="1" t="s">
        <v>124</v>
      </c>
      <c r="F206" s="1" t="s">
        <v>103</v>
      </c>
      <c r="G206" s="1" t="s">
        <v>799</v>
      </c>
      <c r="H206" s="1" t="s">
        <v>1697</v>
      </c>
      <c r="I206" s="1" t="s">
        <v>127</v>
      </c>
      <c r="J206" s="1" t="s">
        <v>128</v>
      </c>
      <c r="K206" s="1" t="s">
        <v>129</v>
      </c>
      <c r="L206" s="9">
        <v>-16965</v>
      </c>
      <c r="M206" s="1" t="s">
        <v>103</v>
      </c>
      <c r="N206" s="1" t="s">
        <v>799</v>
      </c>
      <c r="O206" s="1" t="s">
        <v>1697</v>
      </c>
      <c r="P206" s="1" t="s">
        <v>127</v>
      </c>
      <c r="Q206" s="1" t="s">
        <v>131</v>
      </c>
      <c r="R206" s="1"/>
      <c r="S206" s="9">
        <v>16965.080000000002</v>
      </c>
      <c r="T206" s="1">
        <v>8.000000000174623E-2</v>
      </c>
      <c r="U206" s="1" t="s">
        <v>146</v>
      </c>
      <c r="V206" s="1" t="s">
        <v>15</v>
      </c>
      <c r="W206" s="1" t="s">
        <v>17</v>
      </c>
      <c r="X206" s="1" t="s">
        <v>111</v>
      </c>
      <c r="Y206" s="1"/>
      <c r="Z206" s="1" t="s">
        <v>635</v>
      </c>
      <c r="AA206" s="1" t="s">
        <v>17</v>
      </c>
      <c r="AB206" s="1">
        <v>0</v>
      </c>
      <c r="AC206" s="1" t="s">
        <v>17</v>
      </c>
      <c r="AD206" t="s">
        <v>112</v>
      </c>
      <c r="AE206" t="s">
        <v>113</v>
      </c>
      <c r="AF206" t="s">
        <v>1698</v>
      </c>
      <c r="AG206" t="s">
        <v>114</v>
      </c>
      <c r="AH206" t="s">
        <v>1697</v>
      </c>
      <c r="AI206" t="s">
        <v>1697</v>
      </c>
      <c r="AJ206" t="s">
        <v>149</v>
      </c>
      <c r="AK206" t="s">
        <v>189</v>
      </c>
      <c r="AL206" t="s">
        <v>137</v>
      </c>
      <c r="AM206" t="s">
        <v>117</v>
      </c>
      <c r="AN206" t="s">
        <v>511</v>
      </c>
      <c r="AO206" t="s">
        <v>532</v>
      </c>
      <c r="AP206" t="s">
        <v>119</v>
      </c>
      <c r="AQ206" t="s">
        <v>119</v>
      </c>
      <c r="AR206" t="s">
        <v>511</v>
      </c>
      <c r="AS206" t="s">
        <v>533</v>
      </c>
      <c r="AT206" t="s">
        <v>799</v>
      </c>
    </row>
    <row r="207" spans="1:46">
      <c r="A207" s="1" t="s">
        <v>1699</v>
      </c>
      <c r="B207" s="1" t="s">
        <v>1700</v>
      </c>
      <c r="C207" s="1" t="s">
        <v>1701</v>
      </c>
      <c r="D207" s="1" t="s">
        <v>101</v>
      </c>
      <c r="E207" s="1" t="s">
        <v>124</v>
      </c>
      <c r="F207" s="1" t="s">
        <v>103</v>
      </c>
      <c r="G207" s="1" t="s">
        <v>526</v>
      </c>
      <c r="H207" s="1" t="s">
        <v>1702</v>
      </c>
      <c r="I207" s="1" t="s">
        <v>127</v>
      </c>
      <c r="J207" s="1" t="s">
        <v>128</v>
      </c>
      <c r="K207" s="1" t="s">
        <v>129</v>
      </c>
      <c r="L207" s="9">
        <v>-16336.73</v>
      </c>
      <c r="M207" s="1" t="s">
        <v>103</v>
      </c>
      <c r="N207" s="1" t="s">
        <v>526</v>
      </c>
      <c r="O207" s="1" t="s">
        <v>1702</v>
      </c>
      <c r="P207" s="1" t="s">
        <v>127</v>
      </c>
      <c r="Q207" s="1" t="s">
        <v>131</v>
      </c>
      <c r="R207" s="1"/>
      <c r="S207" s="9">
        <v>16336.73</v>
      </c>
      <c r="T207" s="1">
        <v>0</v>
      </c>
      <c r="U207" s="1" t="s">
        <v>132</v>
      </c>
      <c r="V207" s="1" t="s">
        <v>15</v>
      </c>
      <c r="W207" s="1" t="s">
        <v>17</v>
      </c>
      <c r="X207" s="1" t="s">
        <v>111</v>
      </c>
      <c r="Y207" s="1"/>
      <c r="Z207" s="1" t="s">
        <v>830</v>
      </c>
      <c r="AA207" s="1" t="s">
        <v>17</v>
      </c>
      <c r="AB207" s="1">
        <v>0</v>
      </c>
      <c r="AC207" s="1" t="s">
        <v>17</v>
      </c>
      <c r="AD207" t="s">
        <v>112</v>
      </c>
      <c r="AE207" t="s">
        <v>113</v>
      </c>
      <c r="AF207" t="s">
        <v>1703</v>
      </c>
      <c r="AG207" t="s">
        <v>114</v>
      </c>
      <c r="AH207" t="s">
        <v>1702</v>
      </c>
      <c r="AI207" t="s">
        <v>1702</v>
      </c>
      <c r="AJ207" t="s">
        <v>149</v>
      </c>
      <c r="AK207" t="s">
        <v>116</v>
      </c>
      <c r="AL207" t="s">
        <v>137</v>
      </c>
      <c r="AM207" t="s">
        <v>117</v>
      </c>
      <c r="AN207" t="s">
        <v>690</v>
      </c>
      <c r="AO207" t="s">
        <v>1527</v>
      </c>
      <c r="AP207" t="s">
        <v>119</v>
      </c>
      <c r="AQ207" t="s">
        <v>119</v>
      </c>
      <c r="AR207" t="s">
        <v>690</v>
      </c>
      <c r="AS207" t="s">
        <v>1528</v>
      </c>
      <c r="AT207" t="s">
        <v>526</v>
      </c>
    </row>
    <row r="208" spans="1:46">
      <c r="A208" s="1" t="s">
        <v>1704</v>
      </c>
      <c r="B208" s="1" t="s">
        <v>1705</v>
      </c>
      <c r="C208" s="1" t="s">
        <v>1706</v>
      </c>
      <c r="D208" s="1" t="s">
        <v>101</v>
      </c>
      <c r="E208" s="1" t="s">
        <v>124</v>
      </c>
      <c r="F208" s="1" t="s">
        <v>103</v>
      </c>
      <c r="G208" s="1" t="s">
        <v>753</v>
      </c>
      <c r="H208" s="1" t="s">
        <v>1707</v>
      </c>
      <c r="I208" s="1" t="s">
        <v>127</v>
      </c>
      <c r="J208" s="1" t="s">
        <v>128</v>
      </c>
      <c r="K208" s="1" t="s">
        <v>129</v>
      </c>
      <c r="L208" s="9">
        <v>-6073.9</v>
      </c>
      <c r="M208" s="1" t="s">
        <v>103</v>
      </c>
      <c r="N208" s="1" t="s">
        <v>1079</v>
      </c>
      <c r="O208" s="1" t="s">
        <v>1707</v>
      </c>
      <c r="P208" s="1" t="s">
        <v>127</v>
      </c>
      <c r="Q208" s="1" t="s">
        <v>131</v>
      </c>
      <c r="R208" s="1"/>
      <c r="S208" s="9">
        <v>6073.9</v>
      </c>
      <c r="T208" s="1">
        <v>0</v>
      </c>
      <c r="U208" s="1" t="s">
        <v>132</v>
      </c>
      <c r="V208" s="1" t="s">
        <v>15</v>
      </c>
      <c r="W208" s="1" t="s">
        <v>17</v>
      </c>
      <c r="X208" s="1" t="s">
        <v>111</v>
      </c>
      <c r="Y208" s="1"/>
      <c r="Z208" s="1" t="s">
        <v>735</v>
      </c>
      <c r="AA208" s="1" t="s">
        <v>17</v>
      </c>
      <c r="AB208" s="1">
        <v>0</v>
      </c>
      <c r="AC208" s="1" t="s">
        <v>17</v>
      </c>
      <c r="AD208" t="s">
        <v>112</v>
      </c>
      <c r="AE208" t="s">
        <v>113</v>
      </c>
      <c r="AF208" t="s">
        <v>1708</v>
      </c>
      <c r="AG208" t="s">
        <v>114</v>
      </c>
      <c r="AH208" t="s">
        <v>1707</v>
      </c>
      <c r="AI208" t="s">
        <v>1707</v>
      </c>
      <c r="AJ208" t="s">
        <v>149</v>
      </c>
      <c r="AK208" t="s">
        <v>150</v>
      </c>
      <c r="AL208" t="s">
        <v>137</v>
      </c>
      <c r="AM208" t="s">
        <v>117</v>
      </c>
      <c r="AN208" t="s">
        <v>752</v>
      </c>
      <c r="AO208" t="s">
        <v>1709</v>
      </c>
      <c r="AP208" t="s">
        <v>119</v>
      </c>
      <c r="AQ208" t="s">
        <v>119</v>
      </c>
      <c r="AR208" t="s">
        <v>752</v>
      </c>
      <c r="AS208" t="s">
        <v>1710</v>
      </c>
      <c r="AT208" t="s">
        <v>1079</v>
      </c>
    </row>
    <row r="209" spans="1:46">
      <c r="A209" s="1" t="s">
        <v>1711</v>
      </c>
      <c r="B209" s="1" t="s">
        <v>1712</v>
      </c>
      <c r="C209" s="1" t="s">
        <v>1713</v>
      </c>
      <c r="D209" s="1" t="s">
        <v>101</v>
      </c>
      <c r="E209" s="1" t="s">
        <v>124</v>
      </c>
      <c r="F209" s="1" t="s">
        <v>103</v>
      </c>
      <c r="G209" s="1" t="s">
        <v>1117</v>
      </c>
      <c r="H209" s="1" t="s">
        <v>1714</v>
      </c>
      <c r="I209" s="1" t="s">
        <v>127</v>
      </c>
      <c r="J209" s="1" t="s">
        <v>128</v>
      </c>
      <c r="K209" s="1" t="s">
        <v>129</v>
      </c>
      <c r="L209" s="9">
        <v>-11519.5</v>
      </c>
      <c r="M209" s="1" t="s">
        <v>103</v>
      </c>
      <c r="N209" s="1" t="s">
        <v>1117</v>
      </c>
      <c r="O209" s="1" t="s">
        <v>1714</v>
      </c>
      <c r="P209" s="1" t="s">
        <v>127</v>
      </c>
      <c r="Q209" s="1" t="s">
        <v>131</v>
      </c>
      <c r="R209" s="1"/>
      <c r="S209" s="9">
        <v>11519.5</v>
      </c>
      <c r="T209" s="1">
        <v>0</v>
      </c>
      <c r="U209" s="1" t="s">
        <v>132</v>
      </c>
      <c r="V209" s="1" t="s">
        <v>15</v>
      </c>
      <c r="W209" s="1" t="s">
        <v>17</v>
      </c>
      <c r="X209" s="1" t="s">
        <v>111</v>
      </c>
      <c r="Y209" s="1"/>
      <c r="Z209" s="1" t="s">
        <v>418</v>
      </c>
      <c r="AA209" s="1" t="s">
        <v>17</v>
      </c>
      <c r="AB209" s="1">
        <v>0</v>
      </c>
      <c r="AC209" s="1" t="s">
        <v>17</v>
      </c>
      <c r="AD209" t="s">
        <v>112</v>
      </c>
      <c r="AE209" t="s">
        <v>113</v>
      </c>
      <c r="AF209" t="s">
        <v>1715</v>
      </c>
      <c r="AG209" t="s">
        <v>114</v>
      </c>
      <c r="AH209" t="s">
        <v>1714</v>
      </c>
      <c r="AI209" t="s">
        <v>1714</v>
      </c>
      <c r="AJ209" t="s">
        <v>149</v>
      </c>
      <c r="AK209" t="s">
        <v>308</v>
      </c>
      <c r="AL209" t="s">
        <v>137</v>
      </c>
      <c r="AM209" t="s">
        <v>117</v>
      </c>
      <c r="AN209" t="s">
        <v>305</v>
      </c>
      <c r="AO209" t="s">
        <v>1033</v>
      </c>
      <c r="AP209" t="s">
        <v>119</v>
      </c>
      <c r="AQ209" t="s">
        <v>119</v>
      </c>
      <c r="AR209" t="s">
        <v>305</v>
      </c>
      <c r="AS209" t="s">
        <v>1034</v>
      </c>
      <c r="AT209" t="s">
        <v>1117</v>
      </c>
    </row>
    <row r="210" spans="1:46">
      <c r="A210" s="1" t="s">
        <v>1716</v>
      </c>
      <c r="B210" s="1" t="s">
        <v>1717</v>
      </c>
      <c r="C210" s="1" t="s">
        <v>1718</v>
      </c>
      <c r="D210" s="1" t="s">
        <v>101</v>
      </c>
      <c r="E210" s="1" t="s">
        <v>124</v>
      </c>
      <c r="F210" s="1" t="s">
        <v>103</v>
      </c>
      <c r="G210" s="1" t="s">
        <v>601</v>
      </c>
      <c r="H210" s="1" t="s">
        <v>1719</v>
      </c>
      <c r="I210" s="1" t="s">
        <v>127</v>
      </c>
      <c r="J210" s="1" t="s">
        <v>128</v>
      </c>
      <c r="K210" s="1" t="s">
        <v>129</v>
      </c>
      <c r="L210" s="9">
        <v>-15708.4</v>
      </c>
      <c r="M210" s="1" t="s">
        <v>103</v>
      </c>
      <c r="N210" s="1" t="s">
        <v>1691</v>
      </c>
      <c r="O210" s="1" t="s">
        <v>1719</v>
      </c>
      <c r="P210" s="1" t="s">
        <v>127</v>
      </c>
      <c r="Q210" s="1" t="s">
        <v>131</v>
      </c>
      <c r="R210" s="1"/>
      <c r="S210" s="9">
        <v>15708.4</v>
      </c>
      <c r="T210" s="1">
        <v>0</v>
      </c>
      <c r="U210" s="1" t="s">
        <v>132</v>
      </c>
      <c r="V210" s="1" t="s">
        <v>15</v>
      </c>
      <c r="W210" s="1" t="s">
        <v>17</v>
      </c>
      <c r="X210" s="1" t="s">
        <v>111</v>
      </c>
      <c r="Y210" s="1"/>
      <c r="Z210" s="1" t="s">
        <v>735</v>
      </c>
      <c r="AA210" s="1" t="s">
        <v>17</v>
      </c>
      <c r="AB210" s="1">
        <v>0</v>
      </c>
      <c r="AC210" s="1" t="s">
        <v>17</v>
      </c>
      <c r="AD210" t="s">
        <v>112</v>
      </c>
      <c r="AE210" t="s">
        <v>113</v>
      </c>
      <c r="AF210" t="s">
        <v>1720</v>
      </c>
      <c r="AG210" t="s">
        <v>114</v>
      </c>
      <c r="AH210" t="s">
        <v>1719</v>
      </c>
      <c r="AI210" t="s">
        <v>1719</v>
      </c>
      <c r="AJ210" t="s">
        <v>149</v>
      </c>
      <c r="AK210" t="s">
        <v>150</v>
      </c>
      <c r="AL210" t="s">
        <v>137</v>
      </c>
      <c r="AM210" t="s">
        <v>117</v>
      </c>
      <c r="AN210" t="s">
        <v>604</v>
      </c>
      <c r="AO210" t="s">
        <v>630</v>
      </c>
      <c r="AP210" t="s">
        <v>119</v>
      </c>
      <c r="AQ210" t="s">
        <v>119</v>
      </c>
      <c r="AR210" t="s">
        <v>604</v>
      </c>
      <c r="AS210" t="s">
        <v>631</v>
      </c>
      <c r="AT210" t="s">
        <v>245</v>
      </c>
    </row>
    <row r="211" spans="1:46">
      <c r="A211" s="1" t="s">
        <v>1721</v>
      </c>
      <c r="B211" s="1" t="s">
        <v>1722</v>
      </c>
      <c r="C211" s="1" t="s">
        <v>1723</v>
      </c>
      <c r="D211" s="1" t="s">
        <v>40</v>
      </c>
      <c r="E211" s="1" t="s">
        <v>124</v>
      </c>
      <c r="F211" s="1" t="s">
        <v>103</v>
      </c>
      <c r="G211" s="1" t="s">
        <v>528</v>
      </c>
      <c r="H211" s="1" t="s">
        <v>1724</v>
      </c>
      <c r="I211" s="1" t="s">
        <v>127</v>
      </c>
      <c r="J211" s="1" t="s">
        <v>128</v>
      </c>
      <c r="K211" s="1" t="s">
        <v>129</v>
      </c>
      <c r="L211" s="9">
        <v>-18012</v>
      </c>
      <c r="M211" s="1" t="s">
        <v>103</v>
      </c>
      <c r="N211" s="1" t="s">
        <v>534</v>
      </c>
      <c r="O211" s="1" t="s">
        <v>1724</v>
      </c>
      <c r="P211" s="1" t="s">
        <v>127</v>
      </c>
      <c r="Q211" s="1" t="s">
        <v>131</v>
      </c>
      <c r="R211" s="1"/>
      <c r="S211" s="9">
        <v>18012.3</v>
      </c>
      <c r="T211" s="1">
        <v>0.2999999999992724</v>
      </c>
      <c r="U211" s="1" t="s">
        <v>146</v>
      </c>
      <c r="V211" s="1" t="s">
        <v>15</v>
      </c>
      <c r="W211" s="1" t="s">
        <v>17</v>
      </c>
      <c r="X211" s="1" t="s">
        <v>111</v>
      </c>
      <c r="Y211" s="1"/>
      <c r="Z211" s="1" t="s">
        <v>529</v>
      </c>
      <c r="AA211" s="1" t="s">
        <v>17</v>
      </c>
      <c r="AB211" s="1">
        <v>0</v>
      </c>
      <c r="AC211" s="1" t="s">
        <v>17</v>
      </c>
      <c r="AD211" t="s">
        <v>112</v>
      </c>
      <c r="AE211" t="s">
        <v>113</v>
      </c>
      <c r="AF211" t="s">
        <v>1725</v>
      </c>
      <c r="AG211" t="s">
        <v>114</v>
      </c>
      <c r="AH211" t="s">
        <v>1724</v>
      </c>
      <c r="AI211" t="s">
        <v>1724</v>
      </c>
      <c r="AJ211" t="s">
        <v>149</v>
      </c>
      <c r="AK211" t="s">
        <v>116</v>
      </c>
      <c r="AL211" t="s">
        <v>137</v>
      </c>
      <c r="AM211" t="s">
        <v>117</v>
      </c>
      <c r="AN211" t="s">
        <v>531</v>
      </c>
      <c r="AO211" t="s">
        <v>1726</v>
      </c>
      <c r="AP211" t="s">
        <v>119</v>
      </c>
      <c r="AQ211" t="s">
        <v>119</v>
      </c>
      <c r="AR211" t="s">
        <v>531</v>
      </c>
      <c r="AS211" t="s">
        <v>1727</v>
      </c>
      <c r="AT211" t="s">
        <v>534</v>
      </c>
    </row>
    <row r="212" spans="1:46">
      <c r="A212" s="1" t="s">
        <v>1728</v>
      </c>
      <c r="B212" s="1" t="s">
        <v>1729</v>
      </c>
      <c r="C212" s="1" t="s">
        <v>1730</v>
      </c>
      <c r="D212" s="1" t="s">
        <v>101</v>
      </c>
      <c r="E212" s="1" t="s">
        <v>124</v>
      </c>
      <c r="F212" s="1" t="s">
        <v>103</v>
      </c>
      <c r="G212" s="1" t="s">
        <v>1078</v>
      </c>
      <c r="H212" s="1" t="s">
        <v>1731</v>
      </c>
      <c r="I212" s="1" t="s">
        <v>127</v>
      </c>
      <c r="J212" s="1" t="s">
        <v>128</v>
      </c>
      <c r="K212" s="1" t="s">
        <v>129</v>
      </c>
      <c r="L212" s="9">
        <v>-12776.16</v>
      </c>
      <c r="M212" s="1" t="s">
        <v>103</v>
      </c>
      <c r="N212" s="1" t="s">
        <v>1078</v>
      </c>
      <c r="O212" s="1" t="s">
        <v>1731</v>
      </c>
      <c r="P212" s="1" t="s">
        <v>127</v>
      </c>
      <c r="Q212" s="1" t="s">
        <v>131</v>
      </c>
      <c r="R212" s="1"/>
      <c r="S212" s="9">
        <v>12776.16</v>
      </c>
      <c r="T212" s="1">
        <v>0</v>
      </c>
      <c r="U212" s="1" t="s">
        <v>132</v>
      </c>
      <c r="V212" s="1" t="s">
        <v>15</v>
      </c>
      <c r="W212" s="1" t="s">
        <v>17</v>
      </c>
      <c r="X212" s="1" t="s">
        <v>111</v>
      </c>
      <c r="Y212" s="1"/>
      <c r="Z212" s="1" t="s">
        <v>815</v>
      </c>
      <c r="AA212" s="1" t="s">
        <v>17</v>
      </c>
      <c r="AB212" s="1">
        <v>0</v>
      </c>
      <c r="AC212" s="1" t="s">
        <v>17</v>
      </c>
      <c r="AD212" t="s">
        <v>112</v>
      </c>
      <c r="AE212" t="s">
        <v>113</v>
      </c>
      <c r="AF212" t="s">
        <v>1732</v>
      </c>
      <c r="AG212" t="s">
        <v>114</v>
      </c>
      <c r="AH212" t="s">
        <v>1731</v>
      </c>
      <c r="AI212" t="s">
        <v>1731</v>
      </c>
      <c r="AJ212" t="s">
        <v>149</v>
      </c>
      <c r="AK212" t="s">
        <v>150</v>
      </c>
      <c r="AL212" t="s">
        <v>137</v>
      </c>
      <c r="AM212" t="s">
        <v>117</v>
      </c>
      <c r="AN212" t="s">
        <v>1563</v>
      </c>
      <c r="AO212" t="s">
        <v>1733</v>
      </c>
      <c r="AP212" t="s">
        <v>119</v>
      </c>
      <c r="AQ212" t="s">
        <v>119</v>
      </c>
      <c r="AR212" t="s">
        <v>1563</v>
      </c>
      <c r="AS212" t="s">
        <v>1734</v>
      </c>
      <c r="AT212" t="s">
        <v>813</v>
      </c>
    </row>
    <row r="213" spans="1:46">
      <c r="A213" s="1" t="s">
        <v>1735</v>
      </c>
      <c r="B213" s="1" t="s">
        <v>1736</v>
      </c>
      <c r="C213" s="1" t="s">
        <v>1737</v>
      </c>
      <c r="D213" s="1" t="s">
        <v>101</v>
      </c>
      <c r="E213" s="1" t="s">
        <v>124</v>
      </c>
      <c r="F213" s="1" t="s">
        <v>103</v>
      </c>
      <c r="G213" s="1" t="s">
        <v>1649</v>
      </c>
      <c r="H213" s="1" t="s">
        <v>1738</v>
      </c>
      <c r="I213" s="1" t="s">
        <v>127</v>
      </c>
      <c r="J213" s="1" t="s">
        <v>128</v>
      </c>
      <c r="K213" s="1" t="s">
        <v>129</v>
      </c>
      <c r="L213" s="9">
        <v>-14870.62</v>
      </c>
      <c r="M213" s="1" t="s">
        <v>103</v>
      </c>
      <c r="N213" s="1" t="s">
        <v>1649</v>
      </c>
      <c r="O213" s="1" t="s">
        <v>1738</v>
      </c>
      <c r="P213" s="1" t="s">
        <v>127</v>
      </c>
      <c r="Q213" s="1" t="s">
        <v>131</v>
      </c>
      <c r="R213" s="1"/>
      <c r="S213" s="9">
        <v>14870.62</v>
      </c>
      <c r="T213" s="1">
        <v>0</v>
      </c>
      <c r="U213" s="1" t="s">
        <v>132</v>
      </c>
      <c r="V213" s="1" t="s">
        <v>15</v>
      </c>
      <c r="W213" s="1" t="s">
        <v>17</v>
      </c>
      <c r="X213" s="1" t="s">
        <v>111</v>
      </c>
      <c r="Y213" s="1"/>
      <c r="Z213" s="1" t="s">
        <v>159</v>
      </c>
      <c r="AA213" s="1" t="s">
        <v>17</v>
      </c>
      <c r="AB213" s="1">
        <v>0</v>
      </c>
      <c r="AC213" s="1" t="s">
        <v>17</v>
      </c>
      <c r="AD213" t="s">
        <v>112</v>
      </c>
      <c r="AE213" t="s">
        <v>113</v>
      </c>
      <c r="AF213" t="s">
        <v>1739</v>
      </c>
      <c r="AG213" t="s">
        <v>114</v>
      </c>
      <c r="AH213" t="s">
        <v>1738</v>
      </c>
      <c r="AI213" t="s">
        <v>1738</v>
      </c>
      <c r="AJ213" t="s">
        <v>149</v>
      </c>
      <c r="AK213" t="s">
        <v>161</v>
      </c>
      <c r="AL213" t="s">
        <v>137</v>
      </c>
      <c r="AM213" t="s">
        <v>117</v>
      </c>
      <c r="AN213" t="s">
        <v>162</v>
      </c>
      <c r="AO213" t="s">
        <v>449</v>
      </c>
      <c r="AP213" t="s">
        <v>119</v>
      </c>
      <c r="AQ213" t="s">
        <v>119</v>
      </c>
      <c r="AR213" t="s">
        <v>162</v>
      </c>
      <c r="AS213" t="s">
        <v>450</v>
      </c>
      <c r="AT213" t="s">
        <v>1649</v>
      </c>
    </row>
    <row r="214" spans="1:46">
      <c r="A214" s="1" t="s">
        <v>1740</v>
      </c>
      <c r="B214" s="1" t="s">
        <v>1741</v>
      </c>
      <c r="C214" s="1" t="s">
        <v>1742</v>
      </c>
      <c r="D214" s="1" t="s">
        <v>101</v>
      </c>
      <c r="E214" s="1" t="s">
        <v>124</v>
      </c>
      <c r="F214" s="1" t="s">
        <v>103</v>
      </c>
      <c r="G214" s="1" t="s">
        <v>1624</v>
      </c>
      <c r="H214" s="1" t="s">
        <v>1743</v>
      </c>
      <c r="I214" s="1" t="s">
        <v>127</v>
      </c>
      <c r="J214" s="1" t="s">
        <v>128</v>
      </c>
      <c r="K214" s="1" t="s">
        <v>129</v>
      </c>
      <c r="L214" s="9">
        <v>-17593.400000000001</v>
      </c>
      <c r="M214" s="1" t="s">
        <v>103</v>
      </c>
      <c r="N214" s="1" t="s">
        <v>1624</v>
      </c>
      <c r="O214" s="1" t="s">
        <v>1743</v>
      </c>
      <c r="P214" s="1" t="s">
        <v>127</v>
      </c>
      <c r="Q214" s="1" t="s">
        <v>131</v>
      </c>
      <c r="R214" s="1"/>
      <c r="S214" s="9">
        <v>17593.400000000001</v>
      </c>
      <c r="T214" s="1">
        <v>0</v>
      </c>
      <c r="U214" s="1" t="s">
        <v>132</v>
      </c>
      <c r="V214" s="1" t="s">
        <v>15</v>
      </c>
      <c r="W214" s="1" t="s">
        <v>17</v>
      </c>
      <c r="X214" s="1" t="s">
        <v>111</v>
      </c>
      <c r="Y214" s="1"/>
      <c r="Z214" s="1" t="s">
        <v>529</v>
      </c>
      <c r="AA214" s="1" t="s">
        <v>17</v>
      </c>
      <c r="AB214" s="1">
        <v>0</v>
      </c>
      <c r="AC214" s="1" t="s">
        <v>17</v>
      </c>
      <c r="AD214" t="s">
        <v>112</v>
      </c>
      <c r="AE214" t="s">
        <v>113</v>
      </c>
      <c r="AF214" t="s">
        <v>1744</v>
      </c>
      <c r="AG214" t="s">
        <v>114</v>
      </c>
      <c r="AH214" t="s">
        <v>1743</v>
      </c>
      <c r="AI214" t="s">
        <v>1743</v>
      </c>
      <c r="AJ214" t="s">
        <v>149</v>
      </c>
      <c r="AK214" t="s">
        <v>116</v>
      </c>
      <c r="AL214" t="s">
        <v>137</v>
      </c>
      <c r="AM214" t="s">
        <v>117</v>
      </c>
      <c r="AN214" t="s">
        <v>690</v>
      </c>
      <c r="AO214" t="s">
        <v>1319</v>
      </c>
      <c r="AP214" t="s">
        <v>119</v>
      </c>
      <c r="AQ214" t="s">
        <v>119</v>
      </c>
      <c r="AR214" t="s">
        <v>690</v>
      </c>
      <c r="AS214" t="s">
        <v>1320</v>
      </c>
      <c r="AT214" t="s">
        <v>1624</v>
      </c>
    </row>
    <row r="215" spans="1:46">
      <c r="A215" s="1" t="s">
        <v>1745</v>
      </c>
      <c r="B215" s="1" t="s">
        <v>1746</v>
      </c>
      <c r="C215" s="1" t="s">
        <v>1747</v>
      </c>
      <c r="D215" s="1" t="s">
        <v>101</v>
      </c>
      <c r="E215" s="1" t="s">
        <v>102</v>
      </c>
      <c r="F215" s="1" t="s">
        <v>103</v>
      </c>
      <c r="G215" s="1" t="s">
        <v>270</v>
      </c>
      <c r="H215" s="1" t="s">
        <v>1239</v>
      </c>
      <c r="I215" s="1" t="s">
        <v>106</v>
      </c>
      <c r="J215" s="1" t="s">
        <v>107</v>
      </c>
      <c r="K215" s="1"/>
      <c r="L215" s="9">
        <v>33092.370000000003</v>
      </c>
      <c r="M215" s="1" t="s">
        <v>103</v>
      </c>
      <c r="N215" s="1" t="s">
        <v>270</v>
      </c>
      <c r="O215" s="1"/>
      <c r="P215" s="1" t="s">
        <v>106</v>
      </c>
      <c r="Q215" s="1" t="s">
        <v>108</v>
      </c>
      <c r="R215" s="1" t="s">
        <v>109</v>
      </c>
      <c r="S215" s="9">
        <v>-33092.370000000003</v>
      </c>
      <c r="T215" s="1">
        <v>0</v>
      </c>
      <c r="U215" s="1" t="s">
        <v>110</v>
      </c>
      <c r="V215" s="1" t="s">
        <v>15</v>
      </c>
      <c r="W215" s="1" t="s">
        <v>17</v>
      </c>
      <c r="X215" s="1" t="s">
        <v>111</v>
      </c>
      <c r="Y215" s="1"/>
      <c r="Z215" s="1" t="s">
        <v>1239</v>
      </c>
      <c r="AA215" s="1" t="s">
        <v>17</v>
      </c>
      <c r="AB215" s="1">
        <v>0</v>
      </c>
      <c r="AC215" s="1" t="s">
        <v>17</v>
      </c>
      <c r="AD215" t="s">
        <v>112</v>
      </c>
      <c r="AE215" t="s">
        <v>113</v>
      </c>
      <c r="AF215" t="s">
        <v>1239</v>
      </c>
      <c r="AG215" t="s">
        <v>114</v>
      </c>
      <c r="AH215" t="s">
        <v>1748</v>
      </c>
      <c r="AI215" t="s">
        <v>1748</v>
      </c>
      <c r="AJ215" t="s">
        <v>17</v>
      </c>
      <c r="AK215" t="s">
        <v>136</v>
      </c>
      <c r="AL215" t="s">
        <v>17</v>
      </c>
      <c r="AM215" t="s">
        <v>117</v>
      </c>
      <c r="AN215" t="s">
        <v>270</v>
      </c>
      <c r="AO215" t="s">
        <v>1749</v>
      </c>
      <c r="AP215" t="s">
        <v>119</v>
      </c>
      <c r="AQ215" t="s">
        <v>119</v>
      </c>
      <c r="AR215" t="s">
        <v>270</v>
      </c>
      <c r="AS215" t="s">
        <v>1750</v>
      </c>
      <c r="AT215" t="s">
        <v>270</v>
      </c>
    </row>
    <row r="216" spans="1:46">
      <c r="A216" s="1" t="s">
        <v>1751</v>
      </c>
      <c r="B216" s="1" t="s">
        <v>1752</v>
      </c>
      <c r="C216" s="1" t="s">
        <v>1753</v>
      </c>
      <c r="D216" s="1" t="s">
        <v>40</v>
      </c>
      <c r="E216" s="1" t="s">
        <v>124</v>
      </c>
      <c r="F216" s="1" t="s">
        <v>103</v>
      </c>
      <c r="G216" s="1" t="s">
        <v>719</v>
      </c>
      <c r="H216" s="1" t="s">
        <v>1754</v>
      </c>
      <c r="I216" s="1" t="s">
        <v>127</v>
      </c>
      <c r="J216" s="1" t="s">
        <v>128</v>
      </c>
      <c r="K216" s="1" t="s">
        <v>129</v>
      </c>
      <c r="L216" s="9">
        <v>-14870</v>
      </c>
      <c r="M216" s="1" t="s">
        <v>103</v>
      </c>
      <c r="N216" s="1" t="s">
        <v>1551</v>
      </c>
      <c r="O216" s="1" t="s">
        <v>1754</v>
      </c>
      <c r="P216" s="1" t="s">
        <v>127</v>
      </c>
      <c r="Q216" s="1" t="s">
        <v>131</v>
      </c>
      <c r="R216" s="1"/>
      <c r="S216" s="9">
        <v>14870.62</v>
      </c>
      <c r="T216" s="1">
        <v>0.62000000000080036</v>
      </c>
      <c r="U216" s="1" t="s">
        <v>146</v>
      </c>
      <c r="V216" s="1" t="s">
        <v>15</v>
      </c>
      <c r="W216" s="1" t="s">
        <v>17</v>
      </c>
      <c r="X216" s="1" t="s">
        <v>111</v>
      </c>
      <c r="Y216" s="1"/>
      <c r="Z216" s="1" t="s">
        <v>455</v>
      </c>
      <c r="AA216" s="1" t="s">
        <v>17</v>
      </c>
      <c r="AB216" s="1">
        <v>0</v>
      </c>
      <c r="AC216" s="1" t="s">
        <v>17</v>
      </c>
      <c r="AD216" t="s">
        <v>112</v>
      </c>
      <c r="AE216" t="s">
        <v>113</v>
      </c>
      <c r="AF216" t="s">
        <v>1755</v>
      </c>
      <c r="AG216" t="s">
        <v>114</v>
      </c>
      <c r="AH216" t="s">
        <v>1754</v>
      </c>
      <c r="AI216" t="s">
        <v>1754</v>
      </c>
      <c r="AJ216" t="s">
        <v>135</v>
      </c>
      <c r="AK216" t="s">
        <v>200</v>
      </c>
      <c r="AL216" t="s">
        <v>137</v>
      </c>
      <c r="AM216" t="s">
        <v>117</v>
      </c>
      <c r="AN216" t="s">
        <v>448</v>
      </c>
      <c r="AO216" t="s">
        <v>1400</v>
      </c>
      <c r="AP216" t="s">
        <v>119</v>
      </c>
      <c r="AQ216" t="s">
        <v>119</v>
      </c>
      <c r="AR216" t="s">
        <v>448</v>
      </c>
      <c r="AS216" t="s">
        <v>1401</v>
      </c>
      <c r="AT216" t="s">
        <v>1551</v>
      </c>
    </row>
    <row r="217" spans="1:46">
      <c r="A217" s="1" t="s">
        <v>1756</v>
      </c>
      <c r="B217" s="1" t="s">
        <v>1757</v>
      </c>
      <c r="C217" s="1" t="s">
        <v>1758</v>
      </c>
      <c r="D217" s="1" t="s">
        <v>101</v>
      </c>
      <c r="E217" s="1" t="s">
        <v>102</v>
      </c>
      <c r="F217" s="1" t="s">
        <v>103</v>
      </c>
      <c r="G217" s="1" t="s">
        <v>1759</v>
      </c>
      <c r="H217" s="1" t="s">
        <v>296</v>
      </c>
      <c r="I217" s="1" t="s">
        <v>106</v>
      </c>
      <c r="J217" s="1" t="s">
        <v>107</v>
      </c>
      <c r="K217" s="1"/>
      <c r="L217" s="9">
        <v>29950.67</v>
      </c>
      <c r="M217" s="1" t="s">
        <v>103</v>
      </c>
      <c r="N217" s="1" t="s">
        <v>1759</v>
      </c>
      <c r="O217" s="1"/>
      <c r="P217" s="1" t="s">
        <v>106</v>
      </c>
      <c r="Q217" s="1" t="s">
        <v>108</v>
      </c>
      <c r="R217" s="1" t="s">
        <v>109</v>
      </c>
      <c r="S217" s="9">
        <v>-29950.67</v>
      </c>
      <c r="T217" s="1">
        <v>0</v>
      </c>
      <c r="U217" s="1" t="s">
        <v>110</v>
      </c>
      <c r="V217" s="1" t="s">
        <v>15</v>
      </c>
      <c r="W217" s="1" t="s">
        <v>17</v>
      </c>
      <c r="X217" s="1" t="s">
        <v>111</v>
      </c>
      <c r="Y217" s="1"/>
      <c r="Z217" s="1" t="s">
        <v>296</v>
      </c>
      <c r="AA217" s="1" t="s">
        <v>17</v>
      </c>
      <c r="AB217" s="1">
        <v>0</v>
      </c>
      <c r="AC217" s="1" t="s">
        <v>17</v>
      </c>
      <c r="AD217" t="s">
        <v>112</v>
      </c>
      <c r="AE217" t="s">
        <v>113</v>
      </c>
      <c r="AF217" t="s">
        <v>296</v>
      </c>
      <c r="AG217" t="s">
        <v>114</v>
      </c>
      <c r="AH217" t="s">
        <v>1760</v>
      </c>
      <c r="AI217" t="s">
        <v>1760</v>
      </c>
      <c r="AJ217" t="s">
        <v>17</v>
      </c>
      <c r="AK217" t="s">
        <v>408</v>
      </c>
      <c r="AL217" t="s">
        <v>17</v>
      </c>
      <c r="AM217" t="s">
        <v>117</v>
      </c>
      <c r="AN217" t="s">
        <v>1759</v>
      </c>
      <c r="AO217" t="s">
        <v>1761</v>
      </c>
      <c r="AP217" t="s">
        <v>119</v>
      </c>
      <c r="AQ217" t="s">
        <v>119</v>
      </c>
      <c r="AR217" t="s">
        <v>1759</v>
      </c>
      <c r="AS217" t="s">
        <v>1762</v>
      </c>
      <c r="AT217" t="s">
        <v>1759</v>
      </c>
    </row>
    <row r="218" spans="1:46">
      <c r="A218" s="1" t="s">
        <v>1763</v>
      </c>
      <c r="B218" s="1" t="s">
        <v>1764</v>
      </c>
      <c r="C218" s="1" t="s">
        <v>1765</v>
      </c>
      <c r="D218" s="1" t="s">
        <v>40</v>
      </c>
      <c r="E218" s="1" t="s">
        <v>124</v>
      </c>
      <c r="F218" s="1" t="s">
        <v>103</v>
      </c>
      <c r="G218" s="1" t="s">
        <v>787</v>
      </c>
      <c r="H218" s="1" t="s">
        <v>1766</v>
      </c>
      <c r="I218" s="1" t="s">
        <v>127</v>
      </c>
      <c r="J218" s="1" t="s">
        <v>128</v>
      </c>
      <c r="K218" s="1" t="s">
        <v>129</v>
      </c>
      <c r="L218" s="9">
        <v>-15498</v>
      </c>
      <c r="M218" s="1" t="s">
        <v>103</v>
      </c>
      <c r="N218" s="1" t="s">
        <v>787</v>
      </c>
      <c r="O218" s="1" t="s">
        <v>1766</v>
      </c>
      <c r="P218" s="1" t="s">
        <v>127</v>
      </c>
      <c r="Q218" s="1" t="s">
        <v>131</v>
      </c>
      <c r="R218" s="1"/>
      <c r="S218" s="9">
        <v>15498.94</v>
      </c>
      <c r="T218" s="1">
        <v>0.94000000000050932</v>
      </c>
      <c r="U218" s="1" t="s">
        <v>146</v>
      </c>
      <c r="V218" s="1" t="s">
        <v>15</v>
      </c>
      <c r="W218" s="1" t="s">
        <v>17</v>
      </c>
      <c r="X218" s="1" t="s">
        <v>111</v>
      </c>
      <c r="Y218" s="1"/>
      <c r="Z218" s="1" t="s">
        <v>785</v>
      </c>
      <c r="AA218" s="1" t="s">
        <v>17</v>
      </c>
      <c r="AB218" s="1">
        <v>0</v>
      </c>
      <c r="AC218" s="1" t="s">
        <v>17</v>
      </c>
      <c r="AD218" t="s">
        <v>112</v>
      </c>
      <c r="AE218" t="s">
        <v>113</v>
      </c>
      <c r="AF218" t="s">
        <v>1767</v>
      </c>
      <c r="AG218" t="s">
        <v>114</v>
      </c>
      <c r="AH218" t="s">
        <v>1766</v>
      </c>
      <c r="AI218" t="s">
        <v>1766</v>
      </c>
      <c r="AJ218" t="s">
        <v>149</v>
      </c>
      <c r="AK218" t="s">
        <v>189</v>
      </c>
      <c r="AL218" t="s">
        <v>137</v>
      </c>
      <c r="AM218" t="s">
        <v>117</v>
      </c>
      <c r="AN218" t="s">
        <v>511</v>
      </c>
      <c r="AO218" t="s">
        <v>665</v>
      </c>
      <c r="AP218" t="s">
        <v>119</v>
      </c>
      <c r="AQ218" t="s">
        <v>119</v>
      </c>
      <c r="AR218" t="s">
        <v>511</v>
      </c>
      <c r="AS218" t="s">
        <v>666</v>
      </c>
      <c r="AT218" t="s">
        <v>787</v>
      </c>
    </row>
    <row r="219" spans="1:46">
      <c r="A219" s="1" t="s">
        <v>1768</v>
      </c>
      <c r="B219" s="1" t="s">
        <v>1769</v>
      </c>
      <c r="C219" s="1" t="s">
        <v>1770</v>
      </c>
      <c r="D219" s="1" t="s">
        <v>101</v>
      </c>
      <c r="E219" s="1" t="s">
        <v>102</v>
      </c>
      <c r="F219" s="1" t="s">
        <v>103</v>
      </c>
      <c r="G219" s="1" t="s">
        <v>817</v>
      </c>
      <c r="H219" s="1" t="s">
        <v>735</v>
      </c>
      <c r="I219" s="1" t="s">
        <v>106</v>
      </c>
      <c r="J219" s="1" t="s">
        <v>107</v>
      </c>
      <c r="K219" s="1"/>
      <c r="L219" s="9">
        <v>89013.58</v>
      </c>
      <c r="M219" s="1" t="s">
        <v>103</v>
      </c>
      <c r="N219" s="1" t="s">
        <v>817</v>
      </c>
      <c r="O219" s="1"/>
      <c r="P219" s="1" t="s">
        <v>106</v>
      </c>
      <c r="Q219" s="1" t="s">
        <v>108</v>
      </c>
      <c r="R219" s="1" t="s">
        <v>109</v>
      </c>
      <c r="S219" s="9">
        <v>-89013.58</v>
      </c>
      <c r="T219" s="1">
        <v>0</v>
      </c>
      <c r="U219" s="1" t="s">
        <v>110</v>
      </c>
      <c r="V219" s="1" t="s">
        <v>15</v>
      </c>
      <c r="W219" s="1" t="s">
        <v>17</v>
      </c>
      <c r="X219" s="1" t="s">
        <v>111</v>
      </c>
      <c r="Y219" s="1"/>
      <c r="Z219" s="1" t="s">
        <v>735</v>
      </c>
      <c r="AA219" s="1" t="s">
        <v>17</v>
      </c>
      <c r="AB219" s="1">
        <v>0</v>
      </c>
      <c r="AC219" s="1" t="s">
        <v>17</v>
      </c>
      <c r="AD219" t="s">
        <v>112</v>
      </c>
      <c r="AE219" t="s">
        <v>113</v>
      </c>
      <c r="AF219" t="s">
        <v>735</v>
      </c>
      <c r="AG219" t="s">
        <v>114</v>
      </c>
      <c r="AH219" t="s">
        <v>1771</v>
      </c>
      <c r="AI219" t="s">
        <v>1771</v>
      </c>
      <c r="AJ219" t="s">
        <v>17</v>
      </c>
      <c r="AK219" t="s">
        <v>150</v>
      </c>
      <c r="AL219" t="s">
        <v>17</v>
      </c>
      <c r="AM219" t="s">
        <v>117</v>
      </c>
      <c r="AN219" t="s">
        <v>817</v>
      </c>
      <c r="AO219" t="s">
        <v>1772</v>
      </c>
      <c r="AP219" t="s">
        <v>119</v>
      </c>
      <c r="AQ219" t="s">
        <v>119</v>
      </c>
      <c r="AR219" t="s">
        <v>817</v>
      </c>
      <c r="AS219" t="s">
        <v>1773</v>
      </c>
      <c r="AT219" t="s">
        <v>817</v>
      </c>
    </row>
    <row r="220" spans="1:46">
      <c r="A220" s="1" t="s">
        <v>1774</v>
      </c>
      <c r="B220" s="1" t="s">
        <v>1775</v>
      </c>
      <c r="C220" s="1" t="s">
        <v>1776</v>
      </c>
      <c r="D220" s="1" t="s">
        <v>101</v>
      </c>
      <c r="E220" s="1" t="s">
        <v>352</v>
      </c>
      <c r="F220" s="1" t="s">
        <v>103</v>
      </c>
      <c r="G220" s="1" t="s">
        <v>1674</v>
      </c>
      <c r="H220" s="1" t="s">
        <v>418</v>
      </c>
      <c r="I220" s="1" t="s">
        <v>106</v>
      </c>
      <c r="J220" s="1" t="s">
        <v>107</v>
      </c>
      <c r="K220" s="1"/>
      <c r="L220" s="9">
        <v>43774.06</v>
      </c>
      <c r="M220" s="1" t="s">
        <v>103</v>
      </c>
      <c r="N220" s="1" t="s">
        <v>1672</v>
      </c>
      <c r="O220" s="1"/>
      <c r="P220" s="1" t="s">
        <v>106</v>
      </c>
      <c r="Q220" s="1" t="s">
        <v>108</v>
      </c>
      <c r="R220" s="1" t="s">
        <v>109</v>
      </c>
      <c r="S220" s="9">
        <v>-43774.06</v>
      </c>
      <c r="T220" s="1">
        <v>0</v>
      </c>
      <c r="U220" s="1" t="s">
        <v>356</v>
      </c>
      <c r="V220" s="1" t="s">
        <v>15</v>
      </c>
      <c r="W220" s="1" t="s">
        <v>17</v>
      </c>
      <c r="X220" s="1" t="s">
        <v>111</v>
      </c>
      <c r="Y220" s="1"/>
      <c r="Z220" s="1" t="s">
        <v>418</v>
      </c>
      <c r="AA220" s="1" t="s">
        <v>17</v>
      </c>
      <c r="AB220" s="1">
        <v>0</v>
      </c>
      <c r="AC220" s="1" t="s">
        <v>17</v>
      </c>
      <c r="AD220" t="s">
        <v>112</v>
      </c>
      <c r="AE220" t="s">
        <v>113</v>
      </c>
      <c r="AF220" t="s">
        <v>418</v>
      </c>
      <c r="AG220" t="s">
        <v>114</v>
      </c>
      <c r="AH220" t="s">
        <v>1777</v>
      </c>
      <c r="AI220" t="s">
        <v>1777</v>
      </c>
      <c r="AJ220" t="s">
        <v>17</v>
      </c>
      <c r="AK220" t="s">
        <v>308</v>
      </c>
      <c r="AL220" t="s">
        <v>17</v>
      </c>
      <c r="AM220" t="s">
        <v>117</v>
      </c>
      <c r="AN220" t="s">
        <v>1674</v>
      </c>
      <c r="AO220" t="s">
        <v>1778</v>
      </c>
      <c r="AP220" t="s">
        <v>119</v>
      </c>
      <c r="AQ220" t="s">
        <v>119</v>
      </c>
      <c r="AR220" t="s">
        <v>1674</v>
      </c>
      <c r="AS220" t="s">
        <v>1779</v>
      </c>
      <c r="AT220" t="s">
        <v>1674</v>
      </c>
    </row>
    <row r="221" spans="1:46">
      <c r="A221" s="1" t="s">
        <v>1780</v>
      </c>
      <c r="B221" s="1" t="s">
        <v>1781</v>
      </c>
      <c r="C221" s="1" t="s">
        <v>1782</v>
      </c>
      <c r="D221" s="1" t="s">
        <v>101</v>
      </c>
      <c r="E221" s="1" t="s">
        <v>102</v>
      </c>
      <c r="F221" s="1" t="s">
        <v>103</v>
      </c>
      <c r="G221" s="1" t="s">
        <v>1783</v>
      </c>
      <c r="H221" s="1" t="s">
        <v>1784</v>
      </c>
      <c r="I221" s="1" t="s">
        <v>106</v>
      </c>
      <c r="J221" s="1" t="s">
        <v>107</v>
      </c>
      <c r="K221" s="1"/>
      <c r="L221" s="9">
        <v>19060</v>
      </c>
      <c r="M221" s="1" t="s">
        <v>103</v>
      </c>
      <c r="N221" s="1" t="s">
        <v>1783</v>
      </c>
      <c r="O221" s="1"/>
      <c r="P221" s="1" t="s">
        <v>106</v>
      </c>
      <c r="Q221" s="1" t="s">
        <v>108</v>
      </c>
      <c r="R221" s="1" t="s">
        <v>109</v>
      </c>
      <c r="S221" s="9">
        <v>-19060</v>
      </c>
      <c r="T221" s="1">
        <v>0</v>
      </c>
      <c r="U221" s="1" t="s">
        <v>110</v>
      </c>
      <c r="V221" s="1" t="s">
        <v>15</v>
      </c>
      <c r="W221" s="1" t="s">
        <v>17</v>
      </c>
      <c r="X221" s="1" t="s">
        <v>111</v>
      </c>
      <c r="Y221" s="1"/>
      <c r="Z221" s="1" t="s">
        <v>1784</v>
      </c>
      <c r="AA221" s="1" t="s">
        <v>17</v>
      </c>
      <c r="AB221" s="1">
        <v>0</v>
      </c>
      <c r="AC221" s="1" t="s">
        <v>17</v>
      </c>
      <c r="AD221" t="s">
        <v>112</v>
      </c>
      <c r="AE221" t="s">
        <v>113</v>
      </c>
      <c r="AF221" t="s">
        <v>1784</v>
      </c>
      <c r="AG221" t="s">
        <v>114</v>
      </c>
      <c r="AH221" t="s">
        <v>1785</v>
      </c>
      <c r="AI221" t="s">
        <v>1785</v>
      </c>
      <c r="AJ221" t="s">
        <v>17</v>
      </c>
      <c r="AK221" t="s">
        <v>189</v>
      </c>
      <c r="AL221" t="s">
        <v>17</v>
      </c>
      <c r="AM221" t="s">
        <v>117</v>
      </c>
      <c r="AN221" t="s">
        <v>1783</v>
      </c>
      <c r="AO221" t="s">
        <v>1786</v>
      </c>
      <c r="AP221" t="s">
        <v>119</v>
      </c>
      <c r="AQ221" t="s">
        <v>119</v>
      </c>
      <c r="AR221" t="s">
        <v>1783</v>
      </c>
      <c r="AS221" t="s">
        <v>1787</v>
      </c>
      <c r="AT221" t="s">
        <v>1783</v>
      </c>
    </row>
    <row r="222" spans="1:46">
      <c r="A222" s="1" t="s">
        <v>1788</v>
      </c>
      <c r="B222" s="1" t="s">
        <v>1789</v>
      </c>
      <c r="C222" s="1" t="s">
        <v>1790</v>
      </c>
      <c r="D222" s="1" t="s">
        <v>40</v>
      </c>
      <c r="E222" s="1" t="s">
        <v>124</v>
      </c>
      <c r="F222" s="1" t="s">
        <v>103</v>
      </c>
      <c r="G222" s="1" t="s">
        <v>393</v>
      </c>
      <c r="H222" s="1" t="s">
        <v>1791</v>
      </c>
      <c r="I222" s="1" t="s">
        <v>127</v>
      </c>
      <c r="J222" s="1" t="s">
        <v>128</v>
      </c>
      <c r="K222" s="1" t="s">
        <v>129</v>
      </c>
      <c r="L222" s="9">
        <v>-15080</v>
      </c>
      <c r="M222" s="1" t="s">
        <v>103</v>
      </c>
      <c r="N222" s="1" t="s">
        <v>393</v>
      </c>
      <c r="O222" s="1" t="s">
        <v>1791</v>
      </c>
      <c r="P222" s="1" t="s">
        <v>127</v>
      </c>
      <c r="Q222" s="1" t="s">
        <v>131</v>
      </c>
      <c r="R222" s="1"/>
      <c r="S222" s="9">
        <v>15080.05</v>
      </c>
      <c r="T222" s="1">
        <v>4.9999999999272404E-2</v>
      </c>
      <c r="U222" s="1" t="s">
        <v>146</v>
      </c>
      <c r="V222" s="1" t="s">
        <v>15</v>
      </c>
      <c r="W222" s="1" t="s">
        <v>17</v>
      </c>
      <c r="X222" s="1" t="s">
        <v>111</v>
      </c>
      <c r="Y222" s="1"/>
      <c r="Z222" s="1" t="s">
        <v>1090</v>
      </c>
      <c r="AA222" s="1" t="s">
        <v>17</v>
      </c>
      <c r="AB222" s="1">
        <v>0</v>
      </c>
      <c r="AC222" s="1" t="s">
        <v>17</v>
      </c>
      <c r="AD222" t="s">
        <v>112</v>
      </c>
      <c r="AE222" t="s">
        <v>113</v>
      </c>
      <c r="AF222" t="s">
        <v>1792</v>
      </c>
      <c r="AG222" t="s">
        <v>114</v>
      </c>
      <c r="AH222" t="s">
        <v>1791</v>
      </c>
      <c r="AI222" t="s">
        <v>1791</v>
      </c>
      <c r="AJ222" t="s">
        <v>135</v>
      </c>
      <c r="AK222" t="s">
        <v>200</v>
      </c>
      <c r="AL222" t="s">
        <v>137</v>
      </c>
      <c r="AM222" t="s">
        <v>117</v>
      </c>
      <c r="AN222" t="s">
        <v>395</v>
      </c>
      <c r="AO222" t="s">
        <v>501</v>
      </c>
      <c r="AP222" t="s">
        <v>119</v>
      </c>
      <c r="AQ222" t="s">
        <v>119</v>
      </c>
      <c r="AR222" t="s">
        <v>395</v>
      </c>
      <c r="AS222" t="s">
        <v>502</v>
      </c>
      <c r="AT222" t="s">
        <v>1634</v>
      </c>
    </row>
    <row r="223" spans="1:46">
      <c r="A223" s="1" t="s">
        <v>1793</v>
      </c>
      <c r="B223" s="1" t="s">
        <v>1794</v>
      </c>
      <c r="C223" s="1" t="s">
        <v>1795</v>
      </c>
      <c r="D223" s="1" t="s">
        <v>36</v>
      </c>
      <c r="E223" s="1" t="s">
        <v>124</v>
      </c>
      <c r="F223" s="1" t="s">
        <v>103</v>
      </c>
      <c r="G223" s="1" t="s">
        <v>333</v>
      </c>
      <c r="H223" s="1" t="s">
        <v>1796</v>
      </c>
      <c r="I223" s="1" t="s">
        <v>127</v>
      </c>
      <c r="J223" s="1" t="s">
        <v>241</v>
      </c>
      <c r="K223" s="1" t="s">
        <v>1797</v>
      </c>
      <c r="L223" s="9">
        <v>-191400</v>
      </c>
      <c r="M223" s="1" t="s">
        <v>103</v>
      </c>
      <c r="N223" s="1" t="s">
        <v>333</v>
      </c>
      <c r="O223" s="1" t="s">
        <v>1796</v>
      </c>
      <c r="P223" s="1" t="s">
        <v>127</v>
      </c>
      <c r="Q223" s="1" t="s">
        <v>131</v>
      </c>
      <c r="R223" s="1"/>
      <c r="S223" s="9">
        <v>194700</v>
      </c>
      <c r="T223" s="1">
        <v>3300</v>
      </c>
      <c r="U223" s="1" t="s">
        <v>243</v>
      </c>
      <c r="V223" s="1" t="s">
        <v>15</v>
      </c>
      <c r="W223" s="1" t="s">
        <v>17</v>
      </c>
      <c r="X223" s="1" t="s">
        <v>111</v>
      </c>
      <c r="Y223" s="1"/>
      <c r="Z223" s="1" t="s">
        <v>336</v>
      </c>
      <c r="AA223" s="1" t="s">
        <v>17</v>
      </c>
      <c r="AB223" s="1">
        <v>-3300</v>
      </c>
      <c r="AC223" s="1" t="s">
        <v>17</v>
      </c>
      <c r="AD223" t="s">
        <v>112</v>
      </c>
      <c r="AE223" t="s">
        <v>113</v>
      </c>
      <c r="AF223" t="s">
        <v>1798</v>
      </c>
      <c r="AG223" t="s">
        <v>114</v>
      </c>
      <c r="AH223" t="s">
        <v>1796</v>
      </c>
      <c r="AI223" t="s">
        <v>1796</v>
      </c>
      <c r="AJ223" t="s">
        <v>135</v>
      </c>
      <c r="AK223" t="s">
        <v>257</v>
      </c>
      <c r="AL223" t="s">
        <v>137</v>
      </c>
      <c r="AM223" t="s">
        <v>117</v>
      </c>
      <c r="AN223" t="s">
        <v>338</v>
      </c>
      <c r="AO223" t="s">
        <v>1799</v>
      </c>
      <c r="AP223" t="s">
        <v>119</v>
      </c>
      <c r="AQ223" t="s">
        <v>119</v>
      </c>
      <c r="AR223" t="s">
        <v>338</v>
      </c>
      <c r="AS223" t="s">
        <v>1800</v>
      </c>
      <c r="AT223" t="s">
        <v>341</v>
      </c>
    </row>
    <row r="224" spans="1:46">
      <c r="A224" s="1" t="s">
        <v>1801</v>
      </c>
      <c r="B224" s="1" t="s">
        <v>1802</v>
      </c>
      <c r="C224" s="1" t="s">
        <v>1803</v>
      </c>
      <c r="D224" s="1" t="s">
        <v>101</v>
      </c>
      <c r="E224" s="1" t="s">
        <v>124</v>
      </c>
      <c r="F224" s="1" t="s">
        <v>103</v>
      </c>
      <c r="G224" s="1" t="s">
        <v>1804</v>
      </c>
      <c r="H224" s="1" t="s">
        <v>1805</v>
      </c>
      <c r="I224" s="1" t="s">
        <v>127</v>
      </c>
      <c r="J224" s="1" t="s">
        <v>128</v>
      </c>
      <c r="K224" s="1" t="s">
        <v>253</v>
      </c>
      <c r="L224" s="9">
        <v>-36966.519999999997</v>
      </c>
      <c r="M224" s="1" t="s">
        <v>103</v>
      </c>
      <c r="N224" s="1" t="s">
        <v>1804</v>
      </c>
      <c r="O224" s="1" t="s">
        <v>1805</v>
      </c>
      <c r="P224" s="1" t="s">
        <v>127</v>
      </c>
      <c r="Q224" s="1" t="s">
        <v>131</v>
      </c>
      <c r="R224" s="1"/>
      <c r="S224" s="9">
        <v>36966.519999999997</v>
      </c>
      <c r="T224" s="1">
        <v>0</v>
      </c>
      <c r="U224" s="1" t="s">
        <v>132</v>
      </c>
      <c r="V224" s="1" t="s">
        <v>15</v>
      </c>
      <c r="W224" s="1" t="s">
        <v>17</v>
      </c>
      <c r="X224" s="1" t="s">
        <v>111</v>
      </c>
      <c r="Y224" s="1"/>
      <c r="Z224" s="1" t="s">
        <v>863</v>
      </c>
      <c r="AA224" s="1" t="s">
        <v>17</v>
      </c>
      <c r="AB224" s="1">
        <v>0</v>
      </c>
      <c r="AC224" s="1" t="s">
        <v>17</v>
      </c>
      <c r="AD224" t="s">
        <v>112</v>
      </c>
      <c r="AE224" t="s">
        <v>231</v>
      </c>
      <c r="AF224" t="s">
        <v>1806</v>
      </c>
      <c r="AG224" t="s">
        <v>114</v>
      </c>
      <c r="AH224" t="s">
        <v>1805</v>
      </c>
      <c r="AI224" t="s">
        <v>1805</v>
      </c>
      <c r="AJ224" t="s">
        <v>135</v>
      </c>
      <c r="AK224" t="s">
        <v>233</v>
      </c>
      <c r="AL224" t="s">
        <v>137</v>
      </c>
      <c r="AM224" t="s">
        <v>117</v>
      </c>
      <c r="AN224" t="s">
        <v>1807</v>
      </c>
      <c r="AO224" t="s">
        <v>1808</v>
      </c>
      <c r="AP224" t="s">
        <v>119</v>
      </c>
      <c r="AQ224" t="s">
        <v>119</v>
      </c>
      <c r="AR224" t="s">
        <v>1807</v>
      </c>
      <c r="AS224" t="s">
        <v>1809</v>
      </c>
      <c r="AT224" t="s">
        <v>1804</v>
      </c>
    </row>
    <row r="225" spans="1:46">
      <c r="A225" s="1" t="s">
        <v>1810</v>
      </c>
      <c r="B225" s="1" t="s">
        <v>1811</v>
      </c>
      <c r="C225" s="1" t="s">
        <v>1812</v>
      </c>
      <c r="D225" s="1" t="s">
        <v>101</v>
      </c>
      <c r="E225" s="1" t="s">
        <v>124</v>
      </c>
      <c r="F225" s="1" t="s">
        <v>103</v>
      </c>
      <c r="G225" s="1" t="s">
        <v>258</v>
      </c>
      <c r="H225" s="1" t="s">
        <v>1813</v>
      </c>
      <c r="I225" s="1" t="s">
        <v>127</v>
      </c>
      <c r="J225" s="1" t="s">
        <v>128</v>
      </c>
      <c r="K225" s="1" t="s">
        <v>129</v>
      </c>
      <c r="L225" s="9">
        <v>-14661.16</v>
      </c>
      <c r="M225" s="1" t="s">
        <v>103</v>
      </c>
      <c r="N225" s="1" t="s">
        <v>1814</v>
      </c>
      <c r="O225" s="1" t="s">
        <v>1813</v>
      </c>
      <c r="P225" s="1" t="s">
        <v>127</v>
      </c>
      <c r="Q225" s="1" t="s">
        <v>131</v>
      </c>
      <c r="R225" s="1"/>
      <c r="S225" s="9">
        <v>14661.16</v>
      </c>
      <c r="T225" s="1">
        <v>0</v>
      </c>
      <c r="U225" s="1" t="s">
        <v>132</v>
      </c>
      <c r="V225" s="1" t="s">
        <v>15</v>
      </c>
      <c r="W225" s="1" t="s">
        <v>17</v>
      </c>
      <c r="X225" s="1" t="s">
        <v>111</v>
      </c>
      <c r="Y225" s="1"/>
      <c r="Z225" s="1" t="s">
        <v>712</v>
      </c>
      <c r="AA225" s="1" t="s">
        <v>17</v>
      </c>
      <c r="AB225" s="1">
        <v>0</v>
      </c>
      <c r="AC225" s="1" t="s">
        <v>17</v>
      </c>
      <c r="AD225" t="s">
        <v>112</v>
      </c>
      <c r="AE225" t="s">
        <v>113</v>
      </c>
      <c r="AF225" t="s">
        <v>1815</v>
      </c>
      <c r="AG225" t="s">
        <v>114</v>
      </c>
      <c r="AH225" t="s">
        <v>1813</v>
      </c>
      <c r="AI225" t="s">
        <v>1813</v>
      </c>
      <c r="AJ225" t="s">
        <v>135</v>
      </c>
      <c r="AK225" t="s">
        <v>257</v>
      </c>
      <c r="AL225" t="s">
        <v>137</v>
      </c>
      <c r="AM225" t="s">
        <v>117</v>
      </c>
      <c r="AN225" t="s">
        <v>538</v>
      </c>
      <c r="AO225" t="s">
        <v>299</v>
      </c>
      <c r="AP225" t="s">
        <v>119</v>
      </c>
      <c r="AQ225" t="s">
        <v>119</v>
      </c>
      <c r="AR225" t="s">
        <v>538</v>
      </c>
      <c r="AS225" t="s">
        <v>300</v>
      </c>
      <c r="AT225" t="s">
        <v>542</v>
      </c>
    </row>
    <row r="226" spans="1:46">
      <c r="A226" s="1" t="s">
        <v>1816</v>
      </c>
      <c r="B226" s="1" t="s">
        <v>1817</v>
      </c>
      <c r="C226" s="1" t="s">
        <v>1818</v>
      </c>
      <c r="D226" s="1" t="s">
        <v>101</v>
      </c>
      <c r="E226" s="1" t="s">
        <v>102</v>
      </c>
      <c r="F226" s="1" t="s">
        <v>103</v>
      </c>
      <c r="G226" s="1" t="s">
        <v>1819</v>
      </c>
      <c r="H226" s="1" t="s">
        <v>661</v>
      </c>
      <c r="I226" s="1" t="s">
        <v>106</v>
      </c>
      <c r="J226" s="1" t="s">
        <v>107</v>
      </c>
      <c r="K226" s="1"/>
      <c r="L226" s="9">
        <v>15498</v>
      </c>
      <c r="M226" s="1" t="s">
        <v>103</v>
      </c>
      <c r="N226" s="1" t="s">
        <v>1819</v>
      </c>
      <c r="O226" s="1"/>
      <c r="P226" s="1" t="s">
        <v>106</v>
      </c>
      <c r="Q226" s="1" t="s">
        <v>108</v>
      </c>
      <c r="R226" s="1" t="s">
        <v>109</v>
      </c>
      <c r="S226" s="9">
        <v>-15498</v>
      </c>
      <c r="T226" s="1">
        <v>0</v>
      </c>
      <c r="U226" s="1" t="s">
        <v>110</v>
      </c>
      <c r="V226" s="1" t="s">
        <v>15</v>
      </c>
      <c r="W226" s="1" t="s">
        <v>17</v>
      </c>
      <c r="X226" s="1" t="s">
        <v>111</v>
      </c>
      <c r="Y226" s="1"/>
      <c r="Z226" s="1" t="s">
        <v>661</v>
      </c>
      <c r="AA226" s="1" t="s">
        <v>17</v>
      </c>
      <c r="AB226" s="1">
        <v>0</v>
      </c>
      <c r="AC226" s="1" t="s">
        <v>17</v>
      </c>
      <c r="AD226" t="s">
        <v>112</v>
      </c>
      <c r="AE226" t="s">
        <v>113</v>
      </c>
      <c r="AF226" t="s">
        <v>661</v>
      </c>
      <c r="AG226" t="s">
        <v>114</v>
      </c>
      <c r="AH226" t="s">
        <v>1820</v>
      </c>
      <c r="AI226" t="s">
        <v>1820</v>
      </c>
      <c r="AJ226" t="s">
        <v>17</v>
      </c>
      <c r="AK226" t="s">
        <v>663</v>
      </c>
      <c r="AL226" t="s">
        <v>17</v>
      </c>
      <c r="AM226" t="s">
        <v>117</v>
      </c>
      <c r="AN226" t="s">
        <v>1819</v>
      </c>
      <c r="AO226" t="s">
        <v>1821</v>
      </c>
      <c r="AP226" t="s">
        <v>119</v>
      </c>
      <c r="AQ226" t="s">
        <v>119</v>
      </c>
      <c r="AR226" t="s">
        <v>1819</v>
      </c>
      <c r="AS226" t="s">
        <v>1822</v>
      </c>
      <c r="AT226" t="s">
        <v>1819</v>
      </c>
    </row>
    <row r="227" spans="1:46">
      <c r="A227" s="1" t="s">
        <v>1823</v>
      </c>
      <c r="B227" s="1" t="s">
        <v>1824</v>
      </c>
      <c r="C227" s="1" t="s">
        <v>1825</v>
      </c>
      <c r="D227" s="1" t="s">
        <v>101</v>
      </c>
      <c r="E227" s="1" t="s">
        <v>102</v>
      </c>
      <c r="F227" s="1" t="s">
        <v>103</v>
      </c>
      <c r="G227" s="1" t="s">
        <v>1826</v>
      </c>
      <c r="H227" s="1" t="s">
        <v>842</v>
      </c>
      <c r="I227" s="1" t="s">
        <v>106</v>
      </c>
      <c r="J227" s="1" t="s">
        <v>107</v>
      </c>
      <c r="K227" s="1"/>
      <c r="L227" s="9">
        <v>16965</v>
      </c>
      <c r="M227" s="1" t="s">
        <v>103</v>
      </c>
      <c r="N227" s="1" t="s">
        <v>1826</v>
      </c>
      <c r="O227" s="1"/>
      <c r="P227" s="1" t="s">
        <v>106</v>
      </c>
      <c r="Q227" s="1" t="s">
        <v>108</v>
      </c>
      <c r="R227" s="1" t="s">
        <v>109</v>
      </c>
      <c r="S227" s="9">
        <v>-16965</v>
      </c>
      <c r="T227" s="1">
        <v>0</v>
      </c>
      <c r="U227" s="1" t="s">
        <v>110</v>
      </c>
      <c r="V227" s="1" t="s">
        <v>15</v>
      </c>
      <c r="W227" s="1" t="s">
        <v>17</v>
      </c>
      <c r="X227" s="1" t="s">
        <v>111</v>
      </c>
      <c r="Y227" s="1"/>
      <c r="Z227" s="1" t="s">
        <v>842</v>
      </c>
      <c r="AA227" s="1" t="s">
        <v>17</v>
      </c>
      <c r="AB227" s="1">
        <v>0</v>
      </c>
      <c r="AC227" s="1" t="s">
        <v>17</v>
      </c>
      <c r="AD227" t="s">
        <v>112</v>
      </c>
      <c r="AE227" t="s">
        <v>113</v>
      </c>
      <c r="AF227" t="s">
        <v>842</v>
      </c>
      <c r="AG227" t="s">
        <v>114</v>
      </c>
      <c r="AH227" t="s">
        <v>1827</v>
      </c>
      <c r="AI227" t="s">
        <v>1827</v>
      </c>
      <c r="AJ227" t="s">
        <v>17</v>
      </c>
      <c r="AK227" t="s">
        <v>116</v>
      </c>
      <c r="AL227" t="s">
        <v>17</v>
      </c>
      <c r="AM227" t="s">
        <v>117</v>
      </c>
      <c r="AN227" t="s">
        <v>1826</v>
      </c>
      <c r="AO227" t="s">
        <v>1828</v>
      </c>
      <c r="AP227" t="s">
        <v>119</v>
      </c>
      <c r="AQ227" t="s">
        <v>119</v>
      </c>
      <c r="AR227" t="s">
        <v>1826</v>
      </c>
      <c r="AS227" t="s">
        <v>1829</v>
      </c>
      <c r="AT227" t="s">
        <v>1826</v>
      </c>
    </row>
    <row r="228" spans="1:46">
      <c r="A228" s="1" t="s">
        <v>1830</v>
      </c>
      <c r="B228" s="1" t="s">
        <v>1831</v>
      </c>
      <c r="C228" s="1" t="s">
        <v>1832</v>
      </c>
      <c r="D228" s="1" t="s">
        <v>101</v>
      </c>
      <c r="E228" s="1" t="s">
        <v>352</v>
      </c>
      <c r="F228" s="1" t="s">
        <v>103</v>
      </c>
      <c r="G228" s="1" t="s">
        <v>125</v>
      </c>
      <c r="H228" s="1" t="s">
        <v>1352</v>
      </c>
      <c r="I228" s="1" t="s">
        <v>106</v>
      </c>
      <c r="J228" s="1" t="s">
        <v>107</v>
      </c>
      <c r="K228" s="1"/>
      <c r="L228" s="9">
        <v>14661</v>
      </c>
      <c r="M228" s="1" t="s">
        <v>103</v>
      </c>
      <c r="N228" s="1" t="s">
        <v>130</v>
      </c>
      <c r="O228" s="1"/>
      <c r="P228" s="1" t="s">
        <v>106</v>
      </c>
      <c r="Q228" s="1" t="s">
        <v>108</v>
      </c>
      <c r="R228" s="1" t="s">
        <v>109</v>
      </c>
      <c r="S228" s="9">
        <v>-14661</v>
      </c>
      <c r="T228" s="1">
        <v>0</v>
      </c>
      <c r="U228" s="1" t="s">
        <v>356</v>
      </c>
      <c r="V228" s="1" t="s">
        <v>15</v>
      </c>
      <c r="W228" s="1" t="s">
        <v>17</v>
      </c>
      <c r="X228" s="1" t="s">
        <v>111</v>
      </c>
      <c r="Y228" s="1"/>
      <c r="Z228" s="1" t="s">
        <v>1352</v>
      </c>
      <c r="AA228" s="1" t="s">
        <v>17</v>
      </c>
      <c r="AB228" s="1">
        <v>0</v>
      </c>
      <c r="AC228" s="1" t="s">
        <v>17</v>
      </c>
      <c r="AD228" t="s">
        <v>112</v>
      </c>
      <c r="AE228" t="s">
        <v>113</v>
      </c>
      <c r="AF228" t="s">
        <v>1352</v>
      </c>
      <c r="AG228" t="s">
        <v>114</v>
      </c>
      <c r="AH228" t="s">
        <v>1833</v>
      </c>
      <c r="AI228" t="s">
        <v>1833</v>
      </c>
      <c r="AJ228" t="s">
        <v>17</v>
      </c>
      <c r="AK228" t="s">
        <v>136</v>
      </c>
      <c r="AL228" t="s">
        <v>17</v>
      </c>
      <c r="AM228" t="s">
        <v>117</v>
      </c>
      <c r="AN228" t="s">
        <v>125</v>
      </c>
      <c r="AO228" t="s">
        <v>698</v>
      </c>
      <c r="AP228" t="s">
        <v>119</v>
      </c>
      <c r="AQ228" t="s">
        <v>119</v>
      </c>
      <c r="AR228" t="s">
        <v>125</v>
      </c>
      <c r="AS228" t="s">
        <v>699</v>
      </c>
      <c r="AT228" t="s">
        <v>125</v>
      </c>
    </row>
    <row r="229" spans="1:46">
      <c r="A229" s="1" t="s">
        <v>1834</v>
      </c>
      <c r="B229" s="1" t="s">
        <v>1835</v>
      </c>
      <c r="C229" s="1" t="s">
        <v>1836</v>
      </c>
      <c r="D229" s="1" t="s">
        <v>40</v>
      </c>
      <c r="E229" s="1" t="s">
        <v>124</v>
      </c>
      <c r="F229" s="1" t="s">
        <v>103</v>
      </c>
      <c r="G229" s="1" t="s">
        <v>1473</v>
      </c>
      <c r="H229" s="1" t="s">
        <v>1837</v>
      </c>
      <c r="I229" s="1" t="s">
        <v>127</v>
      </c>
      <c r="J229" s="1" t="s">
        <v>128</v>
      </c>
      <c r="K229" s="1" t="s">
        <v>129</v>
      </c>
      <c r="L229" s="9">
        <v>-11938</v>
      </c>
      <c r="M229" s="1" t="s">
        <v>103</v>
      </c>
      <c r="N229" s="1" t="s">
        <v>1838</v>
      </c>
      <c r="O229" s="1" t="s">
        <v>1837</v>
      </c>
      <c r="P229" s="1" t="s">
        <v>127</v>
      </c>
      <c r="Q229" s="1" t="s">
        <v>131</v>
      </c>
      <c r="R229" s="1"/>
      <c r="S229" s="9">
        <v>11938.37</v>
      </c>
      <c r="T229" s="1">
        <v>0.37000000000080036</v>
      </c>
      <c r="U229" s="1" t="s">
        <v>146</v>
      </c>
      <c r="V229" s="1" t="s">
        <v>15</v>
      </c>
      <c r="W229" s="1" t="s">
        <v>17</v>
      </c>
      <c r="X229" s="1" t="s">
        <v>111</v>
      </c>
      <c r="Y229" s="1"/>
      <c r="Z229" s="1" t="s">
        <v>1839</v>
      </c>
      <c r="AA229" s="1" t="s">
        <v>17</v>
      </c>
      <c r="AB229" s="1">
        <v>0</v>
      </c>
      <c r="AC229" s="1" t="s">
        <v>17</v>
      </c>
      <c r="AD229" t="s">
        <v>112</v>
      </c>
      <c r="AE229" t="s">
        <v>113</v>
      </c>
      <c r="AF229" t="s">
        <v>1840</v>
      </c>
      <c r="AG229" t="s">
        <v>114</v>
      </c>
      <c r="AH229" t="s">
        <v>1837</v>
      </c>
      <c r="AI229" t="s">
        <v>1837</v>
      </c>
      <c r="AJ229" t="s">
        <v>135</v>
      </c>
      <c r="AK229" t="s">
        <v>200</v>
      </c>
      <c r="AL229" t="s">
        <v>137</v>
      </c>
      <c r="AM229" t="s">
        <v>117</v>
      </c>
      <c r="AN229" t="s">
        <v>448</v>
      </c>
      <c r="AO229" t="s">
        <v>1841</v>
      </c>
      <c r="AP229" t="s">
        <v>119</v>
      </c>
      <c r="AQ229" t="s">
        <v>119</v>
      </c>
      <c r="AR229" t="s">
        <v>448</v>
      </c>
      <c r="AS229" t="s">
        <v>1842</v>
      </c>
      <c r="AT229" t="s">
        <v>719</v>
      </c>
    </row>
    <row r="230" spans="1:46">
      <c r="A230" s="1" t="s">
        <v>1843</v>
      </c>
      <c r="B230" s="1" t="s">
        <v>1844</v>
      </c>
      <c r="C230" s="1" t="s">
        <v>1845</v>
      </c>
      <c r="D230" s="1" t="s">
        <v>101</v>
      </c>
      <c r="E230" s="1" t="s">
        <v>124</v>
      </c>
      <c r="F230" s="1" t="s">
        <v>103</v>
      </c>
      <c r="G230" s="1" t="s">
        <v>1068</v>
      </c>
      <c r="H230" s="1" t="s">
        <v>1846</v>
      </c>
      <c r="I230" s="1" t="s">
        <v>127</v>
      </c>
      <c r="J230" s="1" t="s">
        <v>128</v>
      </c>
      <c r="K230" s="1" t="s">
        <v>253</v>
      </c>
      <c r="L230" s="9">
        <v>-29901.24</v>
      </c>
      <c r="M230" s="1" t="s">
        <v>103</v>
      </c>
      <c r="N230" s="1" t="s">
        <v>1068</v>
      </c>
      <c r="O230" s="1" t="s">
        <v>1846</v>
      </c>
      <c r="P230" s="1" t="s">
        <v>127</v>
      </c>
      <c r="Q230" s="1" t="s">
        <v>131</v>
      </c>
      <c r="R230" s="1"/>
      <c r="S230" s="9">
        <v>29901.24</v>
      </c>
      <c r="T230" s="1">
        <v>0</v>
      </c>
      <c r="U230" s="1" t="s">
        <v>132</v>
      </c>
      <c r="V230" s="1" t="s">
        <v>15</v>
      </c>
      <c r="W230" s="1" t="s">
        <v>17</v>
      </c>
      <c r="X230" s="1" t="s">
        <v>111</v>
      </c>
      <c r="Y230" s="1"/>
      <c r="Z230" s="1" t="s">
        <v>1228</v>
      </c>
      <c r="AA230" s="1" t="s">
        <v>17</v>
      </c>
      <c r="AB230" s="1">
        <v>0</v>
      </c>
      <c r="AC230" s="1" t="s">
        <v>17</v>
      </c>
      <c r="AD230" t="s">
        <v>112</v>
      </c>
      <c r="AE230" t="s">
        <v>231</v>
      </c>
      <c r="AF230" t="s">
        <v>1847</v>
      </c>
      <c r="AG230" t="s">
        <v>114</v>
      </c>
      <c r="AH230" t="s">
        <v>1846</v>
      </c>
      <c r="AI230" t="s">
        <v>1846</v>
      </c>
      <c r="AJ230" t="s">
        <v>135</v>
      </c>
      <c r="AK230" t="s">
        <v>233</v>
      </c>
      <c r="AL230" t="s">
        <v>137</v>
      </c>
      <c r="AM230" t="s">
        <v>117</v>
      </c>
      <c r="AN230" t="s">
        <v>1230</v>
      </c>
      <c r="AO230" t="s">
        <v>1848</v>
      </c>
      <c r="AP230" t="s">
        <v>119</v>
      </c>
      <c r="AQ230" t="s">
        <v>119</v>
      </c>
      <c r="AR230" t="s">
        <v>1230</v>
      </c>
      <c r="AS230" t="s">
        <v>1849</v>
      </c>
      <c r="AT230" t="s">
        <v>1068</v>
      </c>
    </row>
    <row r="231" spans="1:46">
      <c r="A231" s="1" t="s">
        <v>1850</v>
      </c>
      <c r="B231" s="1" t="s">
        <v>1851</v>
      </c>
      <c r="C231" s="1" t="s">
        <v>1852</v>
      </c>
      <c r="D231" s="1" t="s">
        <v>40</v>
      </c>
      <c r="E231" s="1" t="s">
        <v>124</v>
      </c>
      <c r="F231" s="1" t="s">
        <v>103</v>
      </c>
      <c r="G231" s="1" t="s">
        <v>1094</v>
      </c>
      <c r="H231" s="1" t="s">
        <v>1853</v>
      </c>
      <c r="I231" s="1" t="s">
        <v>127</v>
      </c>
      <c r="J231" s="1" t="s">
        <v>128</v>
      </c>
      <c r="K231" s="1" t="s">
        <v>129</v>
      </c>
      <c r="L231" s="9">
        <v>-15080</v>
      </c>
      <c r="M231" s="1" t="s">
        <v>103</v>
      </c>
      <c r="N231" s="1" t="s">
        <v>1094</v>
      </c>
      <c r="O231" s="1" t="s">
        <v>1853</v>
      </c>
      <c r="P231" s="1" t="s">
        <v>127</v>
      </c>
      <c r="Q231" s="1" t="s">
        <v>131</v>
      </c>
      <c r="R231" s="1"/>
      <c r="S231" s="9">
        <v>15080.05</v>
      </c>
      <c r="T231" s="1">
        <v>4.9999999999272404E-2</v>
      </c>
      <c r="U231" s="1" t="s">
        <v>146</v>
      </c>
      <c r="V231" s="1" t="s">
        <v>15</v>
      </c>
      <c r="W231" s="1" t="s">
        <v>17</v>
      </c>
      <c r="X231" s="1" t="s">
        <v>111</v>
      </c>
      <c r="Y231" s="1"/>
      <c r="Z231" s="1" t="s">
        <v>1090</v>
      </c>
      <c r="AA231" s="1" t="s">
        <v>17</v>
      </c>
      <c r="AB231" s="1">
        <v>0</v>
      </c>
      <c r="AC231" s="1" t="s">
        <v>17</v>
      </c>
      <c r="AD231" t="s">
        <v>112</v>
      </c>
      <c r="AE231" t="s">
        <v>113</v>
      </c>
      <c r="AF231" t="s">
        <v>1854</v>
      </c>
      <c r="AG231" t="s">
        <v>114</v>
      </c>
      <c r="AH231" t="s">
        <v>1853</v>
      </c>
      <c r="AI231" t="s">
        <v>1853</v>
      </c>
      <c r="AJ231" t="s">
        <v>135</v>
      </c>
      <c r="AK231" t="s">
        <v>200</v>
      </c>
      <c r="AL231" t="s">
        <v>137</v>
      </c>
      <c r="AM231" t="s">
        <v>117</v>
      </c>
      <c r="AN231" t="s">
        <v>395</v>
      </c>
      <c r="AO231" t="s">
        <v>501</v>
      </c>
      <c r="AP231" t="s">
        <v>119</v>
      </c>
      <c r="AQ231" t="s">
        <v>119</v>
      </c>
      <c r="AR231" t="s">
        <v>395</v>
      </c>
      <c r="AS231" t="s">
        <v>502</v>
      </c>
      <c r="AT231" t="s">
        <v>448</v>
      </c>
    </row>
    <row r="232" spans="1:46">
      <c r="A232" s="1" t="s">
        <v>1855</v>
      </c>
      <c r="B232" s="1" t="s">
        <v>1856</v>
      </c>
      <c r="C232" s="1" t="s">
        <v>1857</v>
      </c>
      <c r="D232" s="1" t="s">
        <v>101</v>
      </c>
      <c r="E232" s="1" t="s">
        <v>102</v>
      </c>
      <c r="F232" s="1" t="s">
        <v>103</v>
      </c>
      <c r="G232" s="1" t="s">
        <v>320</v>
      </c>
      <c r="H232" s="1" t="s">
        <v>1452</v>
      </c>
      <c r="I232" s="1" t="s">
        <v>106</v>
      </c>
      <c r="J232" s="1" t="s">
        <v>107</v>
      </c>
      <c r="K232" s="1"/>
      <c r="L232" s="9">
        <v>14032</v>
      </c>
      <c r="M232" s="1" t="s">
        <v>103</v>
      </c>
      <c r="N232" s="1" t="s">
        <v>320</v>
      </c>
      <c r="O232" s="1"/>
      <c r="P232" s="1" t="s">
        <v>106</v>
      </c>
      <c r="Q232" s="1" t="s">
        <v>108</v>
      </c>
      <c r="R232" s="1" t="s">
        <v>109</v>
      </c>
      <c r="S232" s="9">
        <v>-14032</v>
      </c>
      <c r="T232" s="1">
        <v>0</v>
      </c>
      <c r="U232" s="1" t="s">
        <v>110</v>
      </c>
      <c r="V232" s="1" t="s">
        <v>15</v>
      </c>
      <c r="W232" s="1" t="s">
        <v>17</v>
      </c>
      <c r="X232" s="1" t="s">
        <v>111</v>
      </c>
      <c r="Y232" s="1"/>
      <c r="Z232" s="1" t="s">
        <v>1452</v>
      </c>
      <c r="AA232" s="1" t="s">
        <v>17</v>
      </c>
      <c r="AB232" s="1">
        <v>0</v>
      </c>
      <c r="AC232" s="1" t="s">
        <v>17</v>
      </c>
      <c r="AD232" t="s">
        <v>112</v>
      </c>
      <c r="AE232" t="s">
        <v>113</v>
      </c>
      <c r="AF232" t="s">
        <v>1452</v>
      </c>
      <c r="AG232" t="s">
        <v>114</v>
      </c>
      <c r="AH232" t="s">
        <v>1858</v>
      </c>
      <c r="AI232" t="s">
        <v>1858</v>
      </c>
      <c r="AJ232" t="s">
        <v>17</v>
      </c>
      <c r="AK232" t="s">
        <v>179</v>
      </c>
      <c r="AL232" t="s">
        <v>17</v>
      </c>
      <c r="AM232" t="s">
        <v>117</v>
      </c>
      <c r="AN232" t="s">
        <v>320</v>
      </c>
      <c r="AO232" t="s">
        <v>1171</v>
      </c>
      <c r="AP232" t="s">
        <v>119</v>
      </c>
      <c r="AQ232" t="s">
        <v>119</v>
      </c>
      <c r="AR232" t="s">
        <v>320</v>
      </c>
      <c r="AS232" t="s">
        <v>1172</v>
      </c>
      <c r="AT232" t="s">
        <v>320</v>
      </c>
    </row>
    <row r="233" spans="1:46">
      <c r="A233" s="1" t="s">
        <v>1859</v>
      </c>
      <c r="B233" s="1" t="s">
        <v>1860</v>
      </c>
      <c r="C233" s="1" t="s">
        <v>1861</v>
      </c>
      <c r="D233" s="1" t="s">
        <v>101</v>
      </c>
      <c r="E233" s="1" t="s">
        <v>102</v>
      </c>
      <c r="F233" s="1" t="s">
        <v>103</v>
      </c>
      <c r="G233" s="1" t="s">
        <v>400</v>
      </c>
      <c r="H233" s="1" t="s">
        <v>446</v>
      </c>
      <c r="I233" s="1" t="s">
        <v>106</v>
      </c>
      <c r="J233" s="1" t="s">
        <v>107</v>
      </c>
      <c r="K233" s="1"/>
      <c r="L233" s="9">
        <v>29322.34</v>
      </c>
      <c r="M233" s="1" t="s">
        <v>103</v>
      </c>
      <c r="N233" s="1" t="s">
        <v>400</v>
      </c>
      <c r="O233" s="1"/>
      <c r="P233" s="1" t="s">
        <v>106</v>
      </c>
      <c r="Q233" s="1" t="s">
        <v>108</v>
      </c>
      <c r="R233" s="1" t="s">
        <v>109</v>
      </c>
      <c r="S233" s="9">
        <v>-29322.34</v>
      </c>
      <c r="T233" s="1">
        <v>0</v>
      </c>
      <c r="U233" s="1" t="s">
        <v>110</v>
      </c>
      <c r="V233" s="1" t="s">
        <v>15</v>
      </c>
      <c r="W233" s="1" t="s">
        <v>17</v>
      </c>
      <c r="X233" s="1" t="s">
        <v>111</v>
      </c>
      <c r="Y233" s="1"/>
      <c r="Z233" s="1" t="s">
        <v>446</v>
      </c>
      <c r="AA233" s="1" t="s">
        <v>17</v>
      </c>
      <c r="AB233" s="1">
        <v>0</v>
      </c>
      <c r="AC233" s="1" t="s">
        <v>17</v>
      </c>
      <c r="AD233" t="s">
        <v>112</v>
      </c>
      <c r="AE233" t="s">
        <v>113</v>
      </c>
      <c r="AF233" t="s">
        <v>446</v>
      </c>
      <c r="AG233" t="s">
        <v>114</v>
      </c>
      <c r="AH233" t="s">
        <v>1862</v>
      </c>
      <c r="AI233" t="s">
        <v>1862</v>
      </c>
      <c r="AJ233" t="s">
        <v>17</v>
      </c>
      <c r="AK233" t="s">
        <v>257</v>
      </c>
      <c r="AL233" t="s">
        <v>17</v>
      </c>
      <c r="AM233" t="s">
        <v>117</v>
      </c>
      <c r="AN233" t="s">
        <v>400</v>
      </c>
      <c r="AO233" t="s">
        <v>1863</v>
      </c>
      <c r="AP233" t="s">
        <v>119</v>
      </c>
      <c r="AQ233" t="s">
        <v>119</v>
      </c>
      <c r="AR233" t="s">
        <v>400</v>
      </c>
      <c r="AS233" t="s">
        <v>1864</v>
      </c>
      <c r="AT233" t="s">
        <v>400</v>
      </c>
    </row>
    <row r="234" spans="1:46">
      <c r="A234" s="1" t="s">
        <v>1865</v>
      </c>
      <c r="B234" s="1" t="s">
        <v>1866</v>
      </c>
      <c r="C234" s="1" t="s">
        <v>1867</v>
      </c>
      <c r="D234" s="1" t="s">
        <v>40</v>
      </c>
      <c r="E234" s="1" t="s">
        <v>124</v>
      </c>
      <c r="F234" s="1" t="s">
        <v>103</v>
      </c>
      <c r="G234" s="1" t="s">
        <v>822</v>
      </c>
      <c r="H234" s="1" t="s">
        <v>1868</v>
      </c>
      <c r="I234" s="1" t="s">
        <v>127</v>
      </c>
      <c r="J234" s="1" t="s">
        <v>128</v>
      </c>
      <c r="K234" s="1" t="s">
        <v>129</v>
      </c>
      <c r="L234" s="9">
        <v>-15498</v>
      </c>
      <c r="M234" s="1" t="s">
        <v>103</v>
      </c>
      <c r="N234" s="1" t="s">
        <v>822</v>
      </c>
      <c r="O234" s="1" t="s">
        <v>1868</v>
      </c>
      <c r="P234" s="1" t="s">
        <v>127</v>
      </c>
      <c r="Q234" s="1" t="s">
        <v>131</v>
      </c>
      <c r="R234" s="1"/>
      <c r="S234" s="9">
        <v>15498.94</v>
      </c>
      <c r="T234" s="1">
        <v>0.94000000000050932</v>
      </c>
      <c r="U234" s="1" t="s">
        <v>146</v>
      </c>
      <c r="V234" s="1" t="s">
        <v>15</v>
      </c>
      <c r="W234" s="1" t="s">
        <v>17</v>
      </c>
      <c r="X234" s="1" t="s">
        <v>111</v>
      </c>
      <c r="Y234" s="1"/>
      <c r="Z234" s="1" t="s">
        <v>1090</v>
      </c>
      <c r="AA234" s="1" t="s">
        <v>17</v>
      </c>
      <c r="AB234" s="1">
        <v>0</v>
      </c>
      <c r="AC234" s="1" t="s">
        <v>17</v>
      </c>
      <c r="AD234" t="s">
        <v>112</v>
      </c>
      <c r="AE234" t="s">
        <v>113</v>
      </c>
      <c r="AF234" t="s">
        <v>1869</v>
      </c>
      <c r="AG234" t="s">
        <v>114</v>
      </c>
      <c r="AH234" t="s">
        <v>1868</v>
      </c>
      <c r="AI234" t="s">
        <v>1868</v>
      </c>
      <c r="AJ234" t="s">
        <v>135</v>
      </c>
      <c r="AK234" t="s">
        <v>200</v>
      </c>
      <c r="AL234" t="s">
        <v>137</v>
      </c>
      <c r="AM234" t="s">
        <v>117</v>
      </c>
      <c r="AN234" t="s">
        <v>395</v>
      </c>
      <c r="AO234" t="s">
        <v>665</v>
      </c>
      <c r="AP234" t="s">
        <v>119</v>
      </c>
      <c r="AQ234" t="s">
        <v>119</v>
      </c>
      <c r="AR234" t="s">
        <v>395</v>
      </c>
      <c r="AS234" t="s">
        <v>666</v>
      </c>
      <c r="AT234" t="s">
        <v>1634</v>
      </c>
    </row>
    <row r="235" spans="1:46">
      <c r="A235" s="1" t="s">
        <v>1870</v>
      </c>
      <c r="B235" s="1" t="s">
        <v>1871</v>
      </c>
      <c r="C235" s="1" t="s">
        <v>1872</v>
      </c>
      <c r="D235" s="1" t="s">
        <v>101</v>
      </c>
      <c r="E235" s="1" t="s">
        <v>124</v>
      </c>
      <c r="F235" s="1" t="s">
        <v>103</v>
      </c>
      <c r="G235" s="1" t="s">
        <v>1814</v>
      </c>
      <c r="H235" s="1" t="s">
        <v>1873</v>
      </c>
      <c r="I235" s="1" t="s">
        <v>127</v>
      </c>
      <c r="J235" s="1" t="s">
        <v>128</v>
      </c>
      <c r="K235" s="1" t="s">
        <v>129</v>
      </c>
      <c r="L235" s="9">
        <v>-15289.51</v>
      </c>
      <c r="M235" s="1" t="s">
        <v>103</v>
      </c>
      <c r="N235" s="1" t="s">
        <v>1874</v>
      </c>
      <c r="O235" s="1" t="s">
        <v>1873</v>
      </c>
      <c r="P235" s="1" t="s">
        <v>127</v>
      </c>
      <c r="Q235" s="1" t="s">
        <v>131</v>
      </c>
      <c r="R235" s="1"/>
      <c r="S235" s="9">
        <v>15289.51</v>
      </c>
      <c r="T235" s="1">
        <v>0</v>
      </c>
      <c r="U235" s="1" t="s">
        <v>132</v>
      </c>
      <c r="V235" s="1" t="s">
        <v>15</v>
      </c>
      <c r="W235" s="1" t="s">
        <v>17</v>
      </c>
      <c r="X235" s="1" t="s">
        <v>111</v>
      </c>
      <c r="Y235" s="1"/>
      <c r="Z235" s="1" t="s">
        <v>712</v>
      </c>
      <c r="AA235" s="1" t="s">
        <v>17</v>
      </c>
      <c r="AB235" s="1">
        <v>0</v>
      </c>
      <c r="AC235" s="1" t="s">
        <v>17</v>
      </c>
      <c r="AD235" t="s">
        <v>112</v>
      </c>
      <c r="AE235" t="s">
        <v>113</v>
      </c>
      <c r="AF235" t="s">
        <v>1875</v>
      </c>
      <c r="AG235" t="s">
        <v>114</v>
      </c>
      <c r="AH235" t="s">
        <v>1873</v>
      </c>
      <c r="AI235" t="s">
        <v>1873</v>
      </c>
      <c r="AJ235" t="s">
        <v>135</v>
      </c>
      <c r="AK235" t="s">
        <v>257</v>
      </c>
      <c r="AL235" t="s">
        <v>137</v>
      </c>
      <c r="AM235" t="s">
        <v>117</v>
      </c>
      <c r="AN235" t="s">
        <v>538</v>
      </c>
      <c r="AO235" t="s">
        <v>429</v>
      </c>
      <c r="AP235" t="s">
        <v>119</v>
      </c>
      <c r="AQ235" t="s">
        <v>119</v>
      </c>
      <c r="AR235" t="s">
        <v>538</v>
      </c>
      <c r="AS235" t="s">
        <v>430</v>
      </c>
      <c r="AT235" t="s">
        <v>542</v>
      </c>
    </row>
    <row r="236" spans="1:46">
      <c r="A236" s="1" t="s">
        <v>1876</v>
      </c>
      <c r="B236" s="1" t="s">
        <v>1877</v>
      </c>
      <c r="C236" s="1" t="s">
        <v>1878</v>
      </c>
      <c r="D236" s="1" t="s">
        <v>101</v>
      </c>
      <c r="E236" s="1" t="s">
        <v>124</v>
      </c>
      <c r="F236" s="1" t="s">
        <v>103</v>
      </c>
      <c r="G236" s="1" t="s">
        <v>1879</v>
      </c>
      <c r="H236" s="1" t="s">
        <v>1880</v>
      </c>
      <c r="I236" s="1" t="s">
        <v>127</v>
      </c>
      <c r="J236" s="1" t="s">
        <v>128</v>
      </c>
      <c r="K236" s="1" t="s">
        <v>253</v>
      </c>
      <c r="L236" s="9">
        <v>-30153.58</v>
      </c>
      <c r="M236" s="1" t="s">
        <v>103</v>
      </c>
      <c r="N236" s="1" t="s">
        <v>261</v>
      </c>
      <c r="O236" s="1" t="s">
        <v>1880</v>
      </c>
      <c r="P236" s="1" t="s">
        <v>127</v>
      </c>
      <c r="Q236" s="1" t="s">
        <v>131</v>
      </c>
      <c r="R236" s="1"/>
      <c r="S236" s="9">
        <v>30153.58</v>
      </c>
      <c r="T236" s="1">
        <v>0</v>
      </c>
      <c r="U236" s="1" t="s">
        <v>132</v>
      </c>
      <c r="V236" s="1" t="s">
        <v>15</v>
      </c>
      <c r="W236" s="1" t="s">
        <v>17</v>
      </c>
      <c r="X236" s="1" t="s">
        <v>111</v>
      </c>
      <c r="Y236" s="1"/>
      <c r="Z236" s="1" t="s">
        <v>254</v>
      </c>
      <c r="AA236" s="1" t="s">
        <v>17</v>
      </c>
      <c r="AB236" s="1">
        <v>0</v>
      </c>
      <c r="AC236" s="1" t="s">
        <v>17</v>
      </c>
      <c r="AD236" t="s">
        <v>112</v>
      </c>
      <c r="AE236" t="s">
        <v>231</v>
      </c>
      <c r="AF236" t="s">
        <v>1881</v>
      </c>
      <c r="AG236" t="s">
        <v>114</v>
      </c>
      <c r="AH236" t="s">
        <v>1880</v>
      </c>
      <c r="AI236" t="s">
        <v>1880</v>
      </c>
      <c r="AJ236" t="s">
        <v>135</v>
      </c>
      <c r="AK236" t="s">
        <v>408</v>
      </c>
      <c r="AL236" t="s">
        <v>137</v>
      </c>
      <c r="AM236" t="s">
        <v>117</v>
      </c>
      <c r="AN236" t="s">
        <v>428</v>
      </c>
      <c r="AO236" t="s">
        <v>1882</v>
      </c>
      <c r="AP236" t="s">
        <v>119</v>
      </c>
      <c r="AQ236" t="s">
        <v>119</v>
      </c>
      <c r="AR236" t="s">
        <v>428</v>
      </c>
      <c r="AS236" t="s">
        <v>1883</v>
      </c>
      <c r="AT236" t="s">
        <v>261</v>
      </c>
    </row>
    <row r="237" spans="1:46">
      <c r="A237" s="1" t="s">
        <v>1884</v>
      </c>
      <c r="B237" s="1" t="s">
        <v>1885</v>
      </c>
      <c r="C237" s="1" t="s">
        <v>1886</v>
      </c>
      <c r="D237" s="1" t="s">
        <v>101</v>
      </c>
      <c r="E237" s="1" t="s">
        <v>124</v>
      </c>
      <c r="F237" s="1" t="s">
        <v>103</v>
      </c>
      <c r="G237" s="1" t="s">
        <v>1874</v>
      </c>
      <c r="H237" s="1" t="s">
        <v>1887</v>
      </c>
      <c r="I237" s="1" t="s">
        <v>127</v>
      </c>
      <c r="J237" s="1" t="s">
        <v>128</v>
      </c>
      <c r="K237" s="1" t="s">
        <v>1888</v>
      </c>
      <c r="L237" s="9">
        <v>-14661.16</v>
      </c>
      <c r="M237" s="1" t="s">
        <v>103</v>
      </c>
      <c r="N237" s="1" t="s">
        <v>1889</v>
      </c>
      <c r="O237" s="1" t="s">
        <v>1887</v>
      </c>
      <c r="P237" s="1" t="s">
        <v>127</v>
      </c>
      <c r="Q237" s="1" t="s">
        <v>131</v>
      </c>
      <c r="R237" s="1"/>
      <c r="S237" s="9">
        <v>14661.16</v>
      </c>
      <c r="T237" s="1">
        <v>0</v>
      </c>
      <c r="U237" s="1" t="s">
        <v>132</v>
      </c>
      <c r="V237" s="1" t="s">
        <v>15</v>
      </c>
      <c r="W237" s="1" t="s">
        <v>17</v>
      </c>
      <c r="X237" s="1" t="s">
        <v>111</v>
      </c>
      <c r="Y237" s="1"/>
      <c r="Z237" s="1" t="s">
        <v>712</v>
      </c>
      <c r="AA237" s="1" t="s">
        <v>17</v>
      </c>
      <c r="AB237" s="1">
        <v>0</v>
      </c>
      <c r="AC237" s="1" t="s">
        <v>17</v>
      </c>
      <c r="AD237" t="s">
        <v>112</v>
      </c>
      <c r="AE237" t="s">
        <v>113</v>
      </c>
      <c r="AF237" t="s">
        <v>1890</v>
      </c>
      <c r="AG237" t="s">
        <v>114</v>
      </c>
      <c r="AH237" t="s">
        <v>1887</v>
      </c>
      <c r="AI237" t="s">
        <v>1887</v>
      </c>
      <c r="AJ237" t="s">
        <v>135</v>
      </c>
      <c r="AK237" t="s">
        <v>257</v>
      </c>
      <c r="AL237" t="s">
        <v>137</v>
      </c>
      <c r="AM237" t="s">
        <v>117</v>
      </c>
      <c r="AN237" t="s">
        <v>538</v>
      </c>
      <c r="AO237" t="s">
        <v>299</v>
      </c>
      <c r="AP237" t="s">
        <v>119</v>
      </c>
      <c r="AQ237" t="s">
        <v>119</v>
      </c>
      <c r="AR237" t="s">
        <v>538</v>
      </c>
      <c r="AS237" t="s">
        <v>300</v>
      </c>
      <c r="AT237" t="s">
        <v>542</v>
      </c>
    </row>
    <row r="238" spans="1:46">
      <c r="A238" s="1" t="s">
        <v>1891</v>
      </c>
      <c r="B238" s="1" t="s">
        <v>1892</v>
      </c>
      <c r="C238" s="1" t="s">
        <v>1893</v>
      </c>
      <c r="D238" s="1" t="s">
        <v>40</v>
      </c>
      <c r="E238" s="1" t="s">
        <v>124</v>
      </c>
      <c r="F238" s="1" t="s">
        <v>103</v>
      </c>
      <c r="G238" s="1" t="s">
        <v>1894</v>
      </c>
      <c r="H238" s="1" t="s">
        <v>1895</v>
      </c>
      <c r="I238" s="1" t="s">
        <v>127</v>
      </c>
      <c r="J238" s="1" t="s">
        <v>128</v>
      </c>
      <c r="K238" s="1" t="s">
        <v>129</v>
      </c>
      <c r="L238" s="9">
        <v>-16546</v>
      </c>
      <c r="M238" s="1" t="s">
        <v>103</v>
      </c>
      <c r="N238" s="1" t="s">
        <v>1894</v>
      </c>
      <c r="O238" s="1" t="s">
        <v>1895</v>
      </c>
      <c r="P238" s="1" t="s">
        <v>127</v>
      </c>
      <c r="Q238" s="1" t="s">
        <v>131</v>
      </c>
      <c r="R238" s="1"/>
      <c r="S238" s="9">
        <v>16546.18</v>
      </c>
      <c r="T238" s="1">
        <v>0.18000000000029104</v>
      </c>
      <c r="U238" s="1" t="s">
        <v>146</v>
      </c>
      <c r="V238" s="1" t="s">
        <v>15</v>
      </c>
      <c r="W238" s="1" t="s">
        <v>17</v>
      </c>
      <c r="X238" s="1" t="s">
        <v>111</v>
      </c>
      <c r="Y238" s="1"/>
      <c r="Z238" s="1" t="s">
        <v>326</v>
      </c>
      <c r="AA238" s="1" t="s">
        <v>17</v>
      </c>
      <c r="AB238" s="1">
        <v>0</v>
      </c>
      <c r="AC238" s="1" t="s">
        <v>17</v>
      </c>
      <c r="AD238" t="s">
        <v>112</v>
      </c>
      <c r="AE238" t="s">
        <v>113</v>
      </c>
      <c r="AF238" t="s">
        <v>1896</v>
      </c>
      <c r="AG238" t="s">
        <v>114</v>
      </c>
      <c r="AH238" t="s">
        <v>1895</v>
      </c>
      <c r="AI238" t="s">
        <v>1895</v>
      </c>
      <c r="AJ238" t="s">
        <v>149</v>
      </c>
      <c r="AK238" t="s">
        <v>189</v>
      </c>
      <c r="AL238" t="s">
        <v>137</v>
      </c>
      <c r="AM238" t="s">
        <v>117</v>
      </c>
      <c r="AN238" t="s">
        <v>511</v>
      </c>
      <c r="AO238" t="s">
        <v>1307</v>
      </c>
      <c r="AP238" t="s">
        <v>119</v>
      </c>
      <c r="AQ238" t="s">
        <v>119</v>
      </c>
      <c r="AR238" t="s">
        <v>511</v>
      </c>
      <c r="AS238" t="s">
        <v>1308</v>
      </c>
      <c r="AT238" t="s">
        <v>1894</v>
      </c>
    </row>
    <row r="239" spans="1:46">
      <c r="A239" s="1" t="s">
        <v>1897</v>
      </c>
      <c r="B239" s="1" t="s">
        <v>1898</v>
      </c>
      <c r="C239" s="1" t="s">
        <v>1899</v>
      </c>
      <c r="D239" s="1" t="s">
        <v>101</v>
      </c>
      <c r="E239" s="1" t="s">
        <v>352</v>
      </c>
      <c r="F239" s="1" t="s">
        <v>103</v>
      </c>
      <c r="G239" s="1" t="s">
        <v>517</v>
      </c>
      <c r="H239" s="1" t="s">
        <v>1900</v>
      </c>
      <c r="I239" s="1" t="s">
        <v>106</v>
      </c>
      <c r="J239" s="1" t="s">
        <v>107</v>
      </c>
      <c r="K239" s="1"/>
      <c r="L239" s="9">
        <v>18431</v>
      </c>
      <c r="M239" s="1" t="s">
        <v>103</v>
      </c>
      <c r="N239" s="1" t="s">
        <v>1901</v>
      </c>
      <c r="O239" s="1"/>
      <c r="P239" s="1" t="s">
        <v>106</v>
      </c>
      <c r="Q239" s="1" t="s">
        <v>108</v>
      </c>
      <c r="R239" s="1" t="s">
        <v>109</v>
      </c>
      <c r="S239" s="9">
        <v>-18431</v>
      </c>
      <c r="T239" s="1">
        <v>0</v>
      </c>
      <c r="U239" s="1" t="s">
        <v>356</v>
      </c>
      <c r="V239" s="1" t="s">
        <v>15</v>
      </c>
      <c r="W239" s="1" t="s">
        <v>17</v>
      </c>
      <c r="X239" s="1" t="s">
        <v>111</v>
      </c>
      <c r="Y239" s="1"/>
      <c r="Z239" s="1" t="s">
        <v>1900</v>
      </c>
      <c r="AA239" s="1" t="s">
        <v>17</v>
      </c>
      <c r="AB239" s="1">
        <v>0</v>
      </c>
      <c r="AC239" s="1" t="s">
        <v>17</v>
      </c>
      <c r="AD239" t="s">
        <v>112</v>
      </c>
      <c r="AE239" t="s">
        <v>113</v>
      </c>
      <c r="AF239" t="s">
        <v>1900</v>
      </c>
      <c r="AG239" t="s">
        <v>114</v>
      </c>
      <c r="AH239" t="s">
        <v>1902</v>
      </c>
      <c r="AI239" t="s">
        <v>1902</v>
      </c>
      <c r="AJ239" t="s">
        <v>17</v>
      </c>
      <c r="AK239" t="s">
        <v>200</v>
      </c>
      <c r="AL239" t="s">
        <v>17</v>
      </c>
      <c r="AM239" t="s">
        <v>117</v>
      </c>
      <c r="AN239" t="s">
        <v>517</v>
      </c>
      <c r="AO239" t="s">
        <v>1903</v>
      </c>
      <c r="AP239" t="s">
        <v>119</v>
      </c>
      <c r="AQ239" t="s">
        <v>119</v>
      </c>
      <c r="AR239" t="s">
        <v>517</v>
      </c>
      <c r="AS239" t="s">
        <v>1904</v>
      </c>
      <c r="AT239" t="s">
        <v>517</v>
      </c>
    </row>
    <row r="240" spans="1:46">
      <c r="A240" s="1" t="s">
        <v>1905</v>
      </c>
      <c r="B240" s="1" t="s">
        <v>1906</v>
      </c>
      <c r="C240" s="1" t="s">
        <v>1907</v>
      </c>
      <c r="D240" s="1" t="s">
        <v>101</v>
      </c>
      <c r="E240" s="1" t="s">
        <v>124</v>
      </c>
      <c r="F240" s="1" t="s">
        <v>103</v>
      </c>
      <c r="G240" s="1" t="s">
        <v>1908</v>
      </c>
      <c r="H240" s="1" t="s">
        <v>1909</v>
      </c>
      <c r="I240" s="1" t="s">
        <v>127</v>
      </c>
      <c r="J240" s="1" t="s">
        <v>128</v>
      </c>
      <c r="K240" s="1" t="s">
        <v>129</v>
      </c>
      <c r="L240" s="9">
        <v>-15289.51</v>
      </c>
      <c r="M240" s="1" t="s">
        <v>103</v>
      </c>
      <c r="N240" s="1" t="s">
        <v>1908</v>
      </c>
      <c r="O240" s="1" t="s">
        <v>1909</v>
      </c>
      <c r="P240" s="1" t="s">
        <v>127</v>
      </c>
      <c r="Q240" s="1" t="s">
        <v>131</v>
      </c>
      <c r="R240" s="1"/>
      <c r="S240" s="9">
        <v>15289.51</v>
      </c>
      <c r="T240" s="1">
        <v>0</v>
      </c>
      <c r="U240" s="1" t="s">
        <v>132</v>
      </c>
      <c r="V240" s="1" t="s">
        <v>15</v>
      </c>
      <c r="W240" s="1" t="s">
        <v>17</v>
      </c>
      <c r="X240" s="1" t="s">
        <v>111</v>
      </c>
      <c r="Y240" s="1"/>
      <c r="Z240" s="1" t="s">
        <v>1211</v>
      </c>
      <c r="AA240" s="1" t="s">
        <v>17</v>
      </c>
      <c r="AB240" s="1">
        <v>0</v>
      </c>
      <c r="AC240" s="1" t="s">
        <v>17</v>
      </c>
      <c r="AD240" t="s">
        <v>112</v>
      </c>
      <c r="AE240" t="s">
        <v>113</v>
      </c>
      <c r="AF240" t="s">
        <v>1910</v>
      </c>
      <c r="AG240" t="s">
        <v>114</v>
      </c>
      <c r="AH240" t="s">
        <v>1909</v>
      </c>
      <c r="AI240" t="s">
        <v>1909</v>
      </c>
      <c r="AJ240" t="s">
        <v>135</v>
      </c>
      <c r="AK240" t="s">
        <v>663</v>
      </c>
      <c r="AL240" t="s">
        <v>137</v>
      </c>
      <c r="AM240" t="s">
        <v>117</v>
      </c>
      <c r="AN240" t="s">
        <v>664</v>
      </c>
      <c r="AO240" t="s">
        <v>429</v>
      </c>
      <c r="AP240" t="s">
        <v>119</v>
      </c>
      <c r="AQ240" t="s">
        <v>119</v>
      </c>
      <c r="AR240" t="s">
        <v>1335</v>
      </c>
      <c r="AS240" t="s">
        <v>430</v>
      </c>
      <c r="AT240" t="s">
        <v>1911</v>
      </c>
    </row>
    <row r="241" spans="1:46">
      <c r="A241" s="1" t="s">
        <v>1912</v>
      </c>
      <c r="B241" s="1" t="s">
        <v>1913</v>
      </c>
      <c r="C241" s="1" t="s">
        <v>1914</v>
      </c>
      <c r="D241" s="1" t="s">
        <v>40</v>
      </c>
      <c r="E241" s="1" t="s">
        <v>124</v>
      </c>
      <c r="F241" s="1" t="s">
        <v>103</v>
      </c>
      <c r="G241" s="1" t="s">
        <v>1644</v>
      </c>
      <c r="H241" s="1" t="s">
        <v>1915</v>
      </c>
      <c r="I241" s="1" t="s">
        <v>127</v>
      </c>
      <c r="J241" s="1" t="s">
        <v>128</v>
      </c>
      <c r="K241" s="1" t="s">
        <v>1161</v>
      </c>
      <c r="L241" s="9">
        <v>-11519</v>
      </c>
      <c r="M241" s="1" t="s">
        <v>103</v>
      </c>
      <c r="N241" s="1" t="s">
        <v>1644</v>
      </c>
      <c r="O241" s="1" t="s">
        <v>1915</v>
      </c>
      <c r="P241" s="1" t="s">
        <v>127</v>
      </c>
      <c r="Q241" s="1" t="s">
        <v>131</v>
      </c>
      <c r="R241" s="1"/>
      <c r="S241" s="9">
        <v>11519.5</v>
      </c>
      <c r="T241" s="1">
        <v>0.5</v>
      </c>
      <c r="U241" s="1" t="s">
        <v>146</v>
      </c>
      <c r="V241" s="1" t="s">
        <v>15</v>
      </c>
      <c r="W241" s="1" t="s">
        <v>17</v>
      </c>
      <c r="X241" s="1" t="s">
        <v>111</v>
      </c>
      <c r="Y241" s="1"/>
      <c r="Z241" s="1" t="s">
        <v>1162</v>
      </c>
      <c r="AA241" s="1" t="s">
        <v>17</v>
      </c>
      <c r="AB241" s="1">
        <v>0</v>
      </c>
      <c r="AC241" s="1" t="s">
        <v>17</v>
      </c>
      <c r="AD241" t="s">
        <v>112</v>
      </c>
      <c r="AE241" t="s">
        <v>113</v>
      </c>
      <c r="AF241" t="s">
        <v>1916</v>
      </c>
      <c r="AG241" t="s">
        <v>114</v>
      </c>
      <c r="AH241" t="s">
        <v>1915</v>
      </c>
      <c r="AI241" t="s">
        <v>1915</v>
      </c>
      <c r="AJ241" t="s">
        <v>149</v>
      </c>
      <c r="AK241" t="s">
        <v>161</v>
      </c>
      <c r="AL241" t="s">
        <v>137</v>
      </c>
      <c r="AM241" t="s">
        <v>117</v>
      </c>
      <c r="AN241" t="s">
        <v>157</v>
      </c>
      <c r="AO241" t="s">
        <v>1917</v>
      </c>
      <c r="AP241" t="s">
        <v>119</v>
      </c>
      <c r="AQ241" t="s">
        <v>119</v>
      </c>
      <c r="AR241" t="s">
        <v>157</v>
      </c>
      <c r="AS241" t="s">
        <v>1918</v>
      </c>
      <c r="AT241" t="s">
        <v>1159</v>
      </c>
    </row>
    <row r="242" spans="1:46">
      <c r="A242" s="1" t="s">
        <v>1919</v>
      </c>
      <c r="B242" s="1" t="s">
        <v>1920</v>
      </c>
      <c r="C242" s="1" t="s">
        <v>1921</v>
      </c>
      <c r="D242" s="1" t="s">
        <v>101</v>
      </c>
      <c r="E242" s="1" t="s">
        <v>124</v>
      </c>
      <c r="F242" s="1" t="s">
        <v>103</v>
      </c>
      <c r="G242" s="1" t="s">
        <v>1922</v>
      </c>
      <c r="H242" s="1" t="s">
        <v>1923</v>
      </c>
      <c r="I242" s="1" t="s">
        <v>127</v>
      </c>
      <c r="J242" s="1" t="s">
        <v>128</v>
      </c>
      <c r="K242" s="1" t="s">
        <v>129</v>
      </c>
      <c r="L242" s="9">
        <v>-15708.4</v>
      </c>
      <c r="M242" s="1" t="s">
        <v>103</v>
      </c>
      <c r="N242" s="1" t="s">
        <v>1922</v>
      </c>
      <c r="O242" s="1" t="s">
        <v>1923</v>
      </c>
      <c r="P242" s="1" t="s">
        <v>127</v>
      </c>
      <c r="Q242" s="1" t="s">
        <v>131</v>
      </c>
      <c r="R242" s="1"/>
      <c r="S242" s="9">
        <v>15708.4</v>
      </c>
      <c r="T242" s="1">
        <v>0</v>
      </c>
      <c r="U242" s="1" t="s">
        <v>132</v>
      </c>
      <c r="V242" s="1" t="s">
        <v>15</v>
      </c>
      <c r="W242" s="1" t="s">
        <v>17</v>
      </c>
      <c r="X242" s="1" t="s">
        <v>111</v>
      </c>
      <c r="Y242" s="1"/>
      <c r="Z242" s="1" t="s">
        <v>396</v>
      </c>
      <c r="AA242" s="1" t="s">
        <v>17</v>
      </c>
      <c r="AB242" s="1">
        <v>0</v>
      </c>
      <c r="AC242" s="1" t="s">
        <v>17</v>
      </c>
      <c r="AD242" t="s">
        <v>112</v>
      </c>
      <c r="AE242" t="s">
        <v>113</v>
      </c>
      <c r="AF242" t="s">
        <v>1924</v>
      </c>
      <c r="AG242" t="s">
        <v>114</v>
      </c>
      <c r="AH242" t="s">
        <v>1923</v>
      </c>
      <c r="AI242" t="s">
        <v>1923</v>
      </c>
      <c r="AJ242" t="s">
        <v>135</v>
      </c>
      <c r="AK242" t="s">
        <v>200</v>
      </c>
      <c r="AL242" t="s">
        <v>137</v>
      </c>
      <c r="AM242" t="s">
        <v>117</v>
      </c>
      <c r="AN242" t="s">
        <v>398</v>
      </c>
      <c r="AO242" t="s">
        <v>630</v>
      </c>
      <c r="AP242" t="s">
        <v>119</v>
      </c>
      <c r="AQ242" t="s">
        <v>119</v>
      </c>
      <c r="AR242" t="s">
        <v>400</v>
      </c>
      <c r="AS242" t="s">
        <v>631</v>
      </c>
      <c r="AT242" t="s">
        <v>522</v>
      </c>
    </row>
    <row r="243" spans="1:46">
      <c r="A243" s="1" t="s">
        <v>1925</v>
      </c>
      <c r="B243" s="1" t="s">
        <v>1926</v>
      </c>
      <c r="C243" s="1" t="s">
        <v>1927</v>
      </c>
      <c r="D243" s="1" t="s">
        <v>40</v>
      </c>
      <c r="E243" s="1" t="s">
        <v>124</v>
      </c>
      <c r="F243" s="1" t="s">
        <v>103</v>
      </c>
      <c r="G243" s="1" t="s">
        <v>773</v>
      </c>
      <c r="H243" s="1" t="s">
        <v>1928</v>
      </c>
      <c r="I243" s="1" t="s">
        <v>127</v>
      </c>
      <c r="J243" s="1" t="s">
        <v>128</v>
      </c>
      <c r="K243" s="1" t="s">
        <v>129</v>
      </c>
      <c r="L243" s="9">
        <v>-20735</v>
      </c>
      <c r="M243" s="1" t="s">
        <v>103</v>
      </c>
      <c r="N243" s="1" t="s">
        <v>773</v>
      </c>
      <c r="O243" s="1" t="s">
        <v>1928</v>
      </c>
      <c r="P243" s="1" t="s">
        <v>127</v>
      </c>
      <c r="Q243" s="1" t="s">
        <v>131</v>
      </c>
      <c r="R243" s="1"/>
      <c r="S243" s="9">
        <v>20735.080000000002</v>
      </c>
      <c r="T243" s="1">
        <v>8.000000000174623E-2</v>
      </c>
      <c r="U243" s="1" t="s">
        <v>146</v>
      </c>
      <c r="V243" s="1" t="s">
        <v>15</v>
      </c>
      <c r="W243" s="1" t="s">
        <v>17</v>
      </c>
      <c r="X243" s="1" t="s">
        <v>111</v>
      </c>
      <c r="Y243" s="1"/>
      <c r="Z243" s="1" t="s">
        <v>775</v>
      </c>
      <c r="AA243" s="1" t="s">
        <v>17</v>
      </c>
      <c r="AB243" s="1">
        <v>0</v>
      </c>
      <c r="AC243" s="1" t="s">
        <v>17</v>
      </c>
      <c r="AD243" t="s">
        <v>112</v>
      </c>
      <c r="AE243" t="s">
        <v>113</v>
      </c>
      <c r="AF243" t="s">
        <v>1929</v>
      </c>
      <c r="AG243" t="s">
        <v>114</v>
      </c>
      <c r="AH243" t="s">
        <v>1928</v>
      </c>
      <c r="AI243" t="s">
        <v>1928</v>
      </c>
      <c r="AJ243" t="s">
        <v>149</v>
      </c>
      <c r="AK243" t="s">
        <v>189</v>
      </c>
      <c r="AL243" t="s">
        <v>137</v>
      </c>
      <c r="AM243" t="s">
        <v>117</v>
      </c>
      <c r="AN243" t="s">
        <v>777</v>
      </c>
      <c r="AO243" t="s">
        <v>1930</v>
      </c>
      <c r="AP243" t="s">
        <v>119</v>
      </c>
      <c r="AQ243" t="s">
        <v>119</v>
      </c>
      <c r="AR243" t="s">
        <v>777</v>
      </c>
      <c r="AS243" t="s">
        <v>1931</v>
      </c>
      <c r="AT243" t="s">
        <v>1122</v>
      </c>
    </row>
    <row r="244" spans="1:46">
      <c r="A244" s="1" t="s">
        <v>1932</v>
      </c>
      <c r="B244" s="1" t="s">
        <v>1933</v>
      </c>
      <c r="C244" s="1" t="s">
        <v>1934</v>
      </c>
      <c r="D244" s="1" t="s">
        <v>101</v>
      </c>
      <c r="E244" s="1" t="s">
        <v>483</v>
      </c>
      <c r="F244" s="1" t="s">
        <v>103</v>
      </c>
      <c r="G244" s="1" t="s">
        <v>389</v>
      </c>
      <c r="H244" s="1" t="s">
        <v>373</v>
      </c>
      <c r="I244" s="1" t="s">
        <v>106</v>
      </c>
      <c r="J244" s="1" t="s">
        <v>107</v>
      </c>
      <c r="K244" s="1"/>
      <c r="L244" s="9">
        <v>49847.97</v>
      </c>
      <c r="M244" s="1" t="s">
        <v>103</v>
      </c>
      <c r="N244" s="1" t="s">
        <v>389</v>
      </c>
      <c r="O244" s="1"/>
      <c r="P244" s="1" t="s">
        <v>106</v>
      </c>
      <c r="Q244" s="1" t="s">
        <v>108</v>
      </c>
      <c r="R244" s="1" t="s">
        <v>109</v>
      </c>
      <c r="S244" s="9">
        <v>-70792.53</v>
      </c>
      <c r="T244" s="1">
        <v>0</v>
      </c>
      <c r="U244" s="1" t="s">
        <v>486</v>
      </c>
      <c r="V244" s="1" t="s">
        <v>15</v>
      </c>
      <c r="W244" s="1" t="s">
        <v>17</v>
      </c>
      <c r="X244" s="1" t="s">
        <v>111</v>
      </c>
      <c r="Y244" s="1"/>
      <c r="Z244" s="1" t="s">
        <v>373</v>
      </c>
      <c r="AA244" s="1" t="s">
        <v>17</v>
      </c>
      <c r="AB244" s="1">
        <v>0</v>
      </c>
      <c r="AC244" s="1" t="s">
        <v>17</v>
      </c>
      <c r="AD244" t="s">
        <v>112</v>
      </c>
      <c r="AE244" t="s">
        <v>113</v>
      </c>
      <c r="AF244" t="s">
        <v>373</v>
      </c>
      <c r="AG244" t="s">
        <v>114</v>
      </c>
      <c r="AH244" t="s">
        <v>1935</v>
      </c>
      <c r="AI244" t="s">
        <v>1935</v>
      </c>
      <c r="AJ244" t="s">
        <v>17</v>
      </c>
      <c r="AK244" t="s">
        <v>179</v>
      </c>
      <c r="AL244" t="s">
        <v>17</v>
      </c>
      <c r="AM244" t="s">
        <v>117</v>
      </c>
      <c r="AN244" t="s">
        <v>389</v>
      </c>
      <c r="AO244" t="s">
        <v>1936</v>
      </c>
      <c r="AP244" t="s">
        <v>119</v>
      </c>
      <c r="AQ244" t="s">
        <v>119</v>
      </c>
      <c r="AR244" t="s">
        <v>389</v>
      </c>
      <c r="AS244" t="s">
        <v>1937</v>
      </c>
      <c r="AT244" t="s">
        <v>389</v>
      </c>
    </row>
    <row r="245" spans="1:46">
      <c r="A245" s="1" t="s">
        <v>1938</v>
      </c>
      <c r="B245" s="1" t="s">
        <v>1939</v>
      </c>
      <c r="C245" s="1" t="s">
        <v>1934</v>
      </c>
      <c r="D245" s="1" t="s">
        <v>101</v>
      </c>
      <c r="E245" s="1" t="s">
        <v>483</v>
      </c>
      <c r="F245" s="1" t="s">
        <v>103</v>
      </c>
      <c r="G245" s="1" t="s">
        <v>389</v>
      </c>
      <c r="H245" s="1" t="s">
        <v>177</v>
      </c>
      <c r="I245" s="1" t="s">
        <v>106</v>
      </c>
      <c r="J245" s="1" t="s">
        <v>107</v>
      </c>
      <c r="K245" s="1"/>
      <c r="L245" s="9">
        <v>70792.53</v>
      </c>
      <c r="M245" s="1" t="s">
        <v>103</v>
      </c>
      <c r="N245" s="1" t="s">
        <v>389</v>
      </c>
      <c r="O245" s="1"/>
      <c r="P245" s="1" t="s">
        <v>106</v>
      </c>
      <c r="Q245" s="1" t="s">
        <v>108</v>
      </c>
      <c r="R245" s="1" t="s">
        <v>109</v>
      </c>
      <c r="S245" s="9">
        <v>-49847.97</v>
      </c>
      <c r="T245" s="1">
        <v>0</v>
      </c>
      <c r="U245" s="1" t="s">
        <v>486</v>
      </c>
      <c r="V245" s="1" t="s">
        <v>15</v>
      </c>
      <c r="W245" s="1" t="s">
        <v>17</v>
      </c>
      <c r="X245" s="1" t="s">
        <v>111</v>
      </c>
      <c r="Y245" s="1"/>
      <c r="Z245" s="1" t="s">
        <v>177</v>
      </c>
      <c r="AA245" s="1" t="s">
        <v>17</v>
      </c>
      <c r="AB245" s="1">
        <v>0</v>
      </c>
      <c r="AC245" s="1" t="s">
        <v>17</v>
      </c>
      <c r="AD245" t="s">
        <v>112</v>
      </c>
      <c r="AE245" t="s">
        <v>113</v>
      </c>
      <c r="AF245" t="s">
        <v>177</v>
      </c>
      <c r="AG245" t="s">
        <v>114</v>
      </c>
      <c r="AH245" t="s">
        <v>1940</v>
      </c>
      <c r="AI245" t="s">
        <v>1940</v>
      </c>
      <c r="AJ245" t="s">
        <v>17</v>
      </c>
      <c r="AK245" t="s">
        <v>179</v>
      </c>
      <c r="AL245" t="s">
        <v>17</v>
      </c>
      <c r="AM245" t="s">
        <v>117</v>
      </c>
      <c r="AN245" t="s">
        <v>389</v>
      </c>
      <c r="AO245" t="s">
        <v>1941</v>
      </c>
      <c r="AP245" t="s">
        <v>119</v>
      </c>
      <c r="AQ245" t="s">
        <v>119</v>
      </c>
      <c r="AR245" t="s">
        <v>389</v>
      </c>
      <c r="AS245" t="s">
        <v>1942</v>
      </c>
      <c r="AT245" t="s">
        <v>389</v>
      </c>
    </row>
    <row r="246" spans="1:46">
      <c r="A246" s="1" t="s">
        <v>1943</v>
      </c>
      <c r="B246" s="1" t="s">
        <v>1944</v>
      </c>
      <c r="C246" s="1" t="s">
        <v>1945</v>
      </c>
      <c r="D246" s="1" t="s">
        <v>101</v>
      </c>
      <c r="E246" s="1" t="s">
        <v>124</v>
      </c>
      <c r="F246" s="1" t="s">
        <v>103</v>
      </c>
      <c r="G246" s="1" t="s">
        <v>338</v>
      </c>
      <c r="H246" s="1" t="s">
        <v>1946</v>
      </c>
      <c r="I246" s="1" t="s">
        <v>127</v>
      </c>
      <c r="J246" s="1" t="s">
        <v>128</v>
      </c>
      <c r="K246" s="1" t="s">
        <v>129</v>
      </c>
      <c r="L246" s="9">
        <v>-14242.29</v>
      </c>
      <c r="M246" s="1" t="s">
        <v>103</v>
      </c>
      <c r="N246" s="1" t="s">
        <v>338</v>
      </c>
      <c r="O246" s="1" t="s">
        <v>1946</v>
      </c>
      <c r="P246" s="1" t="s">
        <v>127</v>
      </c>
      <c r="Q246" s="1" t="s">
        <v>131</v>
      </c>
      <c r="R246" s="1"/>
      <c r="S246" s="9">
        <v>14242.29</v>
      </c>
      <c r="T246" s="1">
        <v>0</v>
      </c>
      <c r="U246" s="1" t="s">
        <v>132</v>
      </c>
      <c r="V246" s="1" t="s">
        <v>15</v>
      </c>
      <c r="W246" s="1" t="s">
        <v>17</v>
      </c>
      <c r="X246" s="1" t="s">
        <v>111</v>
      </c>
      <c r="Y246" s="1"/>
      <c r="Z246" s="1" t="s">
        <v>1459</v>
      </c>
      <c r="AA246" s="1" t="s">
        <v>17</v>
      </c>
      <c r="AB246" s="1">
        <v>0</v>
      </c>
      <c r="AC246" s="1" t="s">
        <v>17</v>
      </c>
      <c r="AD246" t="s">
        <v>112</v>
      </c>
      <c r="AE246" t="s">
        <v>113</v>
      </c>
      <c r="AF246" t="s">
        <v>1947</v>
      </c>
      <c r="AG246" t="s">
        <v>114</v>
      </c>
      <c r="AH246" t="s">
        <v>1946</v>
      </c>
      <c r="AI246" t="s">
        <v>1946</v>
      </c>
      <c r="AJ246" t="s">
        <v>135</v>
      </c>
      <c r="AK246" t="s">
        <v>408</v>
      </c>
      <c r="AL246" t="s">
        <v>137</v>
      </c>
      <c r="AM246" t="s">
        <v>117</v>
      </c>
      <c r="AN246" t="s">
        <v>428</v>
      </c>
      <c r="AO246" t="s">
        <v>1948</v>
      </c>
      <c r="AP246" t="s">
        <v>119</v>
      </c>
      <c r="AQ246" t="s">
        <v>119</v>
      </c>
      <c r="AR246" t="s">
        <v>428</v>
      </c>
      <c r="AS246" t="s">
        <v>1949</v>
      </c>
      <c r="AT246" t="s">
        <v>338</v>
      </c>
    </row>
    <row r="247" spans="1:46">
      <c r="A247" s="1" t="s">
        <v>1950</v>
      </c>
      <c r="B247" s="1" t="s">
        <v>1951</v>
      </c>
      <c r="C247" s="1" t="s">
        <v>1952</v>
      </c>
      <c r="D247" s="1" t="s">
        <v>40</v>
      </c>
      <c r="E247" s="1" t="s">
        <v>124</v>
      </c>
      <c r="F247" s="1" t="s">
        <v>103</v>
      </c>
      <c r="G247" s="1" t="s">
        <v>1266</v>
      </c>
      <c r="H247" s="1" t="s">
        <v>1953</v>
      </c>
      <c r="I247" s="1" t="s">
        <v>127</v>
      </c>
      <c r="J247" s="1" t="s">
        <v>128</v>
      </c>
      <c r="K247" s="1" t="s">
        <v>129</v>
      </c>
      <c r="L247" s="9">
        <v>-15080</v>
      </c>
      <c r="M247" s="1" t="s">
        <v>103</v>
      </c>
      <c r="N247" s="1" t="s">
        <v>1266</v>
      </c>
      <c r="O247" s="1" t="s">
        <v>1953</v>
      </c>
      <c r="P247" s="1" t="s">
        <v>127</v>
      </c>
      <c r="Q247" s="1" t="s">
        <v>131</v>
      </c>
      <c r="R247" s="1"/>
      <c r="S247" s="9">
        <v>15080.05</v>
      </c>
      <c r="T247" s="1">
        <v>4.9999999999272404E-2</v>
      </c>
      <c r="U247" s="1" t="s">
        <v>146</v>
      </c>
      <c r="V247" s="1" t="s">
        <v>15</v>
      </c>
      <c r="W247" s="1" t="s">
        <v>17</v>
      </c>
      <c r="X247" s="1" t="s">
        <v>111</v>
      </c>
      <c r="Y247" s="1"/>
      <c r="Z247" s="1" t="s">
        <v>1004</v>
      </c>
      <c r="AA247" s="1" t="s">
        <v>17</v>
      </c>
      <c r="AB247" s="1">
        <v>0</v>
      </c>
      <c r="AC247" s="1" t="s">
        <v>17</v>
      </c>
      <c r="AD247" t="s">
        <v>112</v>
      </c>
      <c r="AE247" t="s">
        <v>113</v>
      </c>
      <c r="AF247" t="s">
        <v>1954</v>
      </c>
      <c r="AG247" t="s">
        <v>114</v>
      </c>
      <c r="AH247" t="s">
        <v>1953</v>
      </c>
      <c r="AI247" t="s">
        <v>1953</v>
      </c>
      <c r="AJ247" t="s">
        <v>135</v>
      </c>
      <c r="AK247" t="s">
        <v>257</v>
      </c>
      <c r="AL247" t="s">
        <v>137</v>
      </c>
      <c r="AM247" t="s">
        <v>117</v>
      </c>
      <c r="AN247" t="s">
        <v>258</v>
      </c>
      <c r="AO247" t="s">
        <v>501</v>
      </c>
      <c r="AP247" t="s">
        <v>119</v>
      </c>
      <c r="AQ247" t="s">
        <v>119</v>
      </c>
      <c r="AR247" t="s">
        <v>258</v>
      </c>
      <c r="AS247" t="s">
        <v>502</v>
      </c>
      <c r="AT247" t="s">
        <v>1038</v>
      </c>
    </row>
    <row r="248" spans="1:46">
      <c r="A248" s="1" t="s">
        <v>1955</v>
      </c>
      <c r="B248" s="1" t="s">
        <v>1956</v>
      </c>
      <c r="C248" s="1" t="s">
        <v>1957</v>
      </c>
      <c r="D248" s="1" t="s">
        <v>101</v>
      </c>
      <c r="E248" s="1" t="s">
        <v>102</v>
      </c>
      <c r="F248" s="1" t="s">
        <v>103</v>
      </c>
      <c r="G248" s="1" t="s">
        <v>412</v>
      </c>
      <c r="H248" s="1" t="s">
        <v>1958</v>
      </c>
      <c r="I248" s="1" t="s">
        <v>106</v>
      </c>
      <c r="J248" s="1" t="s">
        <v>107</v>
      </c>
      <c r="K248" s="1"/>
      <c r="L248" s="9">
        <v>31626.240000000002</v>
      </c>
      <c r="M248" s="1" t="s">
        <v>103</v>
      </c>
      <c r="N248" s="1" t="s">
        <v>412</v>
      </c>
      <c r="O248" s="1"/>
      <c r="P248" s="1" t="s">
        <v>106</v>
      </c>
      <c r="Q248" s="1" t="s">
        <v>108</v>
      </c>
      <c r="R248" s="1" t="s">
        <v>109</v>
      </c>
      <c r="S248" s="9">
        <v>-31626.240000000002</v>
      </c>
      <c r="T248" s="1">
        <v>0</v>
      </c>
      <c r="U248" s="1" t="s">
        <v>110</v>
      </c>
      <c r="V248" s="1" t="s">
        <v>15</v>
      </c>
      <c r="W248" s="1" t="s">
        <v>17</v>
      </c>
      <c r="X248" s="1" t="s">
        <v>111</v>
      </c>
      <c r="Y248" s="1"/>
      <c r="Z248" s="1" t="s">
        <v>1958</v>
      </c>
      <c r="AA248" s="1" t="s">
        <v>17</v>
      </c>
      <c r="AB248" s="1">
        <v>0</v>
      </c>
      <c r="AC248" s="1" t="s">
        <v>17</v>
      </c>
      <c r="AD248" t="s">
        <v>112</v>
      </c>
      <c r="AE248" t="s">
        <v>113</v>
      </c>
      <c r="AF248" t="s">
        <v>1958</v>
      </c>
      <c r="AG248" t="s">
        <v>114</v>
      </c>
      <c r="AH248" t="s">
        <v>1959</v>
      </c>
      <c r="AI248" t="s">
        <v>1959</v>
      </c>
      <c r="AJ248" t="s">
        <v>17</v>
      </c>
      <c r="AK248" t="s">
        <v>408</v>
      </c>
      <c r="AL248" t="s">
        <v>17</v>
      </c>
      <c r="AM248" t="s">
        <v>117</v>
      </c>
      <c r="AN248" t="s">
        <v>412</v>
      </c>
      <c r="AO248" t="s">
        <v>1960</v>
      </c>
      <c r="AP248" t="s">
        <v>119</v>
      </c>
      <c r="AQ248" t="s">
        <v>119</v>
      </c>
      <c r="AR248" t="s">
        <v>412</v>
      </c>
      <c r="AS248" t="s">
        <v>1961</v>
      </c>
      <c r="AT248" t="s">
        <v>412</v>
      </c>
    </row>
    <row r="249" spans="1:46">
      <c r="A249" s="1" t="s">
        <v>1962</v>
      </c>
      <c r="B249" s="1" t="s">
        <v>1963</v>
      </c>
      <c r="C249" s="1" t="s">
        <v>1964</v>
      </c>
      <c r="D249" s="1" t="s">
        <v>101</v>
      </c>
      <c r="E249" s="1" t="s">
        <v>124</v>
      </c>
      <c r="F249" s="1" t="s">
        <v>103</v>
      </c>
      <c r="G249" s="1" t="s">
        <v>1230</v>
      </c>
      <c r="H249" s="1" t="s">
        <v>1965</v>
      </c>
      <c r="I249" s="1" t="s">
        <v>127</v>
      </c>
      <c r="J249" s="1" t="s">
        <v>128</v>
      </c>
      <c r="K249" s="1" t="s">
        <v>253</v>
      </c>
      <c r="L249" s="9">
        <v>-23845.3</v>
      </c>
      <c r="M249" s="1" t="s">
        <v>103</v>
      </c>
      <c r="N249" s="1" t="s">
        <v>1230</v>
      </c>
      <c r="O249" s="1" t="s">
        <v>1965</v>
      </c>
      <c r="P249" s="1" t="s">
        <v>127</v>
      </c>
      <c r="Q249" s="1" t="s">
        <v>131</v>
      </c>
      <c r="R249" s="1"/>
      <c r="S249" s="9">
        <v>23845.3</v>
      </c>
      <c r="T249" s="1">
        <v>0</v>
      </c>
      <c r="U249" s="1" t="s">
        <v>132</v>
      </c>
      <c r="V249" s="1" t="s">
        <v>15</v>
      </c>
      <c r="W249" s="1" t="s">
        <v>17</v>
      </c>
      <c r="X249" s="1" t="s">
        <v>111</v>
      </c>
      <c r="Y249" s="1"/>
      <c r="Z249" s="1" t="s">
        <v>1966</v>
      </c>
      <c r="AA249" s="1" t="s">
        <v>17</v>
      </c>
      <c r="AB249" s="1">
        <v>0</v>
      </c>
      <c r="AC249" s="1" t="s">
        <v>17</v>
      </c>
      <c r="AD249" t="s">
        <v>112</v>
      </c>
      <c r="AE249" t="s">
        <v>231</v>
      </c>
      <c r="AF249" t="s">
        <v>1967</v>
      </c>
      <c r="AG249" t="s">
        <v>114</v>
      </c>
      <c r="AH249" t="s">
        <v>1965</v>
      </c>
      <c r="AI249" t="s">
        <v>1965</v>
      </c>
      <c r="AJ249" t="s">
        <v>135</v>
      </c>
      <c r="AK249" t="s">
        <v>233</v>
      </c>
      <c r="AL249" t="s">
        <v>137</v>
      </c>
      <c r="AM249" t="s">
        <v>117</v>
      </c>
      <c r="AN249" t="s">
        <v>867</v>
      </c>
      <c r="AO249" t="s">
        <v>1968</v>
      </c>
      <c r="AP249" t="s">
        <v>119</v>
      </c>
      <c r="AQ249" t="s">
        <v>119</v>
      </c>
      <c r="AR249" t="s">
        <v>867</v>
      </c>
      <c r="AS249" t="s">
        <v>1969</v>
      </c>
      <c r="AT249" t="s">
        <v>1970</v>
      </c>
    </row>
    <row r="250" spans="1:46">
      <c r="A250" s="1" t="s">
        <v>1971</v>
      </c>
      <c r="B250" s="1" t="s">
        <v>1972</v>
      </c>
      <c r="C250" s="1" t="s">
        <v>1973</v>
      </c>
      <c r="D250" s="1" t="s">
        <v>101</v>
      </c>
      <c r="E250" s="1" t="s">
        <v>352</v>
      </c>
      <c r="F250" s="1" t="s">
        <v>103</v>
      </c>
      <c r="G250" s="1" t="s">
        <v>144</v>
      </c>
      <c r="H250" s="1" t="s">
        <v>627</v>
      </c>
      <c r="I250" s="1" t="s">
        <v>106</v>
      </c>
      <c r="J250" s="1" t="s">
        <v>107</v>
      </c>
      <c r="K250" s="1"/>
      <c r="L250" s="9">
        <v>82521.42</v>
      </c>
      <c r="M250" s="1" t="s">
        <v>103</v>
      </c>
      <c r="N250" s="1" t="s">
        <v>761</v>
      </c>
      <c r="O250" s="1"/>
      <c r="P250" s="1" t="s">
        <v>106</v>
      </c>
      <c r="Q250" s="1" t="s">
        <v>108</v>
      </c>
      <c r="R250" s="1" t="s">
        <v>109</v>
      </c>
      <c r="S250" s="9">
        <v>-82521.42</v>
      </c>
      <c r="T250" s="1">
        <v>0</v>
      </c>
      <c r="U250" s="1" t="s">
        <v>356</v>
      </c>
      <c r="V250" s="1" t="s">
        <v>15</v>
      </c>
      <c r="W250" s="1" t="s">
        <v>17</v>
      </c>
      <c r="X250" s="1" t="s">
        <v>111</v>
      </c>
      <c r="Y250" s="1"/>
      <c r="Z250" s="1" t="s">
        <v>627</v>
      </c>
      <c r="AA250" s="1" t="s">
        <v>17</v>
      </c>
      <c r="AB250" s="1">
        <v>0</v>
      </c>
      <c r="AC250" s="1" t="s">
        <v>17</v>
      </c>
      <c r="AD250" t="s">
        <v>112</v>
      </c>
      <c r="AE250" t="s">
        <v>113</v>
      </c>
      <c r="AF250" t="s">
        <v>627</v>
      </c>
      <c r="AG250" t="s">
        <v>114</v>
      </c>
      <c r="AH250" t="s">
        <v>1974</v>
      </c>
      <c r="AI250" t="s">
        <v>1974</v>
      </c>
      <c r="AJ250" t="s">
        <v>17</v>
      </c>
      <c r="AK250" t="s">
        <v>150</v>
      </c>
      <c r="AL250" t="s">
        <v>17</v>
      </c>
      <c r="AM250" t="s">
        <v>117</v>
      </c>
      <c r="AN250" t="s">
        <v>144</v>
      </c>
      <c r="AO250" t="s">
        <v>1975</v>
      </c>
      <c r="AP250" t="s">
        <v>119</v>
      </c>
      <c r="AQ250" t="s">
        <v>119</v>
      </c>
      <c r="AR250" t="s">
        <v>144</v>
      </c>
      <c r="AS250" t="s">
        <v>1976</v>
      </c>
      <c r="AT250" t="s">
        <v>144</v>
      </c>
    </row>
    <row r="251" spans="1:46">
      <c r="A251" s="1" t="s">
        <v>1977</v>
      </c>
      <c r="B251" s="1" t="s">
        <v>1978</v>
      </c>
      <c r="C251" s="1" t="s">
        <v>1979</v>
      </c>
      <c r="D251" s="1" t="s">
        <v>101</v>
      </c>
      <c r="E251" s="1" t="s">
        <v>124</v>
      </c>
      <c r="F251" s="1" t="s">
        <v>103</v>
      </c>
      <c r="G251" s="1" t="s">
        <v>1980</v>
      </c>
      <c r="H251" s="1" t="s">
        <v>1981</v>
      </c>
      <c r="I251" s="1" t="s">
        <v>127</v>
      </c>
      <c r="J251" s="1" t="s">
        <v>128</v>
      </c>
      <c r="K251" s="1" t="s">
        <v>129</v>
      </c>
      <c r="L251" s="9">
        <v>-18640.62</v>
      </c>
      <c r="M251" s="1" t="s">
        <v>103</v>
      </c>
      <c r="N251" s="1" t="s">
        <v>386</v>
      </c>
      <c r="O251" s="1" t="s">
        <v>1981</v>
      </c>
      <c r="P251" s="1" t="s">
        <v>127</v>
      </c>
      <c r="Q251" s="1" t="s">
        <v>131</v>
      </c>
      <c r="R251" s="1"/>
      <c r="S251" s="9">
        <v>18640.62</v>
      </c>
      <c r="T251" s="1">
        <v>0</v>
      </c>
      <c r="U251" s="1" t="s">
        <v>132</v>
      </c>
      <c r="V251" s="1" t="s">
        <v>15</v>
      </c>
      <c r="W251" s="1" t="s">
        <v>17</v>
      </c>
      <c r="X251" s="1" t="s">
        <v>111</v>
      </c>
      <c r="Y251" s="1"/>
      <c r="Z251" s="1" t="s">
        <v>1017</v>
      </c>
      <c r="AA251" s="1" t="s">
        <v>17</v>
      </c>
      <c r="AB251" s="1">
        <v>0</v>
      </c>
      <c r="AC251" s="1" t="s">
        <v>17</v>
      </c>
      <c r="AD251" t="s">
        <v>112</v>
      </c>
      <c r="AE251" t="s">
        <v>113</v>
      </c>
      <c r="AF251" t="s">
        <v>1982</v>
      </c>
      <c r="AG251" t="s">
        <v>114</v>
      </c>
      <c r="AH251" t="s">
        <v>1981</v>
      </c>
      <c r="AI251" t="s">
        <v>1981</v>
      </c>
      <c r="AJ251" t="s">
        <v>135</v>
      </c>
      <c r="AK251" t="s">
        <v>179</v>
      </c>
      <c r="AL251" t="s">
        <v>137</v>
      </c>
      <c r="AM251" t="s">
        <v>117</v>
      </c>
      <c r="AN251" t="s">
        <v>680</v>
      </c>
      <c r="AO251" t="s">
        <v>707</v>
      </c>
      <c r="AP251" t="s">
        <v>119</v>
      </c>
      <c r="AQ251" t="s">
        <v>119</v>
      </c>
      <c r="AR251" t="s">
        <v>680</v>
      </c>
      <c r="AS251" t="s">
        <v>708</v>
      </c>
      <c r="AT251" t="s">
        <v>386</v>
      </c>
    </row>
    <row r="252" spans="1:46">
      <c r="A252" s="1" t="s">
        <v>1983</v>
      </c>
      <c r="B252" s="1" t="s">
        <v>1984</v>
      </c>
      <c r="C252" s="1" t="s">
        <v>1985</v>
      </c>
      <c r="D252" s="1" t="s">
        <v>40</v>
      </c>
      <c r="E252" s="1" t="s">
        <v>124</v>
      </c>
      <c r="F252" s="1" t="s">
        <v>103</v>
      </c>
      <c r="G252" s="1" t="s">
        <v>1986</v>
      </c>
      <c r="H252" s="1" t="s">
        <v>1987</v>
      </c>
      <c r="I252" s="1" t="s">
        <v>127</v>
      </c>
      <c r="J252" s="1" t="s">
        <v>128</v>
      </c>
      <c r="K252" s="1" t="s">
        <v>129</v>
      </c>
      <c r="L252" s="9">
        <v>-17593</v>
      </c>
      <c r="M252" s="1" t="s">
        <v>103</v>
      </c>
      <c r="N252" s="1" t="s">
        <v>1986</v>
      </c>
      <c r="O252" s="1" t="s">
        <v>1987</v>
      </c>
      <c r="P252" s="1" t="s">
        <v>127</v>
      </c>
      <c r="Q252" s="1" t="s">
        <v>131</v>
      </c>
      <c r="R252" s="1"/>
      <c r="S252" s="9">
        <v>17593.400000000001</v>
      </c>
      <c r="T252" s="1">
        <v>0.40000000000145519</v>
      </c>
      <c r="U252" s="1" t="s">
        <v>146</v>
      </c>
      <c r="V252" s="1" t="s">
        <v>15</v>
      </c>
      <c r="W252" s="1" t="s">
        <v>17</v>
      </c>
      <c r="X252" s="1" t="s">
        <v>111</v>
      </c>
      <c r="Y252" s="1"/>
      <c r="Z252" s="1" t="s">
        <v>635</v>
      </c>
      <c r="AA252" s="1" t="s">
        <v>17</v>
      </c>
      <c r="AB252" s="1">
        <v>0</v>
      </c>
      <c r="AC252" s="1" t="s">
        <v>17</v>
      </c>
      <c r="AD252" t="s">
        <v>112</v>
      </c>
      <c r="AE252" t="s">
        <v>113</v>
      </c>
      <c r="AF252" t="s">
        <v>1988</v>
      </c>
      <c r="AG252" t="s">
        <v>114</v>
      </c>
      <c r="AH252" t="s">
        <v>1987</v>
      </c>
      <c r="AI252" t="s">
        <v>1987</v>
      </c>
      <c r="AJ252" t="s">
        <v>149</v>
      </c>
      <c r="AK252" t="s">
        <v>189</v>
      </c>
      <c r="AL252" t="s">
        <v>137</v>
      </c>
      <c r="AM252" t="s">
        <v>117</v>
      </c>
      <c r="AN252" t="s">
        <v>511</v>
      </c>
      <c r="AO252" t="s">
        <v>1989</v>
      </c>
      <c r="AP252" t="s">
        <v>119</v>
      </c>
      <c r="AQ252" t="s">
        <v>119</v>
      </c>
      <c r="AR252" t="s">
        <v>511</v>
      </c>
      <c r="AS252" t="s">
        <v>1990</v>
      </c>
      <c r="AT252" t="s">
        <v>1986</v>
      </c>
    </row>
    <row r="253" spans="1:46">
      <c r="A253" s="1" t="s">
        <v>1991</v>
      </c>
      <c r="B253" s="1" t="s">
        <v>1992</v>
      </c>
      <c r="C253" s="1" t="s">
        <v>1993</v>
      </c>
      <c r="D253" s="1" t="s">
        <v>101</v>
      </c>
      <c r="E253" s="1" t="s">
        <v>124</v>
      </c>
      <c r="F253" s="1" t="s">
        <v>103</v>
      </c>
      <c r="G253" s="1" t="s">
        <v>1350</v>
      </c>
      <c r="H253" s="1" t="s">
        <v>1994</v>
      </c>
      <c r="I253" s="1" t="s">
        <v>127</v>
      </c>
      <c r="J253" s="1" t="s">
        <v>128</v>
      </c>
      <c r="K253" s="1" t="s">
        <v>129</v>
      </c>
      <c r="L253" s="9">
        <v>-16336.73</v>
      </c>
      <c r="M253" s="1" t="s">
        <v>103</v>
      </c>
      <c r="N253" s="1" t="s">
        <v>1350</v>
      </c>
      <c r="O253" s="1" t="s">
        <v>1994</v>
      </c>
      <c r="P253" s="1" t="s">
        <v>127</v>
      </c>
      <c r="Q253" s="1" t="s">
        <v>131</v>
      </c>
      <c r="R253" s="1"/>
      <c r="S253" s="9">
        <v>16336.73</v>
      </c>
      <c r="T253" s="1">
        <v>0</v>
      </c>
      <c r="U253" s="1" t="s">
        <v>132</v>
      </c>
      <c r="V253" s="1" t="s">
        <v>15</v>
      </c>
      <c r="W253" s="1" t="s">
        <v>17</v>
      </c>
      <c r="X253" s="1" t="s">
        <v>111</v>
      </c>
      <c r="Y253" s="1"/>
      <c r="Z253" s="1" t="s">
        <v>1995</v>
      </c>
      <c r="AA253" s="1" t="s">
        <v>17</v>
      </c>
      <c r="AB253" s="1">
        <v>0</v>
      </c>
      <c r="AC253" s="1" t="s">
        <v>17</v>
      </c>
      <c r="AD253" t="s">
        <v>112</v>
      </c>
      <c r="AE253" t="s">
        <v>113</v>
      </c>
      <c r="AF253" t="s">
        <v>1996</v>
      </c>
      <c r="AG253" t="s">
        <v>114</v>
      </c>
      <c r="AH253" t="s">
        <v>1994</v>
      </c>
      <c r="AI253" t="s">
        <v>1994</v>
      </c>
      <c r="AJ253" t="s">
        <v>135</v>
      </c>
      <c r="AK253" t="s">
        <v>663</v>
      </c>
      <c r="AL253" t="s">
        <v>137</v>
      </c>
      <c r="AM253" t="s">
        <v>117</v>
      </c>
      <c r="AN253" t="s">
        <v>1350</v>
      </c>
      <c r="AO253" t="s">
        <v>1527</v>
      </c>
      <c r="AP253" t="s">
        <v>119</v>
      </c>
      <c r="AQ253" t="s">
        <v>119</v>
      </c>
      <c r="AR253" t="s">
        <v>1357</v>
      </c>
      <c r="AS253" t="s">
        <v>1528</v>
      </c>
      <c r="AT253" t="s">
        <v>1350</v>
      </c>
    </row>
    <row r="254" spans="1:46">
      <c r="A254" s="1" t="s">
        <v>1997</v>
      </c>
      <c r="B254" s="1" t="s">
        <v>1998</v>
      </c>
      <c r="C254" s="1" t="s">
        <v>1999</v>
      </c>
      <c r="D254" s="1" t="s">
        <v>101</v>
      </c>
      <c r="E254" s="1" t="s">
        <v>102</v>
      </c>
      <c r="F254" s="1" t="s">
        <v>103</v>
      </c>
      <c r="G254" s="1" t="s">
        <v>559</v>
      </c>
      <c r="H254" s="1" t="s">
        <v>1459</v>
      </c>
      <c r="I254" s="1" t="s">
        <v>106</v>
      </c>
      <c r="J254" s="1" t="s">
        <v>107</v>
      </c>
      <c r="K254" s="1"/>
      <c r="L254" s="9">
        <v>30160.13</v>
      </c>
      <c r="M254" s="1" t="s">
        <v>103</v>
      </c>
      <c r="N254" s="1" t="s">
        <v>559</v>
      </c>
      <c r="O254" s="1"/>
      <c r="P254" s="1" t="s">
        <v>106</v>
      </c>
      <c r="Q254" s="1" t="s">
        <v>108</v>
      </c>
      <c r="R254" s="1" t="s">
        <v>109</v>
      </c>
      <c r="S254" s="9">
        <v>-30160.13</v>
      </c>
      <c r="T254" s="1">
        <v>0</v>
      </c>
      <c r="U254" s="1" t="s">
        <v>110</v>
      </c>
      <c r="V254" s="1" t="s">
        <v>15</v>
      </c>
      <c r="W254" s="1" t="s">
        <v>17</v>
      </c>
      <c r="X254" s="1" t="s">
        <v>111</v>
      </c>
      <c r="Y254" s="1"/>
      <c r="Z254" s="1" t="s">
        <v>1459</v>
      </c>
      <c r="AA254" s="1" t="s">
        <v>17</v>
      </c>
      <c r="AB254" s="1">
        <v>0</v>
      </c>
      <c r="AC254" s="1" t="s">
        <v>17</v>
      </c>
      <c r="AD254" t="s">
        <v>112</v>
      </c>
      <c r="AE254" t="s">
        <v>113</v>
      </c>
      <c r="AF254" t="s">
        <v>1459</v>
      </c>
      <c r="AG254" t="s">
        <v>114</v>
      </c>
      <c r="AH254" t="s">
        <v>2000</v>
      </c>
      <c r="AI254" t="s">
        <v>2000</v>
      </c>
      <c r="AJ254" t="s">
        <v>17</v>
      </c>
      <c r="AK254" t="s">
        <v>408</v>
      </c>
      <c r="AL254" t="s">
        <v>17</v>
      </c>
      <c r="AM254" t="s">
        <v>117</v>
      </c>
      <c r="AN254" t="s">
        <v>559</v>
      </c>
      <c r="AO254" t="s">
        <v>2001</v>
      </c>
      <c r="AP254" t="s">
        <v>119</v>
      </c>
      <c r="AQ254" t="s">
        <v>119</v>
      </c>
      <c r="AR254" t="s">
        <v>559</v>
      </c>
      <c r="AS254" t="s">
        <v>2002</v>
      </c>
      <c r="AT254" t="s">
        <v>559</v>
      </c>
    </row>
    <row r="255" spans="1:46">
      <c r="A255" s="1" t="s">
        <v>2003</v>
      </c>
      <c r="B255" s="1" t="s">
        <v>2004</v>
      </c>
      <c r="C255" s="1" t="s">
        <v>2005</v>
      </c>
      <c r="D255" s="1" t="s">
        <v>40</v>
      </c>
      <c r="E255" s="1" t="s">
        <v>124</v>
      </c>
      <c r="F255" s="1" t="s">
        <v>103</v>
      </c>
      <c r="G255" s="1" t="s">
        <v>341</v>
      </c>
      <c r="H255" s="1" t="s">
        <v>2006</v>
      </c>
      <c r="I255" s="1" t="s">
        <v>127</v>
      </c>
      <c r="J255" s="1" t="s">
        <v>128</v>
      </c>
      <c r="K255" s="1" t="s">
        <v>129</v>
      </c>
      <c r="L255" s="9">
        <v>-16546</v>
      </c>
      <c r="M255" s="1" t="s">
        <v>103</v>
      </c>
      <c r="N255" s="1" t="s">
        <v>341</v>
      </c>
      <c r="O255" s="1" t="s">
        <v>2006</v>
      </c>
      <c r="P255" s="1" t="s">
        <v>127</v>
      </c>
      <c r="Q255" s="1" t="s">
        <v>131</v>
      </c>
      <c r="R255" s="1"/>
      <c r="S255" s="9">
        <v>16546.18</v>
      </c>
      <c r="T255" s="1">
        <v>0.18000000000029104</v>
      </c>
      <c r="U255" s="1" t="s">
        <v>146</v>
      </c>
      <c r="V255" s="1" t="s">
        <v>15</v>
      </c>
      <c r="W255" s="1" t="s">
        <v>17</v>
      </c>
      <c r="X255" s="1" t="s">
        <v>111</v>
      </c>
      <c r="Y255" s="1"/>
      <c r="Z255" s="1" t="s">
        <v>1684</v>
      </c>
      <c r="AA255" s="1" t="s">
        <v>17</v>
      </c>
      <c r="AB255" s="1">
        <v>0</v>
      </c>
      <c r="AC255" s="1" t="s">
        <v>17</v>
      </c>
      <c r="AD255" t="s">
        <v>112</v>
      </c>
      <c r="AE255" t="s">
        <v>113</v>
      </c>
      <c r="AF255" t="s">
        <v>2007</v>
      </c>
      <c r="AG255" t="s">
        <v>114</v>
      </c>
      <c r="AH255" t="s">
        <v>2006</v>
      </c>
      <c r="AI255" t="s">
        <v>2006</v>
      </c>
      <c r="AJ255" t="s">
        <v>135</v>
      </c>
      <c r="AK255" t="s">
        <v>257</v>
      </c>
      <c r="AL255" t="s">
        <v>137</v>
      </c>
      <c r="AM255" t="s">
        <v>117</v>
      </c>
      <c r="AN255" t="s">
        <v>1457</v>
      </c>
      <c r="AO255" t="s">
        <v>1307</v>
      </c>
      <c r="AP255" t="s">
        <v>119</v>
      </c>
      <c r="AQ255" t="s">
        <v>119</v>
      </c>
      <c r="AR255" t="s">
        <v>1457</v>
      </c>
      <c r="AS255" t="s">
        <v>1308</v>
      </c>
      <c r="AT255" t="s">
        <v>338</v>
      </c>
    </row>
    <row r="256" spans="1:46">
      <c r="A256" s="1" t="s">
        <v>2008</v>
      </c>
      <c r="B256" s="1" t="s">
        <v>2009</v>
      </c>
      <c r="C256" s="1" t="s">
        <v>2010</v>
      </c>
      <c r="D256" s="1" t="s">
        <v>40</v>
      </c>
      <c r="E256" s="1" t="s">
        <v>124</v>
      </c>
      <c r="F256" s="1" t="s">
        <v>103</v>
      </c>
      <c r="G256" s="1" t="s">
        <v>2011</v>
      </c>
      <c r="H256" s="1" t="s">
        <v>2012</v>
      </c>
      <c r="I256" s="1" t="s">
        <v>127</v>
      </c>
      <c r="J256" s="1" t="s">
        <v>128</v>
      </c>
      <c r="K256" s="1" t="s">
        <v>129</v>
      </c>
      <c r="L256" s="9">
        <v>-14032</v>
      </c>
      <c r="M256" s="1" t="s">
        <v>103</v>
      </c>
      <c r="N256" s="1" t="s">
        <v>2011</v>
      </c>
      <c r="O256" s="1" t="s">
        <v>2012</v>
      </c>
      <c r="P256" s="1" t="s">
        <v>127</v>
      </c>
      <c r="Q256" s="1" t="s">
        <v>131</v>
      </c>
      <c r="R256" s="1"/>
      <c r="S256" s="9">
        <v>14032.83</v>
      </c>
      <c r="T256" s="1">
        <v>0.82999999999992724</v>
      </c>
      <c r="U256" s="1" t="s">
        <v>146</v>
      </c>
      <c r="V256" s="1" t="s">
        <v>15</v>
      </c>
      <c r="W256" s="1" t="s">
        <v>17</v>
      </c>
      <c r="X256" s="1" t="s">
        <v>111</v>
      </c>
      <c r="Y256" s="1"/>
      <c r="Z256" s="1" t="s">
        <v>1169</v>
      </c>
      <c r="AA256" s="1" t="s">
        <v>17</v>
      </c>
      <c r="AB256" s="1">
        <v>0</v>
      </c>
      <c r="AC256" s="1" t="s">
        <v>17</v>
      </c>
      <c r="AD256" t="s">
        <v>112</v>
      </c>
      <c r="AE256" t="s">
        <v>113</v>
      </c>
      <c r="AF256" t="s">
        <v>2013</v>
      </c>
      <c r="AG256" t="s">
        <v>114</v>
      </c>
      <c r="AH256" t="s">
        <v>2012</v>
      </c>
      <c r="AI256" t="s">
        <v>2012</v>
      </c>
      <c r="AJ256" t="s">
        <v>149</v>
      </c>
      <c r="AK256" t="s">
        <v>116</v>
      </c>
      <c r="AL256" t="s">
        <v>137</v>
      </c>
      <c r="AM256" t="s">
        <v>117</v>
      </c>
      <c r="AN256" t="s">
        <v>435</v>
      </c>
      <c r="AO256" t="s">
        <v>512</v>
      </c>
      <c r="AP256" t="s">
        <v>119</v>
      </c>
      <c r="AQ256" t="s">
        <v>119</v>
      </c>
      <c r="AR256" t="s">
        <v>435</v>
      </c>
      <c r="AS256" t="s">
        <v>513</v>
      </c>
      <c r="AT256" t="s">
        <v>2011</v>
      </c>
    </row>
    <row r="257" spans="1:46">
      <c r="A257" s="1" t="s">
        <v>2014</v>
      </c>
      <c r="B257" s="1" t="s">
        <v>2015</v>
      </c>
      <c r="C257" s="1" t="s">
        <v>2016</v>
      </c>
      <c r="D257" s="1" t="s">
        <v>101</v>
      </c>
      <c r="E257" s="1" t="s">
        <v>102</v>
      </c>
      <c r="F257" s="1" t="s">
        <v>103</v>
      </c>
      <c r="G257" s="1" t="s">
        <v>1218</v>
      </c>
      <c r="H257" s="1" t="s">
        <v>1995</v>
      </c>
      <c r="I257" s="1" t="s">
        <v>106</v>
      </c>
      <c r="J257" s="1" t="s">
        <v>107</v>
      </c>
      <c r="K257" s="1"/>
      <c r="L257" s="9">
        <v>16336.73</v>
      </c>
      <c r="M257" s="1" t="s">
        <v>103</v>
      </c>
      <c r="N257" s="1" t="s">
        <v>1218</v>
      </c>
      <c r="O257" s="1"/>
      <c r="P257" s="1" t="s">
        <v>106</v>
      </c>
      <c r="Q257" s="1" t="s">
        <v>108</v>
      </c>
      <c r="R257" s="1" t="s">
        <v>109</v>
      </c>
      <c r="S257" s="9">
        <v>-16336.73</v>
      </c>
      <c r="T257" s="1">
        <v>0</v>
      </c>
      <c r="U257" s="1" t="s">
        <v>110</v>
      </c>
      <c r="V257" s="1" t="s">
        <v>15</v>
      </c>
      <c r="W257" s="1" t="s">
        <v>17</v>
      </c>
      <c r="X257" s="1" t="s">
        <v>111</v>
      </c>
      <c r="Y257" s="1"/>
      <c r="Z257" s="1" t="s">
        <v>1995</v>
      </c>
      <c r="AA257" s="1" t="s">
        <v>17</v>
      </c>
      <c r="AB257" s="1">
        <v>0</v>
      </c>
      <c r="AC257" s="1" t="s">
        <v>17</v>
      </c>
      <c r="AD257" t="s">
        <v>112</v>
      </c>
      <c r="AE257" t="s">
        <v>113</v>
      </c>
      <c r="AF257" t="s">
        <v>1995</v>
      </c>
      <c r="AG257" t="s">
        <v>114</v>
      </c>
      <c r="AH257" t="s">
        <v>2017</v>
      </c>
      <c r="AI257" t="s">
        <v>2017</v>
      </c>
      <c r="AJ257" t="s">
        <v>17</v>
      </c>
      <c r="AK257" t="s">
        <v>136</v>
      </c>
      <c r="AL257" t="s">
        <v>17</v>
      </c>
      <c r="AM257" t="s">
        <v>117</v>
      </c>
      <c r="AN257" t="s">
        <v>1218</v>
      </c>
      <c r="AO257" t="s">
        <v>832</v>
      </c>
      <c r="AP257" t="s">
        <v>119</v>
      </c>
      <c r="AQ257" t="s">
        <v>119</v>
      </c>
      <c r="AR257" t="s">
        <v>1218</v>
      </c>
      <c r="AS257" t="s">
        <v>833</v>
      </c>
      <c r="AT257" t="s">
        <v>1218</v>
      </c>
    </row>
    <row r="258" spans="1:46">
      <c r="A258" s="1" t="s">
        <v>2018</v>
      </c>
      <c r="B258" s="1" t="s">
        <v>2019</v>
      </c>
      <c r="C258" s="1" t="s">
        <v>2020</v>
      </c>
      <c r="D258" s="1" t="s">
        <v>101</v>
      </c>
      <c r="E258" s="1" t="s">
        <v>124</v>
      </c>
      <c r="F258" s="1" t="s">
        <v>103</v>
      </c>
      <c r="G258" s="1" t="s">
        <v>1106</v>
      </c>
      <c r="H258" s="1" t="s">
        <v>2021</v>
      </c>
      <c r="I258" s="1" t="s">
        <v>127</v>
      </c>
      <c r="J258" s="1" t="s">
        <v>128</v>
      </c>
      <c r="K258" s="1" t="s">
        <v>129</v>
      </c>
      <c r="L258" s="9">
        <v>-17383.97</v>
      </c>
      <c r="M258" s="1" t="s">
        <v>103</v>
      </c>
      <c r="N258" s="1" t="s">
        <v>1106</v>
      </c>
      <c r="O258" s="1" t="s">
        <v>2021</v>
      </c>
      <c r="P258" s="1" t="s">
        <v>127</v>
      </c>
      <c r="Q258" s="1" t="s">
        <v>131</v>
      </c>
      <c r="R258" s="1"/>
      <c r="S258" s="9">
        <v>17383.97</v>
      </c>
      <c r="T258" s="1">
        <v>0</v>
      </c>
      <c r="U258" s="1" t="s">
        <v>132</v>
      </c>
      <c r="V258" s="1" t="s">
        <v>15</v>
      </c>
      <c r="W258" s="1" t="s">
        <v>17</v>
      </c>
      <c r="X258" s="1" t="s">
        <v>111</v>
      </c>
      <c r="Y258" s="1"/>
      <c r="Z258" s="1" t="s">
        <v>651</v>
      </c>
      <c r="AA258" s="1" t="s">
        <v>17</v>
      </c>
      <c r="AB258" s="1">
        <v>0</v>
      </c>
      <c r="AC258" s="1" t="s">
        <v>17</v>
      </c>
      <c r="AD258" t="s">
        <v>112</v>
      </c>
      <c r="AE258" t="s">
        <v>113</v>
      </c>
      <c r="AF258" t="s">
        <v>2022</v>
      </c>
      <c r="AG258" t="s">
        <v>114</v>
      </c>
      <c r="AH258" t="s">
        <v>2021</v>
      </c>
      <c r="AI258" t="s">
        <v>2021</v>
      </c>
      <c r="AJ258" t="s">
        <v>149</v>
      </c>
      <c r="AK258" t="s">
        <v>116</v>
      </c>
      <c r="AL258" t="s">
        <v>137</v>
      </c>
      <c r="AM258" t="s">
        <v>117</v>
      </c>
      <c r="AN258" t="s">
        <v>287</v>
      </c>
      <c r="AO258" t="s">
        <v>882</v>
      </c>
      <c r="AP258" t="s">
        <v>119</v>
      </c>
      <c r="AQ258" t="s">
        <v>119</v>
      </c>
      <c r="AR258" t="s">
        <v>287</v>
      </c>
      <c r="AS258" t="s">
        <v>883</v>
      </c>
      <c r="AT258" t="s">
        <v>1106</v>
      </c>
    </row>
    <row r="259" spans="1:46">
      <c r="A259" s="1" t="s">
        <v>2023</v>
      </c>
      <c r="B259" s="1" t="s">
        <v>2024</v>
      </c>
      <c r="C259" s="1" t="s">
        <v>2025</v>
      </c>
      <c r="D259" s="1" t="s">
        <v>101</v>
      </c>
      <c r="E259" s="1" t="s">
        <v>102</v>
      </c>
      <c r="F259" s="1" t="s">
        <v>103</v>
      </c>
      <c r="G259" s="1" t="s">
        <v>2026</v>
      </c>
      <c r="H259" s="1" t="s">
        <v>1211</v>
      </c>
      <c r="I259" s="1" t="s">
        <v>106</v>
      </c>
      <c r="J259" s="1" t="s">
        <v>107</v>
      </c>
      <c r="K259" s="1"/>
      <c r="L259" s="9">
        <v>55503</v>
      </c>
      <c r="M259" s="1" t="s">
        <v>103</v>
      </c>
      <c r="N259" s="1" t="s">
        <v>2026</v>
      </c>
      <c r="O259" s="1"/>
      <c r="P259" s="1" t="s">
        <v>106</v>
      </c>
      <c r="Q259" s="1" t="s">
        <v>108</v>
      </c>
      <c r="R259" s="1" t="s">
        <v>109</v>
      </c>
      <c r="S259" s="9">
        <v>-55503</v>
      </c>
      <c r="T259" s="1">
        <v>0</v>
      </c>
      <c r="U259" s="1" t="s">
        <v>110</v>
      </c>
      <c r="V259" s="1" t="s">
        <v>15</v>
      </c>
      <c r="W259" s="1" t="s">
        <v>17</v>
      </c>
      <c r="X259" s="1" t="s">
        <v>111</v>
      </c>
      <c r="Y259" s="1"/>
      <c r="Z259" s="1" t="s">
        <v>1211</v>
      </c>
      <c r="AA259" s="1" t="s">
        <v>17</v>
      </c>
      <c r="AB259" s="1">
        <v>0</v>
      </c>
      <c r="AC259" s="1" t="s">
        <v>17</v>
      </c>
      <c r="AD259" t="s">
        <v>112</v>
      </c>
      <c r="AE259" t="s">
        <v>113</v>
      </c>
      <c r="AF259" t="s">
        <v>1211</v>
      </c>
      <c r="AG259" t="s">
        <v>114</v>
      </c>
      <c r="AH259" t="s">
        <v>2027</v>
      </c>
      <c r="AI259" t="s">
        <v>2027</v>
      </c>
      <c r="AJ259" t="s">
        <v>17</v>
      </c>
      <c r="AK259" t="s">
        <v>663</v>
      </c>
      <c r="AL259" t="s">
        <v>17</v>
      </c>
      <c r="AM259" t="s">
        <v>117</v>
      </c>
      <c r="AN259" t="s">
        <v>2026</v>
      </c>
      <c r="AO259" t="s">
        <v>2028</v>
      </c>
      <c r="AP259" t="s">
        <v>119</v>
      </c>
      <c r="AQ259" t="s">
        <v>119</v>
      </c>
      <c r="AR259" t="s">
        <v>2026</v>
      </c>
      <c r="AS259" t="s">
        <v>2029</v>
      </c>
      <c r="AT259" t="s">
        <v>2026</v>
      </c>
    </row>
    <row r="260" spans="1:46">
      <c r="A260" s="1" t="s">
        <v>2030</v>
      </c>
      <c r="B260" s="1" t="s">
        <v>2031</v>
      </c>
      <c r="C260" s="1" t="s">
        <v>2032</v>
      </c>
      <c r="D260" s="1" t="s">
        <v>101</v>
      </c>
      <c r="E260" s="1" t="s">
        <v>102</v>
      </c>
      <c r="F260" s="1" t="s">
        <v>103</v>
      </c>
      <c r="G260" s="1" t="s">
        <v>278</v>
      </c>
      <c r="H260" s="1" t="s">
        <v>815</v>
      </c>
      <c r="I260" s="1" t="s">
        <v>106</v>
      </c>
      <c r="J260" s="1" t="s">
        <v>107</v>
      </c>
      <c r="K260" s="1"/>
      <c r="L260" s="9">
        <v>68069.009999999995</v>
      </c>
      <c r="M260" s="1" t="s">
        <v>103</v>
      </c>
      <c r="N260" s="1" t="s">
        <v>278</v>
      </c>
      <c r="O260" s="1"/>
      <c r="P260" s="1" t="s">
        <v>106</v>
      </c>
      <c r="Q260" s="1" t="s">
        <v>108</v>
      </c>
      <c r="R260" s="1" t="s">
        <v>109</v>
      </c>
      <c r="S260" s="9">
        <v>-68069.009999999995</v>
      </c>
      <c r="T260" s="1">
        <v>0</v>
      </c>
      <c r="U260" s="1" t="s">
        <v>110</v>
      </c>
      <c r="V260" s="1" t="s">
        <v>15</v>
      </c>
      <c r="W260" s="1" t="s">
        <v>17</v>
      </c>
      <c r="X260" s="1" t="s">
        <v>111</v>
      </c>
      <c r="Y260" s="1"/>
      <c r="Z260" s="1" t="s">
        <v>815</v>
      </c>
      <c r="AA260" s="1" t="s">
        <v>17</v>
      </c>
      <c r="AB260" s="1">
        <v>0</v>
      </c>
      <c r="AC260" s="1" t="s">
        <v>17</v>
      </c>
      <c r="AD260" t="s">
        <v>112</v>
      </c>
      <c r="AE260" t="s">
        <v>113</v>
      </c>
      <c r="AF260" t="s">
        <v>815</v>
      </c>
      <c r="AG260" t="s">
        <v>114</v>
      </c>
      <c r="AH260" t="s">
        <v>2033</v>
      </c>
      <c r="AI260" t="s">
        <v>2033</v>
      </c>
      <c r="AJ260" t="s">
        <v>17</v>
      </c>
      <c r="AK260" t="s">
        <v>150</v>
      </c>
      <c r="AL260" t="s">
        <v>17</v>
      </c>
      <c r="AM260" t="s">
        <v>117</v>
      </c>
      <c r="AN260" t="s">
        <v>278</v>
      </c>
      <c r="AO260" t="s">
        <v>2034</v>
      </c>
      <c r="AP260" t="s">
        <v>119</v>
      </c>
      <c r="AQ260" t="s">
        <v>119</v>
      </c>
      <c r="AR260" t="s">
        <v>278</v>
      </c>
      <c r="AS260" t="s">
        <v>2035</v>
      </c>
      <c r="AT260" t="s">
        <v>278</v>
      </c>
    </row>
    <row r="261" spans="1:46">
      <c r="A261" s="1" t="s">
        <v>2036</v>
      </c>
      <c r="B261" s="1" t="s">
        <v>2037</v>
      </c>
      <c r="C261" s="1" t="s">
        <v>2038</v>
      </c>
      <c r="D261" s="1" t="s">
        <v>101</v>
      </c>
      <c r="E261" s="1" t="s">
        <v>102</v>
      </c>
      <c r="F261" s="1" t="s">
        <v>103</v>
      </c>
      <c r="G261" s="1" t="s">
        <v>2039</v>
      </c>
      <c r="H261" s="1" t="s">
        <v>2040</v>
      </c>
      <c r="I261" s="1" t="s">
        <v>106</v>
      </c>
      <c r="J261" s="1" t="s">
        <v>107</v>
      </c>
      <c r="K261" s="1"/>
      <c r="L261" s="9">
        <v>10262.030000000001</v>
      </c>
      <c r="M261" s="1" t="s">
        <v>103</v>
      </c>
      <c r="N261" s="1" t="s">
        <v>2039</v>
      </c>
      <c r="O261" s="1"/>
      <c r="P261" s="1" t="s">
        <v>106</v>
      </c>
      <c r="Q261" s="1" t="s">
        <v>108</v>
      </c>
      <c r="R261" s="1" t="s">
        <v>109</v>
      </c>
      <c r="S261" s="9">
        <v>-10262.030000000001</v>
      </c>
      <c r="T261" s="1">
        <v>0</v>
      </c>
      <c r="U261" s="1" t="s">
        <v>110</v>
      </c>
      <c r="V261" s="1" t="s">
        <v>15</v>
      </c>
      <c r="W261" s="1" t="s">
        <v>17</v>
      </c>
      <c r="X261" s="1" t="s">
        <v>111</v>
      </c>
      <c r="Y261" s="1"/>
      <c r="Z261" s="1" t="s">
        <v>2040</v>
      </c>
      <c r="AA261" s="1" t="s">
        <v>17</v>
      </c>
      <c r="AB261" s="1">
        <v>0</v>
      </c>
      <c r="AC261" s="1" t="s">
        <v>17</v>
      </c>
      <c r="AD261" t="s">
        <v>112</v>
      </c>
      <c r="AE261" t="s">
        <v>113</v>
      </c>
      <c r="AF261" t="s">
        <v>2040</v>
      </c>
      <c r="AG261" t="s">
        <v>114</v>
      </c>
      <c r="AH261" t="s">
        <v>2041</v>
      </c>
      <c r="AI261" t="s">
        <v>2041</v>
      </c>
      <c r="AJ261" t="s">
        <v>17</v>
      </c>
      <c r="AK261" t="s">
        <v>308</v>
      </c>
      <c r="AL261" t="s">
        <v>17</v>
      </c>
      <c r="AM261" t="s">
        <v>117</v>
      </c>
      <c r="AN261" t="s">
        <v>2039</v>
      </c>
      <c r="AO261" t="s">
        <v>2042</v>
      </c>
      <c r="AP261" t="s">
        <v>119</v>
      </c>
      <c r="AQ261" t="s">
        <v>119</v>
      </c>
      <c r="AR261" t="s">
        <v>2039</v>
      </c>
      <c r="AS261" t="s">
        <v>2043</v>
      </c>
      <c r="AT261" t="s">
        <v>2039</v>
      </c>
    </row>
    <row r="262" spans="1:46">
      <c r="A262" s="1" t="s">
        <v>2044</v>
      </c>
      <c r="B262" s="1" t="s">
        <v>2045</v>
      </c>
      <c r="C262" s="1" t="s">
        <v>2046</v>
      </c>
      <c r="D262" s="1" t="s">
        <v>40</v>
      </c>
      <c r="E262" s="1" t="s">
        <v>124</v>
      </c>
      <c r="F262" s="1" t="s">
        <v>103</v>
      </c>
      <c r="G262" s="1" t="s">
        <v>2047</v>
      </c>
      <c r="H262" s="1" t="s">
        <v>2048</v>
      </c>
      <c r="I262" s="1" t="s">
        <v>127</v>
      </c>
      <c r="J262" s="1" t="s">
        <v>128</v>
      </c>
      <c r="K262" s="1" t="s">
        <v>129</v>
      </c>
      <c r="L262" s="9">
        <v>-11519</v>
      </c>
      <c r="M262" s="1" t="s">
        <v>103</v>
      </c>
      <c r="N262" s="1" t="s">
        <v>2047</v>
      </c>
      <c r="O262" s="1" t="s">
        <v>2048</v>
      </c>
      <c r="P262" s="1" t="s">
        <v>127</v>
      </c>
      <c r="Q262" s="1" t="s">
        <v>131</v>
      </c>
      <c r="R262" s="1"/>
      <c r="S262" s="9">
        <v>11519.5</v>
      </c>
      <c r="T262" s="1">
        <v>0.5</v>
      </c>
      <c r="U262" s="1" t="s">
        <v>146</v>
      </c>
      <c r="V262" s="1" t="s">
        <v>15</v>
      </c>
      <c r="W262" s="1" t="s">
        <v>17</v>
      </c>
      <c r="X262" s="1" t="s">
        <v>111</v>
      </c>
      <c r="Y262" s="1"/>
      <c r="Z262" s="1" t="s">
        <v>1060</v>
      </c>
      <c r="AA262" s="1" t="s">
        <v>17</v>
      </c>
      <c r="AB262" s="1">
        <v>0</v>
      </c>
      <c r="AC262" s="1" t="s">
        <v>17</v>
      </c>
      <c r="AD262" t="s">
        <v>112</v>
      </c>
      <c r="AE262" t="s">
        <v>113</v>
      </c>
      <c r="AF262" t="s">
        <v>2049</v>
      </c>
      <c r="AG262" t="s">
        <v>114</v>
      </c>
      <c r="AH262" t="s">
        <v>2048</v>
      </c>
      <c r="AI262" t="s">
        <v>2048</v>
      </c>
      <c r="AJ262" t="s">
        <v>149</v>
      </c>
      <c r="AK262" t="s">
        <v>189</v>
      </c>
      <c r="AL262" t="s">
        <v>137</v>
      </c>
      <c r="AM262" t="s">
        <v>117</v>
      </c>
      <c r="AN262" t="s">
        <v>193</v>
      </c>
      <c r="AO262" t="s">
        <v>1917</v>
      </c>
      <c r="AP262" t="s">
        <v>119</v>
      </c>
      <c r="AQ262" t="s">
        <v>119</v>
      </c>
      <c r="AR262" t="s">
        <v>193</v>
      </c>
      <c r="AS262" t="s">
        <v>1918</v>
      </c>
      <c r="AT262" t="s">
        <v>2047</v>
      </c>
    </row>
    <row r="263" spans="1:46">
      <c r="A263" s="1" t="s">
        <v>2050</v>
      </c>
      <c r="B263" s="1" t="s">
        <v>2051</v>
      </c>
      <c r="C263" s="1" t="s">
        <v>2052</v>
      </c>
      <c r="D263" s="1" t="s">
        <v>101</v>
      </c>
      <c r="E263" s="1" t="s">
        <v>124</v>
      </c>
      <c r="F263" s="1" t="s">
        <v>103</v>
      </c>
      <c r="G263" s="1" t="s">
        <v>2053</v>
      </c>
      <c r="H263" s="1" t="s">
        <v>2054</v>
      </c>
      <c r="I263" s="1" t="s">
        <v>127</v>
      </c>
      <c r="J263" s="1" t="s">
        <v>128</v>
      </c>
      <c r="K263" s="1" t="s">
        <v>129</v>
      </c>
      <c r="L263" s="9">
        <v>-18012.3</v>
      </c>
      <c r="M263" s="1" t="s">
        <v>103</v>
      </c>
      <c r="N263" s="1" t="s">
        <v>2053</v>
      </c>
      <c r="O263" s="1" t="s">
        <v>2054</v>
      </c>
      <c r="P263" s="1" t="s">
        <v>127</v>
      </c>
      <c r="Q263" s="1" t="s">
        <v>131</v>
      </c>
      <c r="R263" s="1"/>
      <c r="S263" s="9">
        <v>18012.3</v>
      </c>
      <c r="T263" s="1">
        <v>0</v>
      </c>
      <c r="U263" s="1" t="s">
        <v>132</v>
      </c>
      <c r="V263" s="1" t="s">
        <v>15</v>
      </c>
      <c r="W263" s="1" t="s">
        <v>17</v>
      </c>
      <c r="X263" s="1" t="s">
        <v>111</v>
      </c>
      <c r="Y263" s="1"/>
      <c r="Z263" s="1" t="s">
        <v>593</v>
      </c>
      <c r="AA263" s="1" t="s">
        <v>17</v>
      </c>
      <c r="AB263" s="1">
        <v>0</v>
      </c>
      <c r="AC263" s="1" t="s">
        <v>17</v>
      </c>
      <c r="AD263" t="s">
        <v>112</v>
      </c>
      <c r="AE263" t="s">
        <v>113</v>
      </c>
      <c r="AF263" t="s">
        <v>2055</v>
      </c>
      <c r="AG263" t="s">
        <v>114</v>
      </c>
      <c r="AH263" t="s">
        <v>2054</v>
      </c>
      <c r="AI263" t="s">
        <v>2056</v>
      </c>
      <c r="AJ263" t="s">
        <v>149</v>
      </c>
      <c r="AK263" t="s">
        <v>179</v>
      </c>
      <c r="AL263" t="s">
        <v>137</v>
      </c>
      <c r="AM263" t="s">
        <v>117</v>
      </c>
      <c r="AN263" t="s">
        <v>375</v>
      </c>
      <c r="AO263" t="s">
        <v>951</v>
      </c>
      <c r="AP263" t="s">
        <v>119</v>
      </c>
      <c r="AQ263" t="s">
        <v>119</v>
      </c>
      <c r="AR263" t="s">
        <v>375</v>
      </c>
      <c r="AS263" t="s">
        <v>952</v>
      </c>
      <c r="AT263" t="s">
        <v>2053</v>
      </c>
    </row>
    <row r="264" spans="1:46">
      <c r="A264" s="1" t="s">
        <v>2057</v>
      </c>
      <c r="B264" s="1" t="s">
        <v>2058</v>
      </c>
      <c r="C264" s="1" t="s">
        <v>2059</v>
      </c>
      <c r="D264" s="1" t="s">
        <v>40</v>
      </c>
      <c r="E264" s="1" t="s">
        <v>124</v>
      </c>
      <c r="F264" s="1" t="s">
        <v>103</v>
      </c>
      <c r="G264" s="1" t="s">
        <v>2060</v>
      </c>
      <c r="H264" s="1" t="s">
        <v>2061</v>
      </c>
      <c r="I264" s="1" t="s">
        <v>127</v>
      </c>
      <c r="J264" s="1" t="s">
        <v>128</v>
      </c>
      <c r="K264" s="1" t="s">
        <v>129</v>
      </c>
      <c r="L264" s="9">
        <v>-17593</v>
      </c>
      <c r="M264" s="1" t="s">
        <v>103</v>
      </c>
      <c r="N264" s="1" t="s">
        <v>2060</v>
      </c>
      <c r="O264" s="1" t="s">
        <v>2061</v>
      </c>
      <c r="P264" s="1" t="s">
        <v>127</v>
      </c>
      <c r="Q264" s="1" t="s">
        <v>131</v>
      </c>
      <c r="R264" s="1"/>
      <c r="S264" s="9">
        <v>17593.400000000001</v>
      </c>
      <c r="T264" s="1">
        <v>0.40000000000145519</v>
      </c>
      <c r="U264" s="1" t="s">
        <v>146</v>
      </c>
      <c r="V264" s="1" t="s">
        <v>15</v>
      </c>
      <c r="W264" s="1" t="s">
        <v>17</v>
      </c>
      <c r="X264" s="1" t="s">
        <v>111</v>
      </c>
      <c r="Y264" s="1"/>
      <c r="Z264" s="1" t="s">
        <v>1388</v>
      </c>
      <c r="AA264" s="1" t="s">
        <v>17</v>
      </c>
      <c r="AB264" s="1">
        <v>0</v>
      </c>
      <c r="AC264" s="1" t="s">
        <v>17</v>
      </c>
      <c r="AD264" t="s">
        <v>112</v>
      </c>
      <c r="AE264" t="s">
        <v>113</v>
      </c>
      <c r="AF264" t="s">
        <v>2062</v>
      </c>
      <c r="AG264" t="s">
        <v>114</v>
      </c>
      <c r="AH264" t="s">
        <v>2061</v>
      </c>
      <c r="AI264" t="s">
        <v>2061</v>
      </c>
      <c r="AJ264" t="s">
        <v>135</v>
      </c>
      <c r="AK264" t="s">
        <v>179</v>
      </c>
      <c r="AL264" t="s">
        <v>137</v>
      </c>
      <c r="AM264" t="s">
        <v>117</v>
      </c>
      <c r="AN264" t="s">
        <v>386</v>
      </c>
      <c r="AO264" t="s">
        <v>1989</v>
      </c>
      <c r="AP264" t="s">
        <v>119</v>
      </c>
      <c r="AQ264" t="s">
        <v>119</v>
      </c>
      <c r="AR264" t="s">
        <v>386</v>
      </c>
      <c r="AS264" t="s">
        <v>1990</v>
      </c>
      <c r="AT264" t="s">
        <v>389</v>
      </c>
    </row>
    <row r="265" spans="1:46">
      <c r="A265" s="1" t="s">
        <v>2063</v>
      </c>
      <c r="B265" s="1" t="s">
        <v>2064</v>
      </c>
      <c r="C265" s="1" t="s">
        <v>2065</v>
      </c>
      <c r="D265" s="1" t="s">
        <v>101</v>
      </c>
      <c r="E265" s="1" t="s">
        <v>352</v>
      </c>
      <c r="F265" s="1" t="s">
        <v>103</v>
      </c>
      <c r="G265" s="1" t="s">
        <v>1256</v>
      </c>
      <c r="H265" s="1" t="s">
        <v>317</v>
      </c>
      <c r="I265" s="1" t="s">
        <v>106</v>
      </c>
      <c r="J265" s="1" t="s">
        <v>107</v>
      </c>
      <c r="K265" s="1"/>
      <c r="L265" s="9">
        <v>33930.129999999997</v>
      </c>
      <c r="M265" s="1" t="s">
        <v>103</v>
      </c>
      <c r="N265" s="1" t="s">
        <v>1256</v>
      </c>
      <c r="O265" s="1"/>
      <c r="P265" s="1" t="s">
        <v>106</v>
      </c>
      <c r="Q265" s="1" t="s">
        <v>108</v>
      </c>
      <c r="R265" s="1" t="s">
        <v>109</v>
      </c>
      <c r="S265" s="9">
        <v>-33930.129999999997</v>
      </c>
      <c r="T265" s="1">
        <v>0</v>
      </c>
      <c r="U265" s="1" t="s">
        <v>356</v>
      </c>
      <c r="V265" s="1" t="s">
        <v>15</v>
      </c>
      <c r="W265" s="1" t="s">
        <v>17</v>
      </c>
      <c r="X265" s="1" t="s">
        <v>111</v>
      </c>
      <c r="Y265" s="1"/>
      <c r="Z265" s="1" t="s">
        <v>317</v>
      </c>
      <c r="AA265" s="1" t="s">
        <v>17</v>
      </c>
      <c r="AB265" s="1">
        <v>0</v>
      </c>
      <c r="AC265" s="1" t="s">
        <v>17</v>
      </c>
      <c r="AD265" t="s">
        <v>112</v>
      </c>
      <c r="AE265" t="s">
        <v>113</v>
      </c>
      <c r="AF265" t="s">
        <v>317</v>
      </c>
      <c r="AG265" t="s">
        <v>114</v>
      </c>
      <c r="AH265" t="s">
        <v>2066</v>
      </c>
      <c r="AI265" t="s">
        <v>2066</v>
      </c>
      <c r="AJ265" t="s">
        <v>17</v>
      </c>
      <c r="AK265" t="s">
        <v>663</v>
      </c>
      <c r="AL265" t="s">
        <v>17</v>
      </c>
      <c r="AM265" t="s">
        <v>117</v>
      </c>
      <c r="AN265" t="s">
        <v>1256</v>
      </c>
      <c r="AO265" t="s">
        <v>2067</v>
      </c>
      <c r="AP265" t="s">
        <v>119</v>
      </c>
      <c r="AQ265" t="s">
        <v>119</v>
      </c>
      <c r="AR265" t="s">
        <v>1256</v>
      </c>
      <c r="AS265" t="s">
        <v>2068</v>
      </c>
      <c r="AT265" t="s">
        <v>1256</v>
      </c>
    </row>
    <row r="266" spans="1:46">
      <c r="A266" s="1" t="s">
        <v>2069</v>
      </c>
      <c r="B266" s="1" t="s">
        <v>2070</v>
      </c>
      <c r="C266" s="1" t="s">
        <v>2071</v>
      </c>
      <c r="D266" s="1" t="s">
        <v>40</v>
      </c>
      <c r="E266" s="1" t="s">
        <v>124</v>
      </c>
      <c r="F266" s="1" t="s">
        <v>103</v>
      </c>
      <c r="G266" s="1" t="s">
        <v>1783</v>
      </c>
      <c r="H266" s="1" t="s">
        <v>2072</v>
      </c>
      <c r="I266" s="1" t="s">
        <v>127</v>
      </c>
      <c r="J266" s="1" t="s">
        <v>128</v>
      </c>
      <c r="K266" s="1" t="s">
        <v>129</v>
      </c>
      <c r="L266" s="9">
        <v>-14661</v>
      </c>
      <c r="M266" s="1" t="s">
        <v>103</v>
      </c>
      <c r="N266" s="1" t="s">
        <v>1783</v>
      </c>
      <c r="O266" s="1" t="s">
        <v>2072</v>
      </c>
      <c r="P266" s="1" t="s">
        <v>127</v>
      </c>
      <c r="Q266" s="1" t="s">
        <v>131</v>
      </c>
      <c r="R266" s="1"/>
      <c r="S266" s="9">
        <v>14661.16</v>
      </c>
      <c r="T266" s="1">
        <v>0.15999999999985448</v>
      </c>
      <c r="U266" s="1" t="s">
        <v>146</v>
      </c>
      <c r="V266" s="1" t="s">
        <v>15</v>
      </c>
      <c r="W266" s="1" t="s">
        <v>17</v>
      </c>
      <c r="X266" s="1" t="s">
        <v>111</v>
      </c>
      <c r="Y266" s="1"/>
      <c r="Z266" s="1" t="s">
        <v>326</v>
      </c>
      <c r="AA266" s="1" t="s">
        <v>17</v>
      </c>
      <c r="AB266" s="1">
        <v>0</v>
      </c>
      <c r="AC266" s="1" t="s">
        <v>17</v>
      </c>
      <c r="AD266" t="s">
        <v>112</v>
      </c>
      <c r="AE266" t="s">
        <v>113</v>
      </c>
      <c r="AF266" t="s">
        <v>2073</v>
      </c>
      <c r="AG266" t="s">
        <v>114</v>
      </c>
      <c r="AH266" t="s">
        <v>2072</v>
      </c>
      <c r="AI266" t="s">
        <v>2072</v>
      </c>
      <c r="AJ266" t="s">
        <v>149</v>
      </c>
      <c r="AK266" t="s">
        <v>189</v>
      </c>
      <c r="AL266" t="s">
        <v>137</v>
      </c>
      <c r="AM266" t="s">
        <v>117</v>
      </c>
      <c r="AN266" t="s">
        <v>511</v>
      </c>
      <c r="AO266" t="s">
        <v>1355</v>
      </c>
      <c r="AP266" t="s">
        <v>119</v>
      </c>
      <c r="AQ266" t="s">
        <v>119</v>
      </c>
      <c r="AR266" t="s">
        <v>511</v>
      </c>
      <c r="AS266" t="s">
        <v>1356</v>
      </c>
      <c r="AT266" t="s">
        <v>1783</v>
      </c>
    </row>
    <row r="267" spans="1:46">
      <c r="A267" s="1" t="s">
        <v>2074</v>
      </c>
      <c r="B267" s="1" t="s">
        <v>2075</v>
      </c>
      <c r="C267" s="1" t="s">
        <v>2076</v>
      </c>
      <c r="D267" s="1" t="s">
        <v>101</v>
      </c>
      <c r="E267" s="1" t="s">
        <v>124</v>
      </c>
      <c r="F267" s="1" t="s">
        <v>103</v>
      </c>
      <c r="G267" s="1" t="s">
        <v>1213</v>
      </c>
      <c r="H267" s="1" t="s">
        <v>2077</v>
      </c>
      <c r="I267" s="1" t="s">
        <v>127</v>
      </c>
      <c r="J267" s="1" t="s">
        <v>128</v>
      </c>
      <c r="K267" s="1" t="s">
        <v>129</v>
      </c>
      <c r="L267" s="9">
        <v>-12566.72</v>
      </c>
      <c r="M267" s="1" t="s">
        <v>103</v>
      </c>
      <c r="N267" s="1" t="s">
        <v>1213</v>
      </c>
      <c r="O267" s="1" t="s">
        <v>2077</v>
      </c>
      <c r="P267" s="1" t="s">
        <v>127</v>
      </c>
      <c r="Q267" s="1" t="s">
        <v>131</v>
      </c>
      <c r="R267" s="1"/>
      <c r="S267" s="9">
        <v>12566.72</v>
      </c>
      <c r="T267" s="1">
        <v>0</v>
      </c>
      <c r="U267" s="1" t="s">
        <v>132</v>
      </c>
      <c r="V267" s="1" t="s">
        <v>15</v>
      </c>
      <c r="W267" s="1" t="s">
        <v>17</v>
      </c>
      <c r="X267" s="1" t="s">
        <v>111</v>
      </c>
      <c r="Y267" s="1"/>
      <c r="Z267" s="1" t="s">
        <v>1176</v>
      </c>
      <c r="AA267" s="1" t="s">
        <v>17</v>
      </c>
      <c r="AB267" s="1">
        <v>0</v>
      </c>
      <c r="AC267" s="1" t="s">
        <v>17</v>
      </c>
      <c r="AD267" t="s">
        <v>112</v>
      </c>
      <c r="AE267" t="s">
        <v>113</v>
      </c>
      <c r="AF267" t="s">
        <v>2078</v>
      </c>
      <c r="AG267" t="s">
        <v>114</v>
      </c>
      <c r="AH267" t="s">
        <v>2077</v>
      </c>
      <c r="AI267" t="s">
        <v>2077</v>
      </c>
      <c r="AJ267" t="s">
        <v>135</v>
      </c>
      <c r="AK267" t="s">
        <v>663</v>
      </c>
      <c r="AL267" t="s">
        <v>137</v>
      </c>
      <c r="AM267" t="s">
        <v>117</v>
      </c>
      <c r="AN267" t="s">
        <v>931</v>
      </c>
      <c r="AO267" t="s">
        <v>2079</v>
      </c>
      <c r="AP267" t="s">
        <v>119</v>
      </c>
      <c r="AQ267" t="s">
        <v>119</v>
      </c>
      <c r="AR267" t="s">
        <v>931</v>
      </c>
      <c r="AS267" t="s">
        <v>2080</v>
      </c>
      <c r="AT267" t="s">
        <v>1213</v>
      </c>
    </row>
    <row r="268" spans="1:46">
      <c r="A268" s="1" t="s">
        <v>2081</v>
      </c>
      <c r="B268" s="1" t="s">
        <v>2082</v>
      </c>
      <c r="C268" s="1" t="s">
        <v>2083</v>
      </c>
      <c r="D268" s="1" t="s">
        <v>101</v>
      </c>
      <c r="E268" s="1" t="s">
        <v>124</v>
      </c>
      <c r="F268" s="1" t="s">
        <v>103</v>
      </c>
      <c r="G268" s="1" t="s">
        <v>829</v>
      </c>
      <c r="H268" s="1" t="s">
        <v>2084</v>
      </c>
      <c r="I268" s="1" t="s">
        <v>127</v>
      </c>
      <c r="J268" s="1" t="s">
        <v>128</v>
      </c>
      <c r="K268" s="1" t="s">
        <v>129</v>
      </c>
      <c r="L268" s="9">
        <v>-18640.62</v>
      </c>
      <c r="M268" s="1" t="s">
        <v>103</v>
      </c>
      <c r="N268" s="1" t="s">
        <v>829</v>
      </c>
      <c r="O268" s="1" t="s">
        <v>2084</v>
      </c>
      <c r="P268" s="1" t="s">
        <v>127</v>
      </c>
      <c r="Q268" s="1" t="s">
        <v>131</v>
      </c>
      <c r="R268" s="1"/>
      <c r="S268" s="9">
        <v>18640.62</v>
      </c>
      <c r="T268" s="1">
        <v>0</v>
      </c>
      <c r="U268" s="1" t="s">
        <v>132</v>
      </c>
      <c r="V268" s="1" t="s">
        <v>15</v>
      </c>
      <c r="W268" s="1" t="s">
        <v>17</v>
      </c>
      <c r="X268" s="1" t="s">
        <v>111</v>
      </c>
      <c r="Y268" s="1"/>
      <c r="Z268" s="1" t="s">
        <v>627</v>
      </c>
      <c r="AA268" s="1" t="s">
        <v>17</v>
      </c>
      <c r="AB268" s="1">
        <v>0</v>
      </c>
      <c r="AC268" s="1" t="s">
        <v>17</v>
      </c>
      <c r="AD268" t="s">
        <v>112</v>
      </c>
      <c r="AE268" t="s">
        <v>113</v>
      </c>
      <c r="AF268" t="s">
        <v>2085</v>
      </c>
      <c r="AG268" t="s">
        <v>114</v>
      </c>
      <c r="AH268" t="s">
        <v>2084</v>
      </c>
      <c r="AI268" t="s">
        <v>2084</v>
      </c>
      <c r="AJ268" t="s">
        <v>149</v>
      </c>
      <c r="AK268" t="s">
        <v>150</v>
      </c>
      <c r="AL268" t="s">
        <v>137</v>
      </c>
      <c r="AM268" t="s">
        <v>117</v>
      </c>
      <c r="AN268" t="s">
        <v>1186</v>
      </c>
      <c r="AO268" t="s">
        <v>707</v>
      </c>
      <c r="AP268" t="s">
        <v>119</v>
      </c>
      <c r="AQ268" t="s">
        <v>119</v>
      </c>
      <c r="AR268" t="s">
        <v>1186</v>
      </c>
      <c r="AS268" t="s">
        <v>708</v>
      </c>
      <c r="AT268" t="s">
        <v>829</v>
      </c>
    </row>
    <row r="269" spans="1:46">
      <c r="A269" s="1" t="s">
        <v>2086</v>
      </c>
      <c r="B269" s="1" t="s">
        <v>2087</v>
      </c>
      <c r="C269" s="1" t="s">
        <v>2088</v>
      </c>
      <c r="D269" s="1" t="s">
        <v>101</v>
      </c>
      <c r="E269" s="1" t="s">
        <v>102</v>
      </c>
      <c r="F269" s="1" t="s">
        <v>103</v>
      </c>
      <c r="G269" s="1" t="s">
        <v>1094</v>
      </c>
      <c r="H269" s="1" t="s">
        <v>268</v>
      </c>
      <c r="I269" s="1" t="s">
        <v>106</v>
      </c>
      <c r="J269" s="1" t="s">
        <v>107</v>
      </c>
      <c r="K269" s="1"/>
      <c r="L269" s="9">
        <v>8120</v>
      </c>
      <c r="M269" s="1" t="s">
        <v>103</v>
      </c>
      <c r="N269" s="1" t="s">
        <v>1094</v>
      </c>
      <c r="O269" s="1"/>
      <c r="P269" s="1" t="s">
        <v>106</v>
      </c>
      <c r="Q269" s="1" t="s">
        <v>108</v>
      </c>
      <c r="R269" s="1" t="s">
        <v>109</v>
      </c>
      <c r="S269" s="9">
        <v>-8120</v>
      </c>
      <c r="T269" s="1">
        <v>0</v>
      </c>
      <c r="U269" s="1" t="s">
        <v>110</v>
      </c>
      <c r="V269" s="1" t="s">
        <v>15</v>
      </c>
      <c r="W269" s="1" t="s">
        <v>17</v>
      </c>
      <c r="X269" s="1" t="s">
        <v>111</v>
      </c>
      <c r="Y269" s="1"/>
      <c r="Z269" s="1" t="s">
        <v>268</v>
      </c>
      <c r="AA269" s="1" t="s">
        <v>17</v>
      </c>
      <c r="AB269" s="1">
        <v>0</v>
      </c>
      <c r="AC269" s="1" t="s">
        <v>17</v>
      </c>
      <c r="AD269" t="s">
        <v>112</v>
      </c>
      <c r="AE269" t="s">
        <v>113</v>
      </c>
      <c r="AF269" t="s">
        <v>268</v>
      </c>
      <c r="AG269" t="s">
        <v>114</v>
      </c>
      <c r="AH269" t="s">
        <v>2089</v>
      </c>
      <c r="AI269" t="s">
        <v>2089</v>
      </c>
      <c r="AJ269" t="s">
        <v>17</v>
      </c>
      <c r="AK269" t="s">
        <v>200</v>
      </c>
      <c r="AL269" t="s">
        <v>17</v>
      </c>
      <c r="AM269" t="s">
        <v>117</v>
      </c>
      <c r="AN269" t="s">
        <v>1094</v>
      </c>
      <c r="AO269" t="s">
        <v>987</v>
      </c>
      <c r="AP269" t="s">
        <v>119</v>
      </c>
      <c r="AQ269" t="s">
        <v>119</v>
      </c>
      <c r="AR269" t="s">
        <v>1094</v>
      </c>
      <c r="AS269" t="s">
        <v>988</v>
      </c>
      <c r="AT269" t="s">
        <v>1094</v>
      </c>
    </row>
    <row r="270" spans="1:46">
      <c r="A270" s="1" t="s">
        <v>2090</v>
      </c>
      <c r="B270" s="1" t="s">
        <v>2091</v>
      </c>
      <c r="C270" s="1" t="s">
        <v>2092</v>
      </c>
      <c r="D270" s="1" t="s">
        <v>40</v>
      </c>
      <c r="E270" s="1" t="s">
        <v>124</v>
      </c>
      <c r="F270" s="1" t="s">
        <v>103</v>
      </c>
      <c r="G270" s="1" t="s">
        <v>604</v>
      </c>
      <c r="H270" s="1" t="s">
        <v>2093</v>
      </c>
      <c r="I270" s="1" t="s">
        <v>127</v>
      </c>
      <c r="J270" s="1" t="s">
        <v>128</v>
      </c>
      <c r="K270" s="1" t="s">
        <v>129</v>
      </c>
      <c r="L270" s="9">
        <v>-9634</v>
      </c>
      <c r="M270" s="1" t="s">
        <v>103</v>
      </c>
      <c r="N270" s="1" t="s">
        <v>604</v>
      </c>
      <c r="O270" s="1" t="s">
        <v>2093</v>
      </c>
      <c r="P270" s="1" t="s">
        <v>127</v>
      </c>
      <c r="Q270" s="1" t="s">
        <v>131</v>
      </c>
      <c r="R270" s="1"/>
      <c r="S270" s="9">
        <v>9634.48</v>
      </c>
      <c r="T270" s="1">
        <v>0.47999999999956344</v>
      </c>
      <c r="U270" s="1" t="s">
        <v>146</v>
      </c>
      <c r="V270" s="1" t="s">
        <v>15</v>
      </c>
      <c r="W270" s="1" t="s">
        <v>17</v>
      </c>
      <c r="X270" s="1" t="s">
        <v>111</v>
      </c>
      <c r="Y270" s="1"/>
      <c r="Z270" s="1" t="s">
        <v>735</v>
      </c>
      <c r="AA270" s="1" t="s">
        <v>17</v>
      </c>
      <c r="AB270" s="1">
        <v>0</v>
      </c>
      <c r="AC270" s="1" t="s">
        <v>17</v>
      </c>
      <c r="AD270" t="s">
        <v>112</v>
      </c>
      <c r="AE270" t="s">
        <v>113</v>
      </c>
      <c r="AF270" t="s">
        <v>2094</v>
      </c>
      <c r="AG270" t="s">
        <v>114</v>
      </c>
      <c r="AH270" t="s">
        <v>2093</v>
      </c>
      <c r="AI270" t="s">
        <v>2095</v>
      </c>
      <c r="AJ270" t="s">
        <v>149</v>
      </c>
      <c r="AK270" t="s">
        <v>150</v>
      </c>
      <c r="AL270" t="s">
        <v>137</v>
      </c>
      <c r="AM270" t="s">
        <v>117</v>
      </c>
      <c r="AN270" t="s">
        <v>750</v>
      </c>
      <c r="AO270" t="s">
        <v>2096</v>
      </c>
      <c r="AP270" t="s">
        <v>119</v>
      </c>
      <c r="AQ270" t="s">
        <v>119</v>
      </c>
      <c r="AR270" t="s">
        <v>750</v>
      </c>
      <c r="AS270" t="s">
        <v>2097</v>
      </c>
      <c r="AT270" t="s">
        <v>604</v>
      </c>
    </row>
    <row r="271" spans="1:46">
      <c r="A271" s="1" t="s">
        <v>2098</v>
      </c>
      <c r="B271" s="1" t="s">
        <v>2099</v>
      </c>
      <c r="C271" s="1" t="s">
        <v>2100</v>
      </c>
      <c r="D271" s="1" t="s">
        <v>101</v>
      </c>
      <c r="E271" s="1" t="s">
        <v>124</v>
      </c>
      <c r="F271" s="1" t="s">
        <v>103</v>
      </c>
      <c r="G271" s="1" t="s">
        <v>1826</v>
      </c>
      <c r="H271" s="1" t="s">
        <v>2101</v>
      </c>
      <c r="I271" s="1" t="s">
        <v>127</v>
      </c>
      <c r="J271" s="1" t="s">
        <v>128</v>
      </c>
      <c r="K271" s="1" t="s">
        <v>129</v>
      </c>
      <c r="L271" s="9">
        <v>-17174.509999999998</v>
      </c>
      <c r="M271" s="1" t="s">
        <v>103</v>
      </c>
      <c r="N271" s="1" t="s">
        <v>1826</v>
      </c>
      <c r="O271" s="1" t="s">
        <v>2101</v>
      </c>
      <c r="P271" s="1" t="s">
        <v>127</v>
      </c>
      <c r="Q271" s="1" t="s">
        <v>131</v>
      </c>
      <c r="R271" s="1"/>
      <c r="S271" s="9">
        <v>17174.509999999998</v>
      </c>
      <c r="T271" s="1">
        <v>0</v>
      </c>
      <c r="U271" s="1" t="s">
        <v>132</v>
      </c>
      <c r="V271" s="1" t="s">
        <v>15</v>
      </c>
      <c r="W271" s="1" t="s">
        <v>17</v>
      </c>
      <c r="X271" s="1" t="s">
        <v>111</v>
      </c>
      <c r="Y271" s="1"/>
      <c r="Z271" s="1" t="s">
        <v>529</v>
      </c>
      <c r="AA271" s="1" t="s">
        <v>17</v>
      </c>
      <c r="AB271" s="1">
        <v>0</v>
      </c>
      <c r="AC271" s="1" t="s">
        <v>17</v>
      </c>
      <c r="AD271" t="s">
        <v>112</v>
      </c>
      <c r="AE271" t="s">
        <v>113</v>
      </c>
      <c r="AF271" t="s">
        <v>2102</v>
      </c>
      <c r="AG271" t="s">
        <v>114</v>
      </c>
      <c r="AH271" t="s">
        <v>2101</v>
      </c>
      <c r="AI271" t="s">
        <v>2101</v>
      </c>
      <c r="AJ271" t="s">
        <v>149</v>
      </c>
      <c r="AK271" t="s">
        <v>116</v>
      </c>
      <c r="AL271" t="s">
        <v>137</v>
      </c>
      <c r="AM271" t="s">
        <v>117</v>
      </c>
      <c r="AN271" t="s">
        <v>690</v>
      </c>
      <c r="AO271" t="s">
        <v>321</v>
      </c>
      <c r="AP271" t="s">
        <v>119</v>
      </c>
      <c r="AQ271" t="s">
        <v>119</v>
      </c>
      <c r="AR271" t="s">
        <v>690</v>
      </c>
      <c r="AS271" t="s">
        <v>322</v>
      </c>
      <c r="AT271" t="s">
        <v>686</v>
      </c>
    </row>
    <row r="272" spans="1:46">
      <c r="A272" s="1" t="s">
        <v>2103</v>
      </c>
      <c r="B272" s="1" t="s">
        <v>2104</v>
      </c>
      <c r="C272" s="1" t="s">
        <v>2105</v>
      </c>
      <c r="D272" s="1" t="s">
        <v>101</v>
      </c>
      <c r="E272" s="1" t="s">
        <v>124</v>
      </c>
      <c r="F272" s="1" t="s">
        <v>103</v>
      </c>
      <c r="G272" s="1" t="s">
        <v>2106</v>
      </c>
      <c r="H272" s="1" t="s">
        <v>2107</v>
      </c>
      <c r="I272" s="1" t="s">
        <v>127</v>
      </c>
      <c r="J272" s="1" t="s">
        <v>128</v>
      </c>
      <c r="K272" s="1" t="s">
        <v>129</v>
      </c>
      <c r="L272" s="9">
        <v>-15708.4</v>
      </c>
      <c r="M272" s="1" t="s">
        <v>103</v>
      </c>
      <c r="N272" s="1" t="s">
        <v>2106</v>
      </c>
      <c r="O272" s="1" t="s">
        <v>2107</v>
      </c>
      <c r="P272" s="1" t="s">
        <v>127</v>
      </c>
      <c r="Q272" s="1" t="s">
        <v>131</v>
      </c>
      <c r="R272" s="1"/>
      <c r="S272" s="9">
        <v>15708.4</v>
      </c>
      <c r="T272" s="1">
        <v>0</v>
      </c>
      <c r="U272" s="1" t="s">
        <v>132</v>
      </c>
      <c r="V272" s="1" t="s">
        <v>15</v>
      </c>
      <c r="W272" s="1" t="s">
        <v>17</v>
      </c>
      <c r="X272" s="1" t="s">
        <v>111</v>
      </c>
      <c r="Y272" s="1"/>
      <c r="Z272" s="1" t="s">
        <v>602</v>
      </c>
      <c r="AA272" s="1" t="s">
        <v>17</v>
      </c>
      <c r="AB272" s="1">
        <v>0</v>
      </c>
      <c r="AC272" s="1" t="s">
        <v>17</v>
      </c>
      <c r="AD272" t="s">
        <v>112</v>
      </c>
      <c r="AE272" t="s">
        <v>113</v>
      </c>
      <c r="AF272" t="s">
        <v>2108</v>
      </c>
      <c r="AG272" t="s">
        <v>114</v>
      </c>
      <c r="AH272" t="s">
        <v>2107</v>
      </c>
      <c r="AI272" t="s">
        <v>2107</v>
      </c>
      <c r="AJ272" t="s">
        <v>149</v>
      </c>
      <c r="AK272" t="s">
        <v>150</v>
      </c>
      <c r="AL272" t="s">
        <v>137</v>
      </c>
      <c r="AM272" t="s">
        <v>117</v>
      </c>
      <c r="AN272" t="s">
        <v>761</v>
      </c>
      <c r="AO272" t="s">
        <v>630</v>
      </c>
      <c r="AP272" t="s">
        <v>119</v>
      </c>
      <c r="AQ272" t="s">
        <v>119</v>
      </c>
      <c r="AR272" t="s">
        <v>761</v>
      </c>
      <c r="AS272" t="s">
        <v>631</v>
      </c>
      <c r="AT272" t="s">
        <v>2106</v>
      </c>
    </row>
    <row r="273" spans="1:46">
      <c r="A273" s="1" t="s">
        <v>2109</v>
      </c>
      <c r="B273" s="1" t="s">
        <v>2110</v>
      </c>
      <c r="C273" s="1" t="s">
        <v>2111</v>
      </c>
      <c r="D273" s="1" t="s">
        <v>101</v>
      </c>
      <c r="E273" s="1" t="s">
        <v>102</v>
      </c>
      <c r="F273" s="1" t="s">
        <v>103</v>
      </c>
      <c r="G273" s="1" t="s">
        <v>850</v>
      </c>
      <c r="H273" s="1" t="s">
        <v>2112</v>
      </c>
      <c r="I273" s="1" t="s">
        <v>106</v>
      </c>
      <c r="J273" s="1" t="s">
        <v>107</v>
      </c>
      <c r="K273" s="1"/>
      <c r="L273" s="9">
        <v>16336.73</v>
      </c>
      <c r="M273" s="1" t="s">
        <v>103</v>
      </c>
      <c r="N273" s="1" t="s">
        <v>850</v>
      </c>
      <c r="O273" s="1"/>
      <c r="P273" s="1" t="s">
        <v>106</v>
      </c>
      <c r="Q273" s="1" t="s">
        <v>108</v>
      </c>
      <c r="R273" s="1" t="s">
        <v>109</v>
      </c>
      <c r="S273" s="9">
        <v>-16336.73</v>
      </c>
      <c r="T273" s="1">
        <v>0</v>
      </c>
      <c r="U273" s="1" t="s">
        <v>110</v>
      </c>
      <c r="V273" s="1" t="s">
        <v>15</v>
      </c>
      <c r="W273" s="1" t="s">
        <v>17</v>
      </c>
      <c r="X273" s="1" t="s">
        <v>111</v>
      </c>
      <c r="Y273" s="1"/>
      <c r="Z273" s="1" t="s">
        <v>2112</v>
      </c>
      <c r="AA273" s="1" t="s">
        <v>17</v>
      </c>
      <c r="AB273" s="1">
        <v>0</v>
      </c>
      <c r="AC273" s="1" t="s">
        <v>17</v>
      </c>
      <c r="AD273" t="s">
        <v>112</v>
      </c>
      <c r="AE273" t="s">
        <v>113</v>
      </c>
      <c r="AF273" t="s">
        <v>2112</v>
      </c>
      <c r="AG273" t="s">
        <v>487</v>
      </c>
      <c r="AH273" t="s">
        <v>2113</v>
      </c>
      <c r="AI273" t="s">
        <v>2113</v>
      </c>
      <c r="AJ273" t="s">
        <v>17</v>
      </c>
      <c r="AK273" t="s">
        <v>136</v>
      </c>
      <c r="AL273" t="s">
        <v>17</v>
      </c>
      <c r="AM273" t="s">
        <v>17</v>
      </c>
      <c r="AN273" t="s">
        <v>850</v>
      </c>
      <c r="AO273" t="s">
        <v>832</v>
      </c>
      <c r="AP273" t="s">
        <v>119</v>
      </c>
      <c r="AQ273" t="s">
        <v>119</v>
      </c>
      <c r="AR273" t="s">
        <v>850</v>
      </c>
      <c r="AS273" t="s">
        <v>833</v>
      </c>
      <c r="AT273" t="s">
        <v>850</v>
      </c>
    </row>
    <row r="274" spans="1:46">
      <c r="A274" s="1" t="s">
        <v>2114</v>
      </c>
      <c r="B274" s="1" t="s">
        <v>2115</v>
      </c>
      <c r="C274" s="1" t="s">
        <v>2116</v>
      </c>
      <c r="D274" s="1" t="s">
        <v>101</v>
      </c>
      <c r="E274" s="1" t="s">
        <v>124</v>
      </c>
      <c r="F274" s="1" t="s">
        <v>103</v>
      </c>
      <c r="G274" s="1" t="s">
        <v>2117</v>
      </c>
      <c r="H274" s="1" t="s">
        <v>2118</v>
      </c>
      <c r="I274" s="1" t="s">
        <v>127</v>
      </c>
      <c r="J274" s="1" t="s">
        <v>128</v>
      </c>
      <c r="K274" s="1" t="s">
        <v>253</v>
      </c>
      <c r="L274" s="9">
        <v>-33055.379999999997</v>
      </c>
      <c r="M274" s="1" t="s">
        <v>103</v>
      </c>
      <c r="N274" s="1" t="s">
        <v>2117</v>
      </c>
      <c r="O274" s="1" t="s">
        <v>2118</v>
      </c>
      <c r="P274" s="1" t="s">
        <v>127</v>
      </c>
      <c r="Q274" s="1" t="s">
        <v>131</v>
      </c>
      <c r="R274" s="1"/>
      <c r="S274" s="9">
        <v>33055.379999999997</v>
      </c>
      <c r="T274" s="1">
        <v>0</v>
      </c>
      <c r="U274" s="1" t="s">
        <v>132</v>
      </c>
      <c r="V274" s="1" t="s">
        <v>15</v>
      </c>
      <c r="W274" s="1" t="s">
        <v>17</v>
      </c>
      <c r="X274" s="1" t="s">
        <v>111</v>
      </c>
      <c r="Y274" s="1"/>
      <c r="Z274" s="1" t="s">
        <v>2119</v>
      </c>
      <c r="AA274" s="1" t="s">
        <v>17</v>
      </c>
      <c r="AB274" s="1">
        <v>0</v>
      </c>
      <c r="AC274" s="1" t="s">
        <v>17</v>
      </c>
      <c r="AD274" t="s">
        <v>112</v>
      </c>
      <c r="AE274" t="s">
        <v>231</v>
      </c>
      <c r="AF274" t="s">
        <v>2120</v>
      </c>
      <c r="AG274" t="s">
        <v>114</v>
      </c>
      <c r="AH274" t="s">
        <v>2118</v>
      </c>
      <c r="AI274" t="s">
        <v>2118</v>
      </c>
      <c r="AJ274" t="s">
        <v>135</v>
      </c>
      <c r="AK274" t="s">
        <v>233</v>
      </c>
      <c r="AL274" t="s">
        <v>137</v>
      </c>
      <c r="AM274" t="s">
        <v>117</v>
      </c>
      <c r="AN274" t="s">
        <v>1807</v>
      </c>
      <c r="AO274" t="s">
        <v>2121</v>
      </c>
      <c r="AP274" t="s">
        <v>119</v>
      </c>
      <c r="AQ274" t="s">
        <v>119</v>
      </c>
      <c r="AR274" t="s">
        <v>1807</v>
      </c>
      <c r="AS274" t="s">
        <v>2122</v>
      </c>
      <c r="AT274" t="s">
        <v>1807</v>
      </c>
    </row>
    <row r="275" spans="1:46">
      <c r="A275" s="1" t="s">
        <v>2123</v>
      </c>
      <c r="B275" s="1" t="s">
        <v>2124</v>
      </c>
      <c r="C275" s="1" t="s">
        <v>2125</v>
      </c>
      <c r="D275" s="1" t="s">
        <v>101</v>
      </c>
      <c r="E275" s="1" t="s">
        <v>352</v>
      </c>
      <c r="F275" s="1" t="s">
        <v>103</v>
      </c>
      <c r="G275" s="1" t="s">
        <v>469</v>
      </c>
      <c r="H275" s="1" t="s">
        <v>499</v>
      </c>
      <c r="I275" s="1" t="s">
        <v>106</v>
      </c>
      <c r="J275" s="1" t="s">
        <v>107</v>
      </c>
      <c r="K275" s="1"/>
      <c r="L275" s="9">
        <v>15080</v>
      </c>
      <c r="M275" s="1" t="s">
        <v>103</v>
      </c>
      <c r="N275" s="1" t="s">
        <v>469</v>
      </c>
      <c r="O275" s="1"/>
      <c r="P275" s="1" t="s">
        <v>106</v>
      </c>
      <c r="Q275" s="1" t="s">
        <v>108</v>
      </c>
      <c r="R275" s="1" t="s">
        <v>109</v>
      </c>
      <c r="S275" s="9">
        <v>-15080</v>
      </c>
      <c r="T275" s="1">
        <v>0</v>
      </c>
      <c r="U275" s="1" t="s">
        <v>356</v>
      </c>
      <c r="V275" s="1" t="s">
        <v>15</v>
      </c>
      <c r="W275" s="1" t="s">
        <v>17</v>
      </c>
      <c r="X275" s="1" t="s">
        <v>111</v>
      </c>
      <c r="Y275" s="1"/>
      <c r="Z275" s="1" t="s">
        <v>499</v>
      </c>
      <c r="AA275" s="1" t="s">
        <v>17</v>
      </c>
      <c r="AB275" s="1">
        <v>0</v>
      </c>
      <c r="AC275" s="1" t="s">
        <v>17</v>
      </c>
      <c r="AD275" t="s">
        <v>112</v>
      </c>
      <c r="AE275" t="s">
        <v>113</v>
      </c>
      <c r="AF275" t="s">
        <v>499</v>
      </c>
      <c r="AG275" t="s">
        <v>114</v>
      </c>
      <c r="AH275" t="s">
        <v>2126</v>
      </c>
      <c r="AI275" t="s">
        <v>2126</v>
      </c>
      <c r="AJ275" t="s">
        <v>17</v>
      </c>
      <c r="AK275" t="s">
        <v>200</v>
      </c>
      <c r="AL275" t="s">
        <v>17</v>
      </c>
      <c r="AM275" t="s">
        <v>117</v>
      </c>
      <c r="AN275" t="s">
        <v>469</v>
      </c>
      <c r="AO275" t="s">
        <v>1006</v>
      </c>
      <c r="AP275" t="s">
        <v>119</v>
      </c>
      <c r="AQ275" t="s">
        <v>119</v>
      </c>
      <c r="AR275" t="s">
        <v>469</v>
      </c>
      <c r="AS275" t="s">
        <v>1007</v>
      </c>
      <c r="AT275" t="s">
        <v>469</v>
      </c>
    </row>
    <row r="276" spans="1:46">
      <c r="A276" s="1" t="s">
        <v>2127</v>
      </c>
      <c r="B276" s="1" t="s">
        <v>2128</v>
      </c>
      <c r="C276" s="1" t="s">
        <v>2129</v>
      </c>
      <c r="D276" s="1" t="s">
        <v>101</v>
      </c>
      <c r="E276" s="1" t="s">
        <v>124</v>
      </c>
      <c r="F276" s="1" t="s">
        <v>103</v>
      </c>
      <c r="G276" s="1" t="s">
        <v>176</v>
      </c>
      <c r="H276" s="1" t="s">
        <v>2130</v>
      </c>
      <c r="I276" s="1" t="s">
        <v>127</v>
      </c>
      <c r="J276" s="1" t="s">
        <v>128</v>
      </c>
      <c r="K276" s="1" t="s">
        <v>129</v>
      </c>
      <c r="L276" s="9">
        <v>-12985.61</v>
      </c>
      <c r="M276" s="1" t="s">
        <v>103</v>
      </c>
      <c r="N276" s="1" t="s">
        <v>375</v>
      </c>
      <c r="O276" s="1" t="s">
        <v>2130</v>
      </c>
      <c r="P276" s="1" t="s">
        <v>127</v>
      </c>
      <c r="Q276" s="1" t="s">
        <v>131</v>
      </c>
      <c r="R276" s="1"/>
      <c r="S276" s="9">
        <v>12985.61</v>
      </c>
      <c r="T276" s="1">
        <v>0</v>
      </c>
      <c r="U276" s="1" t="s">
        <v>132</v>
      </c>
      <c r="V276" s="1" t="s">
        <v>15</v>
      </c>
      <c r="W276" s="1" t="s">
        <v>17</v>
      </c>
      <c r="X276" s="1" t="s">
        <v>111</v>
      </c>
      <c r="Y276" s="1"/>
      <c r="Z276" s="1" t="s">
        <v>177</v>
      </c>
      <c r="AA276" s="1" t="s">
        <v>17</v>
      </c>
      <c r="AB276" s="1">
        <v>0</v>
      </c>
      <c r="AC276" s="1" t="s">
        <v>17</v>
      </c>
      <c r="AD276" t="s">
        <v>112</v>
      </c>
      <c r="AE276" t="s">
        <v>113</v>
      </c>
      <c r="AF276" t="s">
        <v>2131</v>
      </c>
      <c r="AG276" t="s">
        <v>114</v>
      </c>
      <c r="AH276" t="s">
        <v>2130</v>
      </c>
      <c r="AI276" t="s">
        <v>2130</v>
      </c>
      <c r="AJ276" t="s">
        <v>149</v>
      </c>
      <c r="AK276" t="s">
        <v>179</v>
      </c>
      <c r="AL276" t="s">
        <v>137</v>
      </c>
      <c r="AM276" t="s">
        <v>117</v>
      </c>
      <c r="AN276" t="s">
        <v>180</v>
      </c>
      <c r="AO276" t="s">
        <v>467</v>
      </c>
      <c r="AP276" t="s">
        <v>119</v>
      </c>
      <c r="AQ276" t="s">
        <v>119</v>
      </c>
      <c r="AR276" t="s">
        <v>180</v>
      </c>
      <c r="AS276" t="s">
        <v>468</v>
      </c>
      <c r="AT276" t="s">
        <v>375</v>
      </c>
    </row>
    <row r="277" spans="1:46">
      <c r="A277" s="1" t="s">
        <v>2132</v>
      </c>
      <c r="B277" s="1" t="s">
        <v>2133</v>
      </c>
      <c r="C277" s="1" t="s">
        <v>2134</v>
      </c>
      <c r="D277" s="1" t="s">
        <v>101</v>
      </c>
      <c r="E277" s="1" t="s">
        <v>124</v>
      </c>
      <c r="F277" s="1" t="s">
        <v>103</v>
      </c>
      <c r="G277" s="1" t="s">
        <v>958</v>
      </c>
      <c r="H277" s="1" t="s">
        <v>2135</v>
      </c>
      <c r="I277" s="1" t="s">
        <v>127</v>
      </c>
      <c r="J277" s="1" t="s">
        <v>128</v>
      </c>
      <c r="K277" s="1" t="s">
        <v>129</v>
      </c>
      <c r="L277" s="9">
        <v>-15708.4</v>
      </c>
      <c r="M277" s="1" t="s">
        <v>103</v>
      </c>
      <c r="N277" s="1" t="s">
        <v>2136</v>
      </c>
      <c r="O277" s="1" t="s">
        <v>2135</v>
      </c>
      <c r="P277" s="1" t="s">
        <v>127</v>
      </c>
      <c r="Q277" s="1" t="s">
        <v>131</v>
      </c>
      <c r="R277" s="1"/>
      <c r="S277" s="9">
        <v>15708.4</v>
      </c>
      <c r="T277" s="1">
        <v>0</v>
      </c>
      <c r="U277" s="1" t="s">
        <v>132</v>
      </c>
      <c r="V277" s="1" t="s">
        <v>15</v>
      </c>
      <c r="W277" s="1" t="s">
        <v>17</v>
      </c>
      <c r="X277" s="1" t="s">
        <v>111</v>
      </c>
      <c r="Y277" s="1"/>
      <c r="Z277" s="1" t="s">
        <v>336</v>
      </c>
      <c r="AA277" s="1" t="s">
        <v>17</v>
      </c>
      <c r="AB277" s="1">
        <v>0</v>
      </c>
      <c r="AC277" s="1" t="s">
        <v>17</v>
      </c>
      <c r="AD277" t="s">
        <v>112</v>
      </c>
      <c r="AE277" t="s">
        <v>113</v>
      </c>
      <c r="AF277" t="s">
        <v>2137</v>
      </c>
      <c r="AG277" t="s">
        <v>114</v>
      </c>
      <c r="AH277" t="s">
        <v>2135</v>
      </c>
      <c r="AI277" t="s">
        <v>2135</v>
      </c>
      <c r="AJ277" t="s">
        <v>135</v>
      </c>
      <c r="AK277" t="s">
        <v>257</v>
      </c>
      <c r="AL277" t="s">
        <v>137</v>
      </c>
      <c r="AM277" t="s">
        <v>117</v>
      </c>
      <c r="AN277" t="s">
        <v>341</v>
      </c>
      <c r="AO277" t="s">
        <v>630</v>
      </c>
      <c r="AP277" t="s">
        <v>119</v>
      </c>
      <c r="AQ277" t="s">
        <v>119</v>
      </c>
      <c r="AR277" t="s">
        <v>341</v>
      </c>
      <c r="AS277" t="s">
        <v>631</v>
      </c>
      <c r="AT277" t="s">
        <v>541</v>
      </c>
    </row>
    <row r="278" spans="1:46">
      <c r="A278" s="1" t="s">
        <v>2138</v>
      </c>
      <c r="B278" s="1" t="s">
        <v>2139</v>
      </c>
      <c r="C278" s="1" t="s">
        <v>2140</v>
      </c>
      <c r="D278" s="1" t="s">
        <v>101</v>
      </c>
      <c r="E278" s="1" t="s">
        <v>124</v>
      </c>
      <c r="F278" s="1" t="s">
        <v>103</v>
      </c>
      <c r="G278" s="1" t="s">
        <v>1879</v>
      </c>
      <c r="H278" s="1" t="s">
        <v>2141</v>
      </c>
      <c r="I278" s="1" t="s">
        <v>127</v>
      </c>
      <c r="J278" s="1" t="s">
        <v>241</v>
      </c>
      <c r="K278" s="1" t="s">
        <v>2142</v>
      </c>
      <c r="L278" s="9">
        <v>-13613.94</v>
      </c>
      <c r="M278" s="1" t="s">
        <v>103</v>
      </c>
      <c r="N278" s="1" t="s">
        <v>1879</v>
      </c>
      <c r="O278" s="1" t="s">
        <v>2141</v>
      </c>
      <c r="P278" s="1" t="s">
        <v>127</v>
      </c>
      <c r="Q278" s="1" t="s">
        <v>131</v>
      </c>
      <c r="R278" s="1"/>
      <c r="S278" s="9">
        <v>13613.94</v>
      </c>
      <c r="T278" s="1">
        <v>0</v>
      </c>
      <c r="U278" s="1" t="s">
        <v>132</v>
      </c>
      <c r="V278" s="1" t="s">
        <v>15</v>
      </c>
      <c r="W278" s="1" t="s">
        <v>17</v>
      </c>
      <c r="X278" s="1" t="s">
        <v>111</v>
      </c>
      <c r="Y278" s="1"/>
      <c r="Z278" s="1" t="s">
        <v>1413</v>
      </c>
      <c r="AA278" s="1" t="s">
        <v>17</v>
      </c>
      <c r="AB278" s="1">
        <v>0</v>
      </c>
      <c r="AC278" s="1" t="s">
        <v>17</v>
      </c>
      <c r="AD278" t="s">
        <v>112</v>
      </c>
      <c r="AE278" t="s">
        <v>113</v>
      </c>
      <c r="AF278" t="s">
        <v>2143</v>
      </c>
      <c r="AG278" t="s">
        <v>114</v>
      </c>
      <c r="AH278" t="s">
        <v>2141</v>
      </c>
      <c r="AI278" t="s">
        <v>2141</v>
      </c>
      <c r="AJ278" t="s">
        <v>135</v>
      </c>
      <c r="AK278" t="s">
        <v>408</v>
      </c>
      <c r="AL278" t="s">
        <v>137</v>
      </c>
      <c r="AM278" t="s">
        <v>117</v>
      </c>
      <c r="AN278" t="s">
        <v>586</v>
      </c>
      <c r="AO278" t="s">
        <v>737</v>
      </c>
      <c r="AP278" t="s">
        <v>119</v>
      </c>
      <c r="AQ278" t="s">
        <v>119</v>
      </c>
      <c r="AR278" t="s">
        <v>586</v>
      </c>
      <c r="AS278" t="s">
        <v>738</v>
      </c>
      <c r="AT278" t="s">
        <v>1879</v>
      </c>
    </row>
    <row r="279" spans="1:46">
      <c r="A279" s="1" t="s">
        <v>2144</v>
      </c>
      <c r="B279" s="1" t="s">
        <v>2145</v>
      </c>
      <c r="C279" s="1" t="s">
        <v>2146</v>
      </c>
      <c r="D279" s="1" t="s">
        <v>101</v>
      </c>
      <c r="E279" s="1" t="s">
        <v>124</v>
      </c>
      <c r="F279" s="1" t="s">
        <v>103</v>
      </c>
      <c r="G279" s="1" t="s">
        <v>2147</v>
      </c>
      <c r="H279" s="1" t="s">
        <v>2148</v>
      </c>
      <c r="I279" s="1" t="s">
        <v>127</v>
      </c>
      <c r="J279" s="1" t="s">
        <v>128</v>
      </c>
      <c r="K279" s="1" t="s">
        <v>129</v>
      </c>
      <c r="L279" s="9">
        <v>-12147.83</v>
      </c>
      <c r="M279" s="1" t="s">
        <v>103</v>
      </c>
      <c r="N279" s="1" t="s">
        <v>2147</v>
      </c>
      <c r="O279" s="1" t="s">
        <v>2148</v>
      </c>
      <c r="P279" s="1" t="s">
        <v>127</v>
      </c>
      <c r="Q279" s="1" t="s">
        <v>131</v>
      </c>
      <c r="R279" s="1"/>
      <c r="S279" s="9">
        <v>12147.83</v>
      </c>
      <c r="T279" s="1">
        <v>0</v>
      </c>
      <c r="U279" s="1" t="s">
        <v>132</v>
      </c>
      <c r="V279" s="1" t="s">
        <v>15</v>
      </c>
      <c r="W279" s="1" t="s">
        <v>17</v>
      </c>
      <c r="X279" s="1" t="s">
        <v>111</v>
      </c>
      <c r="Y279" s="1"/>
      <c r="Z279" s="1" t="s">
        <v>815</v>
      </c>
      <c r="AA279" s="1" t="s">
        <v>17</v>
      </c>
      <c r="AB279" s="1">
        <v>0</v>
      </c>
      <c r="AC279" s="1" t="s">
        <v>17</v>
      </c>
      <c r="AD279" t="s">
        <v>112</v>
      </c>
      <c r="AE279" t="s">
        <v>113</v>
      </c>
      <c r="AF279" t="s">
        <v>2149</v>
      </c>
      <c r="AG279" t="s">
        <v>114</v>
      </c>
      <c r="AH279" t="s">
        <v>2148</v>
      </c>
      <c r="AI279" t="s">
        <v>2148</v>
      </c>
      <c r="AJ279" t="s">
        <v>149</v>
      </c>
      <c r="AK279" t="s">
        <v>150</v>
      </c>
      <c r="AL279" t="s">
        <v>137</v>
      </c>
      <c r="AM279" t="s">
        <v>117</v>
      </c>
      <c r="AN279" t="s">
        <v>817</v>
      </c>
      <c r="AO279" t="s">
        <v>1293</v>
      </c>
      <c r="AP279" t="s">
        <v>119</v>
      </c>
      <c r="AQ279" t="s">
        <v>119</v>
      </c>
      <c r="AR279" t="s">
        <v>817</v>
      </c>
      <c r="AS279" t="s">
        <v>1294</v>
      </c>
      <c r="AT279" t="s">
        <v>274</v>
      </c>
    </row>
    <row r="280" spans="1:46">
      <c r="A280" s="1" t="s">
        <v>2150</v>
      </c>
      <c r="B280" s="1" t="s">
        <v>2151</v>
      </c>
      <c r="C280" s="1" t="s">
        <v>2152</v>
      </c>
      <c r="D280" s="1" t="s">
        <v>40</v>
      </c>
      <c r="E280" s="1" t="s">
        <v>124</v>
      </c>
      <c r="F280" s="1" t="s">
        <v>103</v>
      </c>
      <c r="G280" s="1" t="s">
        <v>2153</v>
      </c>
      <c r="H280" s="1" t="s">
        <v>2154</v>
      </c>
      <c r="I280" s="1" t="s">
        <v>127</v>
      </c>
      <c r="J280" s="1" t="s">
        <v>128</v>
      </c>
      <c r="K280" s="1" t="s">
        <v>129</v>
      </c>
      <c r="L280" s="9">
        <v>-19060</v>
      </c>
      <c r="M280" s="1" t="s">
        <v>103</v>
      </c>
      <c r="N280" s="1" t="s">
        <v>2153</v>
      </c>
      <c r="O280" s="1" t="s">
        <v>2154</v>
      </c>
      <c r="P280" s="1" t="s">
        <v>127</v>
      </c>
      <c r="Q280" s="1" t="s">
        <v>131</v>
      </c>
      <c r="R280" s="1"/>
      <c r="S280" s="9">
        <v>19059.52</v>
      </c>
      <c r="T280" s="1">
        <v>-0.47999999999956344</v>
      </c>
      <c r="U280" s="1" t="s">
        <v>146</v>
      </c>
      <c r="V280" s="1" t="s">
        <v>15</v>
      </c>
      <c r="W280" s="1" t="s">
        <v>17</v>
      </c>
      <c r="X280" s="1" t="s">
        <v>111</v>
      </c>
      <c r="Y280" s="1"/>
      <c r="Z280" s="1" t="s">
        <v>1784</v>
      </c>
      <c r="AA280" s="1" t="s">
        <v>17</v>
      </c>
      <c r="AB280" s="1">
        <v>0</v>
      </c>
      <c r="AC280" s="1" t="s">
        <v>17</v>
      </c>
      <c r="AD280" t="s">
        <v>112</v>
      </c>
      <c r="AE280" t="s">
        <v>113</v>
      </c>
      <c r="AF280" t="s">
        <v>2155</v>
      </c>
      <c r="AG280" t="s">
        <v>114</v>
      </c>
      <c r="AH280" t="s">
        <v>2154</v>
      </c>
      <c r="AI280" t="s">
        <v>2154</v>
      </c>
      <c r="AJ280" t="s">
        <v>149</v>
      </c>
      <c r="AK280" t="s">
        <v>189</v>
      </c>
      <c r="AL280" t="s">
        <v>137</v>
      </c>
      <c r="AM280" t="s">
        <v>117</v>
      </c>
      <c r="AN280" t="s">
        <v>777</v>
      </c>
      <c r="AO280" t="s">
        <v>2156</v>
      </c>
      <c r="AP280" t="s">
        <v>119</v>
      </c>
      <c r="AQ280" t="s">
        <v>119</v>
      </c>
      <c r="AR280" t="s">
        <v>777</v>
      </c>
      <c r="AS280" t="s">
        <v>2157</v>
      </c>
      <c r="AT280" t="s">
        <v>2153</v>
      </c>
    </row>
    <row r="281" spans="1:46">
      <c r="A281" s="1" t="s">
        <v>2158</v>
      </c>
      <c r="B281" s="1" t="s">
        <v>2159</v>
      </c>
      <c r="C281" s="1" t="s">
        <v>2160</v>
      </c>
      <c r="D281" s="1" t="s">
        <v>101</v>
      </c>
      <c r="E281" s="1" t="s">
        <v>102</v>
      </c>
      <c r="F281" s="1" t="s">
        <v>103</v>
      </c>
      <c r="G281" s="1" t="s">
        <v>287</v>
      </c>
      <c r="H281" s="1" t="s">
        <v>785</v>
      </c>
      <c r="I281" s="1" t="s">
        <v>106</v>
      </c>
      <c r="J281" s="1" t="s">
        <v>107</v>
      </c>
      <c r="K281" s="1"/>
      <c r="L281" s="9">
        <v>31206</v>
      </c>
      <c r="M281" s="1" t="s">
        <v>103</v>
      </c>
      <c r="N281" s="1" t="s">
        <v>287</v>
      </c>
      <c r="O281" s="1"/>
      <c r="P281" s="1" t="s">
        <v>106</v>
      </c>
      <c r="Q281" s="1" t="s">
        <v>108</v>
      </c>
      <c r="R281" s="1" t="s">
        <v>109</v>
      </c>
      <c r="S281" s="9">
        <v>-31206</v>
      </c>
      <c r="T281" s="1">
        <v>0</v>
      </c>
      <c r="U281" s="1" t="s">
        <v>110</v>
      </c>
      <c r="V281" s="1" t="s">
        <v>15</v>
      </c>
      <c r="W281" s="1" t="s">
        <v>17</v>
      </c>
      <c r="X281" s="1" t="s">
        <v>111</v>
      </c>
      <c r="Y281" s="1"/>
      <c r="Z281" s="1" t="s">
        <v>785</v>
      </c>
      <c r="AA281" s="1" t="s">
        <v>17</v>
      </c>
      <c r="AB281" s="1">
        <v>0</v>
      </c>
      <c r="AC281" s="1" t="s">
        <v>17</v>
      </c>
      <c r="AD281" t="s">
        <v>112</v>
      </c>
      <c r="AE281" t="s">
        <v>113</v>
      </c>
      <c r="AF281" t="s">
        <v>785</v>
      </c>
      <c r="AG281" t="s">
        <v>114</v>
      </c>
      <c r="AH281" t="s">
        <v>2161</v>
      </c>
      <c r="AI281" t="s">
        <v>2161</v>
      </c>
      <c r="AJ281" t="s">
        <v>17</v>
      </c>
      <c r="AK281" t="s">
        <v>116</v>
      </c>
      <c r="AL281" t="s">
        <v>17</v>
      </c>
      <c r="AM281" t="s">
        <v>117</v>
      </c>
      <c r="AN281" t="s">
        <v>287</v>
      </c>
      <c r="AO281" t="s">
        <v>438</v>
      </c>
      <c r="AP281" t="s">
        <v>119</v>
      </c>
      <c r="AQ281" t="s">
        <v>119</v>
      </c>
      <c r="AR281" t="s">
        <v>287</v>
      </c>
      <c r="AS281" t="s">
        <v>439</v>
      </c>
      <c r="AT281" t="s">
        <v>287</v>
      </c>
    </row>
    <row r="282" spans="1:46">
      <c r="A282" s="1" t="s">
        <v>2162</v>
      </c>
      <c r="B282" s="1" t="s">
        <v>2163</v>
      </c>
      <c r="C282" s="1" t="s">
        <v>2164</v>
      </c>
      <c r="D282" s="1" t="s">
        <v>40</v>
      </c>
      <c r="E282" s="1" t="s">
        <v>124</v>
      </c>
      <c r="F282" s="1" t="s">
        <v>103</v>
      </c>
      <c r="G282" s="1" t="s">
        <v>212</v>
      </c>
      <c r="H282" s="1" t="s">
        <v>2165</v>
      </c>
      <c r="I282" s="1" t="s">
        <v>127</v>
      </c>
      <c r="J282" s="1" t="s">
        <v>128</v>
      </c>
      <c r="K282" s="1" t="s">
        <v>129</v>
      </c>
      <c r="L282" s="9">
        <v>-18431</v>
      </c>
      <c r="M282" s="1" t="s">
        <v>103</v>
      </c>
      <c r="N282" s="1" t="s">
        <v>726</v>
      </c>
      <c r="O282" s="1" t="s">
        <v>2165</v>
      </c>
      <c r="P282" s="1" t="s">
        <v>127</v>
      </c>
      <c r="Q282" s="1" t="s">
        <v>131</v>
      </c>
      <c r="R282" s="1"/>
      <c r="S282" s="9">
        <v>18431.189999999999</v>
      </c>
      <c r="T282" s="1">
        <v>0.18999999999869033</v>
      </c>
      <c r="U282" s="1" t="s">
        <v>146</v>
      </c>
      <c r="V282" s="1" t="s">
        <v>15</v>
      </c>
      <c r="W282" s="1" t="s">
        <v>17</v>
      </c>
      <c r="X282" s="1" t="s">
        <v>111</v>
      </c>
      <c r="Y282" s="1"/>
      <c r="Z282" s="1" t="s">
        <v>1900</v>
      </c>
      <c r="AA282" s="1" t="s">
        <v>17</v>
      </c>
      <c r="AB282" s="1">
        <v>0</v>
      </c>
      <c r="AC282" s="1" t="s">
        <v>17</v>
      </c>
      <c r="AD282" t="s">
        <v>112</v>
      </c>
      <c r="AE282" t="s">
        <v>113</v>
      </c>
      <c r="AF282" t="s">
        <v>2166</v>
      </c>
      <c r="AG282" t="s">
        <v>114</v>
      </c>
      <c r="AH282" t="s">
        <v>2165</v>
      </c>
      <c r="AI282" t="s">
        <v>2165</v>
      </c>
      <c r="AJ282" t="s">
        <v>135</v>
      </c>
      <c r="AK282" t="s">
        <v>200</v>
      </c>
      <c r="AL282" t="s">
        <v>137</v>
      </c>
      <c r="AM282" t="s">
        <v>117</v>
      </c>
      <c r="AN282" t="s">
        <v>448</v>
      </c>
      <c r="AO282" t="s">
        <v>577</v>
      </c>
      <c r="AP282" t="s">
        <v>119</v>
      </c>
      <c r="AQ282" t="s">
        <v>119</v>
      </c>
      <c r="AR282" t="s">
        <v>448</v>
      </c>
      <c r="AS282" t="s">
        <v>578</v>
      </c>
      <c r="AT282" t="s">
        <v>726</v>
      </c>
    </row>
    <row r="283" spans="1:46">
      <c r="A283" s="1" t="s">
        <v>2167</v>
      </c>
      <c r="B283" s="1" t="s">
        <v>2168</v>
      </c>
      <c r="C283" s="1" t="s">
        <v>2169</v>
      </c>
      <c r="D283" s="1" t="s">
        <v>101</v>
      </c>
      <c r="E283" s="1" t="s">
        <v>124</v>
      </c>
      <c r="F283" s="1" t="s">
        <v>103</v>
      </c>
      <c r="G283" s="1" t="s">
        <v>1819</v>
      </c>
      <c r="H283" s="1" t="s">
        <v>2170</v>
      </c>
      <c r="I283" s="1" t="s">
        <v>127</v>
      </c>
      <c r="J283" s="1" t="s">
        <v>128</v>
      </c>
      <c r="K283" s="1" t="s">
        <v>129</v>
      </c>
      <c r="L283" s="9">
        <v>-15498.94</v>
      </c>
      <c r="M283" s="1" t="s">
        <v>103</v>
      </c>
      <c r="N283" s="1" t="s">
        <v>1819</v>
      </c>
      <c r="O283" s="1" t="s">
        <v>2170</v>
      </c>
      <c r="P283" s="1" t="s">
        <v>127</v>
      </c>
      <c r="Q283" s="1" t="s">
        <v>131</v>
      </c>
      <c r="R283" s="1"/>
      <c r="S283" s="9">
        <v>15498.94</v>
      </c>
      <c r="T283" s="1">
        <v>0</v>
      </c>
      <c r="U283" s="1" t="s">
        <v>132</v>
      </c>
      <c r="V283" s="1" t="s">
        <v>15</v>
      </c>
      <c r="W283" s="1" t="s">
        <v>17</v>
      </c>
      <c r="X283" s="1" t="s">
        <v>111</v>
      </c>
      <c r="Y283" s="1"/>
      <c r="Z283" s="1" t="s">
        <v>1211</v>
      </c>
      <c r="AA283" s="1" t="s">
        <v>17</v>
      </c>
      <c r="AB283" s="1">
        <v>0</v>
      </c>
      <c r="AC283" s="1" t="s">
        <v>17</v>
      </c>
      <c r="AD283" t="s">
        <v>112</v>
      </c>
      <c r="AE283" t="s">
        <v>113</v>
      </c>
      <c r="AF283" t="s">
        <v>2171</v>
      </c>
      <c r="AG283" t="s">
        <v>114</v>
      </c>
      <c r="AH283" t="s">
        <v>2170</v>
      </c>
      <c r="AI283" t="s">
        <v>2170</v>
      </c>
      <c r="AJ283" t="s">
        <v>135</v>
      </c>
      <c r="AK283" t="s">
        <v>663</v>
      </c>
      <c r="AL283" t="s">
        <v>137</v>
      </c>
      <c r="AM283" t="s">
        <v>117</v>
      </c>
      <c r="AN283" t="s">
        <v>1213</v>
      </c>
      <c r="AO283" t="s">
        <v>139</v>
      </c>
      <c r="AP283" t="s">
        <v>119</v>
      </c>
      <c r="AQ283" t="s">
        <v>119</v>
      </c>
      <c r="AR283" t="s">
        <v>1213</v>
      </c>
      <c r="AS283" t="s">
        <v>140</v>
      </c>
      <c r="AT283" t="s">
        <v>1819</v>
      </c>
    </row>
    <row r="284" spans="1:46">
      <c r="A284" s="1" t="s">
        <v>2172</v>
      </c>
      <c r="B284" s="1" t="s">
        <v>2173</v>
      </c>
      <c r="C284" s="1" t="s">
        <v>2174</v>
      </c>
      <c r="D284" s="1" t="s">
        <v>101</v>
      </c>
      <c r="E284" s="1" t="s">
        <v>352</v>
      </c>
      <c r="F284" s="1" t="s">
        <v>103</v>
      </c>
      <c r="G284" s="1" t="s">
        <v>528</v>
      </c>
      <c r="H284" s="1" t="s">
        <v>1104</v>
      </c>
      <c r="I284" s="1" t="s">
        <v>106</v>
      </c>
      <c r="J284" s="1" t="s">
        <v>107</v>
      </c>
      <c r="K284" s="1"/>
      <c r="L284" s="9">
        <v>17383.97</v>
      </c>
      <c r="M284" s="1" t="s">
        <v>103</v>
      </c>
      <c r="N284" s="1" t="s">
        <v>534</v>
      </c>
      <c r="O284" s="1"/>
      <c r="P284" s="1" t="s">
        <v>106</v>
      </c>
      <c r="Q284" s="1" t="s">
        <v>108</v>
      </c>
      <c r="R284" s="1" t="s">
        <v>109</v>
      </c>
      <c r="S284" s="9">
        <v>-17383.97</v>
      </c>
      <c r="T284" s="1">
        <v>0</v>
      </c>
      <c r="U284" s="1" t="s">
        <v>356</v>
      </c>
      <c r="V284" s="1" t="s">
        <v>15</v>
      </c>
      <c r="W284" s="1" t="s">
        <v>17</v>
      </c>
      <c r="X284" s="1" t="s">
        <v>111</v>
      </c>
      <c r="Y284" s="1"/>
      <c r="Z284" s="1" t="s">
        <v>1104</v>
      </c>
      <c r="AA284" s="1" t="s">
        <v>17</v>
      </c>
      <c r="AB284" s="1">
        <v>0</v>
      </c>
      <c r="AC284" s="1" t="s">
        <v>17</v>
      </c>
      <c r="AD284" t="s">
        <v>112</v>
      </c>
      <c r="AE284" t="s">
        <v>113</v>
      </c>
      <c r="AF284" t="s">
        <v>1104</v>
      </c>
      <c r="AG284" t="s">
        <v>114</v>
      </c>
      <c r="AH284" t="s">
        <v>2175</v>
      </c>
      <c r="AI284" t="s">
        <v>2175</v>
      </c>
      <c r="AJ284" t="s">
        <v>17</v>
      </c>
      <c r="AK284" t="s">
        <v>116</v>
      </c>
      <c r="AL284" t="s">
        <v>17</v>
      </c>
      <c r="AM284" t="s">
        <v>117</v>
      </c>
      <c r="AN284" t="s">
        <v>528</v>
      </c>
      <c r="AO284" t="s">
        <v>654</v>
      </c>
      <c r="AP284" t="s">
        <v>119</v>
      </c>
      <c r="AQ284" t="s">
        <v>119</v>
      </c>
      <c r="AR284" t="s">
        <v>528</v>
      </c>
      <c r="AS284" t="s">
        <v>655</v>
      </c>
      <c r="AT284" t="s">
        <v>528</v>
      </c>
    </row>
    <row r="285" spans="1:46">
      <c r="A285" s="1" t="s">
        <v>2176</v>
      </c>
      <c r="B285" s="1" t="s">
        <v>2177</v>
      </c>
      <c r="C285" s="1" t="s">
        <v>2178</v>
      </c>
      <c r="D285" s="1" t="s">
        <v>101</v>
      </c>
      <c r="E285" s="1" t="s">
        <v>124</v>
      </c>
      <c r="F285" s="1" t="s">
        <v>103</v>
      </c>
      <c r="G285" s="1" t="s">
        <v>2179</v>
      </c>
      <c r="H285" s="1" t="s">
        <v>2180</v>
      </c>
      <c r="I285" s="1" t="s">
        <v>127</v>
      </c>
      <c r="J285" s="1" t="s">
        <v>128</v>
      </c>
      <c r="K285" s="1" t="s">
        <v>129</v>
      </c>
      <c r="L285" s="9">
        <v>-16336.73</v>
      </c>
      <c r="M285" s="1" t="s">
        <v>103</v>
      </c>
      <c r="N285" s="1" t="s">
        <v>2179</v>
      </c>
      <c r="O285" s="1" t="s">
        <v>2180</v>
      </c>
      <c r="P285" s="1" t="s">
        <v>127</v>
      </c>
      <c r="Q285" s="1" t="s">
        <v>131</v>
      </c>
      <c r="R285" s="1"/>
      <c r="S285" s="9">
        <v>16336.73</v>
      </c>
      <c r="T285" s="1">
        <v>0</v>
      </c>
      <c r="U285" s="1" t="s">
        <v>132</v>
      </c>
      <c r="V285" s="1" t="s">
        <v>15</v>
      </c>
      <c r="W285" s="1" t="s">
        <v>17</v>
      </c>
      <c r="X285" s="1" t="s">
        <v>111</v>
      </c>
      <c r="Y285" s="1"/>
      <c r="Z285" s="1" t="s">
        <v>1958</v>
      </c>
      <c r="AA285" s="1" t="s">
        <v>17</v>
      </c>
      <c r="AB285" s="1">
        <v>0</v>
      </c>
      <c r="AC285" s="1" t="s">
        <v>17</v>
      </c>
      <c r="AD285" t="s">
        <v>112</v>
      </c>
      <c r="AE285" t="s">
        <v>113</v>
      </c>
      <c r="AF285" t="s">
        <v>2181</v>
      </c>
      <c r="AG285" t="s">
        <v>114</v>
      </c>
      <c r="AH285" t="s">
        <v>2180</v>
      </c>
      <c r="AI285" t="s">
        <v>2180</v>
      </c>
      <c r="AJ285" t="s">
        <v>135</v>
      </c>
      <c r="AK285" t="s">
        <v>257</v>
      </c>
      <c r="AL285" t="s">
        <v>137</v>
      </c>
      <c r="AM285" t="s">
        <v>117</v>
      </c>
      <c r="AN285" t="s">
        <v>298</v>
      </c>
      <c r="AO285" t="s">
        <v>1527</v>
      </c>
      <c r="AP285" t="s">
        <v>119</v>
      </c>
      <c r="AQ285" t="s">
        <v>119</v>
      </c>
      <c r="AR285" t="s">
        <v>298</v>
      </c>
      <c r="AS285" t="s">
        <v>1528</v>
      </c>
      <c r="AT285" t="s">
        <v>301</v>
      </c>
    </row>
    <row r="286" spans="1:46">
      <c r="A286" s="1" t="s">
        <v>2182</v>
      </c>
      <c r="B286" s="1" t="s">
        <v>2183</v>
      </c>
      <c r="C286" s="1" t="s">
        <v>2184</v>
      </c>
      <c r="D286" s="1" t="s">
        <v>40</v>
      </c>
      <c r="E286" s="1" t="s">
        <v>124</v>
      </c>
      <c r="F286" s="1" t="s">
        <v>103</v>
      </c>
      <c r="G286" s="1" t="s">
        <v>777</v>
      </c>
      <c r="H286" s="1" t="s">
        <v>2185</v>
      </c>
      <c r="I286" s="1" t="s">
        <v>127</v>
      </c>
      <c r="J286" s="1" t="s">
        <v>128</v>
      </c>
      <c r="K286" s="1" t="s">
        <v>129</v>
      </c>
      <c r="L286" s="9">
        <v>-17174</v>
      </c>
      <c r="M286" s="1" t="s">
        <v>103</v>
      </c>
      <c r="N286" s="1" t="s">
        <v>777</v>
      </c>
      <c r="O286" s="1" t="s">
        <v>2185</v>
      </c>
      <c r="P286" s="1" t="s">
        <v>127</v>
      </c>
      <c r="Q286" s="1" t="s">
        <v>131</v>
      </c>
      <c r="R286" s="1"/>
      <c r="S286" s="9">
        <v>17174.509999999998</v>
      </c>
      <c r="T286" s="1">
        <v>0.50999999999839929</v>
      </c>
      <c r="U286" s="1" t="s">
        <v>146</v>
      </c>
      <c r="V286" s="1" t="s">
        <v>15</v>
      </c>
      <c r="W286" s="1" t="s">
        <v>17</v>
      </c>
      <c r="X286" s="1" t="s">
        <v>111</v>
      </c>
      <c r="Y286" s="1"/>
      <c r="Z286" s="1" t="s">
        <v>635</v>
      </c>
      <c r="AA286" s="1" t="s">
        <v>17</v>
      </c>
      <c r="AB286" s="1">
        <v>0</v>
      </c>
      <c r="AC286" s="1" t="s">
        <v>17</v>
      </c>
      <c r="AD286" t="s">
        <v>112</v>
      </c>
      <c r="AE286" t="s">
        <v>113</v>
      </c>
      <c r="AF286" t="s">
        <v>2186</v>
      </c>
      <c r="AG286" t="s">
        <v>114</v>
      </c>
      <c r="AH286" t="s">
        <v>2185</v>
      </c>
      <c r="AI286" t="s">
        <v>2185</v>
      </c>
      <c r="AJ286" t="s">
        <v>149</v>
      </c>
      <c r="AK286" t="s">
        <v>189</v>
      </c>
      <c r="AL286" t="s">
        <v>137</v>
      </c>
      <c r="AM286" t="s">
        <v>117</v>
      </c>
      <c r="AN286" t="s">
        <v>511</v>
      </c>
      <c r="AO286" t="s">
        <v>2187</v>
      </c>
      <c r="AP286" t="s">
        <v>119</v>
      </c>
      <c r="AQ286" t="s">
        <v>119</v>
      </c>
      <c r="AR286" t="s">
        <v>511</v>
      </c>
      <c r="AS286" t="s">
        <v>2188</v>
      </c>
      <c r="AT286" t="s">
        <v>777</v>
      </c>
    </row>
    <row r="287" spans="1:46">
      <c r="A287" s="1" t="s">
        <v>2189</v>
      </c>
      <c r="B287" s="1" t="s">
        <v>2190</v>
      </c>
      <c r="C287" s="1" t="s">
        <v>2191</v>
      </c>
      <c r="D287" s="1" t="s">
        <v>101</v>
      </c>
      <c r="E287" s="1" t="s">
        <v>124</v>
      </c>
      <c r="F287" s="1" t="s">
        <v>103</v>
      </c>
      <c r="G287" s="1" t="s">
        <v>806</v>
      </c>
      <c r="H287" s="1" t="s">
        <v>2192</v>
      </c>
      <c r="I287" s="1" t="s">
        <v>127</v>
      </c>
      <c r="J287" s="1" t="s">
        <v>128</v>
      </c>
      <c r="K287" s="1" t="s">
        <v>129</v>
      </c>
      <c r="L287" s="9">
        <v>-17383.97</v>
      </c>
      <c r="M287" s="1" t="s">
        <v>103</v>
      </c>
      <c r="N287" s="1" t="s">
        <v>806</v>
      </c>
      <c r="O287" s="1" t="s">
        <v>2192</v>
      </c>
      <c r="P287" s="1" t="s">
        <v>127</v>
      </c>
      <c r="Q287" s="1" t="s">
        <v>131</v>
      </c>
      <c r="R287" s="1"/>
      <c r="S287" s="9">
        <v>17383.97</v>
      </c>
      <c r="T287" s="1">
        <v>0</v>
      </c>
      <c r="U287" s="1" t="s">
        <v>132</v>
      </c>
      <c r="V287" s="1" t="s">
        <v>15</v>
      </c>
      <c r="W287" s="1" t="s">
        <v>17</v>
      </c>
      <c r="X287" s="1" t="s">
        <v>111</v>
      </c>
      <c r="Y287" s="1"/>
      <c r="Z287" s="1" t="s">
        <v>177</v>
      </c>
      <c r="AA287" s="1" t="s">
        <v>17</v>
      </c>
      <c r="AB287" s="1">
        <v>0</v>
      </c>
      <c r="AC287" s="1" t="s">
        <v>17</v>
      </c>
      <c r="AD287" t="s">
        <v>112</v>
      </c>
      <c r="AE287" t="s">
        <v>113</v>
      </c>
      <c r="AF287" t="s">
        <v>2193</v>
      </c>
      <c r="AG287" t="s">
        <v>114</v>
      </c>
      <c r="AH287" t="s">
        <v>2192</v>
      </c>
      <c r="AI287" t="s">
        <v>2194</v>
      </c>
      <c r="AJ287" t="s">
        <v>149</v>
      </c>
      <c r="AK287" t="s">
        <v>179</v>
      </c>
      <c r="AL287" t="s">
        <v>137</v>
      </c>
      <c r="AM287" t="s">
        <v>117</v>
      </c>
      <c r="AN287" t="s">
        <v>375</v>
      </c>
      <c r="AO287" t="s">
        <v>882</v>
      </c>
      <c r="AP287" t="s">
        <v>119</v>
      </c>
      <c r="AQ287" t="s">
        <v>119</v>
      </c>
      <c r="AR287" t="s">
        <v>375</v>
      </c>
      <c r="AS287" t="s">
        <v>883</v>
      </c>
      <c r="AT287" t="s">
        <v>806</v>
      </c>
    </row>
    <row r="288" spans="1:46">
      <c r="A288" s="1" t="s">
        <v>2195</v>
      </c>
      <c r="B288" s="1" t="s">
        <v>2196</v>
      </c>
      <c r="C288" s="1" t="s">
        <v>2197</v>
      </c>
      <c r="D288" s="1" t="s">
        <v>101</v>
      </c>
      <c r="E288" s="1" t="s">
        <v>124</v>
      </c>
      <c r="F288" s="1" t="s">
        <v>103</v>
      </c>
      <c r="G288" s="1" t="s">
        <v>522</v>
      </c>
      <c r="H288" s="1" t="s">
        <v>2198</v>
      </c>
      <c r="I288" s="1" t="s">
        <v>127</v>
      </c>
      <c r="J288" s="1" t="s">
        <v>128</v>
      </c>
      <c r="K288" s="1" t="s">
        <v>129</v>
      </c>
      <c r="L288" s="9">
        <v>-15708.4</v>
      </c>
      <c r="M288" s="1" t="s">
        <v>103</v>
      </c>
      <c r="N288" s="1" t="s">
        <v>2199</v>
      </c>
      <c r="O288" s="1" t="s">
        <v>2198</v>
      </c>
      <c r="P288" s="1" t="s">
        <v>127</v>
      </c>
      <c r="Q288" s="1" t="s">
        <v>131</v>
      </c>
      <c r="R288" s="1"/>
      <c r="S288" s="9">
        <v>15708.4</v>
      </c>
      <c r="T288" s="1">
        <v>0</v>
      </c>
      <c r="U288" s="1" t="s">
        <v>132</v>
      </c>
      <c r="V288" s="1" t="s">
        <v>15</v>
      </c>
      <c r="W288" s="1" t="s">
        <v>17</v>
      </c>
      <c r="X288" s="1" t="s">
        <v>111</v>
      </c>
      <c r="Y288" s="1"/>
      <c r="Z288" s="1" t="s">
        <v>671</v>
      </c>
      <c r="AA288" s="1" t="s">
        <v>17</v>
      </c>
      <c r="AB288" s="1">
        <v>0</v>
      </c>
      <c r="AC288" s="1" t="s">
        <v>17</v>
      </c>
      <c r="AD288" t="s">
        <v>112</v>
      </c>
      <c r="AE288" t="s">
        <v>113</v>
      </c>
      <c r="AF288" t="s">
        <v>2200</v>
      </c>
      <c r="AG288" t="s">
        <v>114</v>
      </c>
      <c r="AH288" t="s">
        <v>2198</v>
      </c>
      <c r="AI288" t="s">
        <v>2198</v>
      </c>
      <c r="AJ288" t="s">
        <v>135</v>
      </c>
      <c r="AK288" t="s">
        <v>257</v>
      </c>
      <c r="AL288" t="s">
        <v>137</v>
      </c>
      <c r="AM288" t="s">
        <v>117</v>
      </c>
      <c r="AN288" t="s">
        <v>673</v>
      </c>
      <c r="AO288" t="s">
        <v>630</v>
      </c>
      <c r="AP288" t="s">
        <v>119</v>
      </c>
      <c r="AQ288" t="s">
        <v>119</v>
      </c>
      <c r="AR288" t="s">
        <v>673</v>
      </c>
      <c r="AS288" t="s">
        <v>631</v>
      </c>
      <c r="AT288" t="s">
        <v>2199</v>
      </c>
    </row>
    <row r="289" spans="1:46">
      <c r="A289" s="1" t="s">
        <v>2201</v>
      </c>
      <c r="B289" s="1" t="s">
        <v>2202</v>
      </c>
      <c r="C289" s="1" t="s">
        <v>2203</v>
      </c>
      <c r="D289" s="1" t="s">
        <v>36</v>
      </c>
      <c r="E289" s="1" t="s">
        <v>124</v>
      </c>
      <c r="F289" s="1" t="s">
        <v>103</v>
      </c>
      <c r="G289" s="1" t="s">
        <v>673</v>
      </c>
      <c r="H289" s="1" t="s">
        <v>2204</v>
      </c>
      <c r="I289" s="1" t="s">
        <v>127</v>
      </c>
      <c r="J289" s="1" t="s">
        <v>241</v>
      </c>
      <c r="K289" s="1" t="s">
        <v>2205</v>
      </c>
      <c r="L289" s="9">
        <v>-8120</v>
      </c>
      <c r="M289" s="1" t="s">
        <v>103</v>
      </c>
      <c r="N289" s="1" t="s">
        <v>673</v>
      </c>
      <c r="O289" s="1" t="s">
        <v>2204</v>
      </c>
      <c r="P289" s="1" t="s">
        <v>127</v>
      </c>
      <c r="Q289" s="1" t="s">
        <v>131</v>
      </c>
      <c r="R289" s="1"/>
      <c r="S289" s="9">
        <v>8260</v>
      </c>
      <c r="T289" s="1">
        <v>140</v>
      </c>
      <c r="U289" s="1" t="s">
        <v>243</v>
      </c>
      <c r="V289" s="1" t="s">
        <v>15</v>
      </c>
      <c r="W289" s="1" t="s">
        <v>17</v>
      </c>
      <c r="X289" s="1" t="s">
        <v>111</v>
      </c>
      <c r="Y289" s="1"/>
      <c r="Z289" s="1" t="s">
        <v>712</v>
      </c>
      <c r="AA289" s="1" t="s">
        <v>17</v>
      </c>
      <c r="AB289" s="1">
        <v>-140</v>
      </c>
      <c r="AC289" s="1" t="s">
        <v>17</v>
      </c>
      <c r="AD289" t="s">
        <v>112</v>
      </c>
      <c r="AE289" t="s">
        <v>113</v>
      </c>
      <c r="AF289" t="s">
        <v>2206</v>
      </c>
      <c r="AG289" t="s">
        <v>114</v>
      </c>
      <c r="AH289" t="s">
        <v>2204</v>
      </c>
      <c r="AI289" t="s">
        <v>2204</v>
      </c>
      <c r="AJ289" t="s">
        <v>135</v>
      </c>
      <c r="AK289" t="s">
        <v>257</v>
      </c>
      <c r="AL289" t="s">
        <v>137</v>
      </c>
      <c r="AM289" t="s">
        <v>117</v>
      </c>
      <c r="AN289" t="s">
        <v>541</v>
      </c>
      <c r="AO289" t="s">
        <v>246</v>
      </c>
      <c r="AP289" t="s">
        <v>119</v>
      </c>
      <c r="AQ289" t="s">
        <v>119</v>
      </c>
      <c r="AR289" t="s">
        <v>541</v>
      </c>
      <c r="AS289" t="s">
        <v>247</v>
      </c>
      <c r="AT289" t="s">
        <v>538</v>
      </c>
    </row>
    <row r="290" spans="1:46">
      <c r="A290" s="1" t="s">
        <v>2207</v>
      </c>
      <c r="B290" s="1" t="s">
        <v>2208</v>
      </c>
      <c r="C290" s="1" t="s">
        <v>2209</v>
      </c>
      <c r="D290" s="1" t="s">
        <v>101</v>
      </c>
      <c r="E290" s="1" t="s">
        <v>102</v>
      </c>
      <c r="F290" s="1" t="s">
        <v>103</v>
      </c>
      <c r="G290" s="1" t="s">
        <v>1634</v>
      </c>
      <c r="H290" s="1" t="s">
        <v>1839</v>
      </c>
      <c r="I290" s="1" t="s">
        <v>106</v>
      </c>
      <c r="J290" s="1" t="s">
        <v>107</v>
      </c>
      <c r="K290" s="1"/>
      <c r="L290" s="9">
        <v>28903</v>
      </c>
      <c r="M290" s="1" t="s">
        <v>103</v>
      </c>
      <c r="N290" s="1" t="s">
        <v>1634</v>
      </c>
      <c r="O290" s="1"/>
      <c r="P290" s="1" t="s">
        <v>106</v>
      </c>
      <c r="Q290" s="1" t="s">
        <v>108</v>
      </c>
      <c r="R290" s="1" t="s">
        <v>109</v>
      </c>
      <c r="S290" s="9">
        <v>-28903</v>
      </c>
      <c r="T290" s="1">
        <v>0</v>
      </c>
      <c r="U290" s="1" t="s">
        <v>110</v>
      </c>
      <c r="V290" s="1" t="s">
        <v>15</v>
      </c>
      <c r="W290" s="1" t="s">
        <v>17</v>
      </c>
      <c r="X290" s="1" t="s">
        <v>111</v>
      </c>
      <c r="Y290" s="1"/>
      <c r="Z290" s="1" t="s">
        <v>1839</v>
      </c>
      <c r="AA290" s="1" t="s">
        <v>17</v>
      </c>
      <c r="AB290" s="1">
        <v>0</v>
      </c>
      <c r="AC290" s="1" t="s">
        <v>17</v>
      </c>
      <c r="AD290" t="s">
        <v>112</v>
      </c>
      <c r="AE290" t="s">
        <v>113</v>
      </c>
      <c r="AF290" t="s">
        <v>1839</v>
      </c>
      <c r="AG290" t="s">
        <v>114</v>
      </c>
      <c r="AH290" t="s">
        <v>2210</v>
      </c>
      <c r="AI290" t="s">
        <v>2210</v>
      </c>
      <c r="AJ290" t="s">
        <v>17</v>
      </c>
      <c r="AK290" t="s">
        <v>200</v>
      </c>
      <c r="AL290" t="s">
        <v>17</v>
      </c>
      <c r="AM290" t="s">
        <v>117</v>
      </c>
      <c r="AN290" t="s">
        <v>1634</v>
      </c>
      <c r="AO290" t="s">
        <v>2211</v>
      </c>
      <c r="AP290" t="s">
        <v>119</v>
      </c>
      <c r="AQ290" t="s">
        <v>119</v>
      </c>
      <c r="AR290" t="s">
        <v>1634</v>
      </c>
      <c r="AS290" t="s">
        <v>2212</v>
      </c>
      <c r="AT290" t="s">
        <v>1634</v>
      </c>
    </row>
    <row r="291" spans="1:46">
      <c r="A291" s="1" t="s">
        <v>2213</v>
      </c>
      <c r="B291" s="1" t="s">
        <v>2214</v>
      </c>
      <c r="C291" s="1" t="s">
        <v>2215</v>
      </c>
      <c r="D291" s="1" t="s">
        <v>101</v>
      </c>
      <c r="E291" s="1" t="s">
        <v>102</v>
      </c>
      <c r="F291" s="1" t="s">
        <v>103</v>
      </c>
      <c r="G291" s="1" t="s">
        <v>2216</v>
      </c>
      <c r="H291" s="1" t="s">
        <v>1112</v>
      </c>
      <c r="I291" s="1" t="s">
        <v>106</v>
      </c>
      <c r="J291" s="1" t="s">
        <v>107</v>
      </c>
      <c r="K291" s="1"/>
      <c r="L291" s="9">
        <v>16127.29</v>
      </c>
      <c r="M291" s="1" t="s">
        <v>103</v>
      </c>
      <c r="N291" s="1" t="s">
        <v>2216</v>
      </c>
      <c r="O291" s="1"/>
      <c r="P291" s="1" t="s">
        <v>106</v>
      </c>
      <c r="Q291" s="1" t="s">
        <v>108</v>
      </c>
      <c r="R291" s="1" t="s">
        <v>109</v>
      </c>
      <c r="S291" s="9">
        <v>-16127.29</v>
      </c>
      <c r="T291" s="1">
        <v>0</v>
      </c>
      <c r="U291" s="1" t="s">
        <v>110</v>
      </c>
      <c r="V291" s="1" t="s">
        <v>15</v>
      </c>
      <c r="W291" s="1" t="s">
        <v>17</v>
      </c>
      <c r="X291" s="1" t="s">
        <v>111</v>
      </c>
      <c r="Y291" s="1"/>
      <c r="Z291" s="1" t="s">
        <v>1112</v>
      </c>
      <c r="AA291" s="1" t="s">
        <v>17</v>
      </c>
      <c r="AB291" s="1">
        <v>0</v>
      </c>
      <c r="AC291" s="1" t="s">
        <v>17</v>
      </c>
      <c r="AD291" t="s">
        <v>112</v>
      </c>
      <c r="AE291" t="s">
        <v>113</v>
      </c>
      <c r="AF291" t="s">
        <v>1112</v>
      </c>
      <c r="AG291" t="s">
        <v>114</v>
      </c>
      <c r="AH291" t="s">
        <v>2217</v>
      </c>
      <c r="AI291" t="s">
        <v>2217</v>
      </c>
      <c r="AJ291" t="s">
        <v>17</v>
      </c>
      <c r="AK291" t="s">
        <v>116</v>
      </c>
      <c r="AL291" t="s">
        <v>17</v>
      </c>
      <c r="AM291" t="s">
        <v>117</v>
      </c>
      <c r="AN291" t="s">
        <v>2216</v>
      </c>
      <c r="AO291" t="s">
        <v>347</v>
      </c>
      <c r="AP291" t="s">
        <v>119</v>
      </c>
      <c r="AQ291" t="s">
        <v>119</v>
      </c>
      <c r="AR291" t="s">
        <v>2216</v>
      </c>
      <c r="AS291" t="s">
        <v>348</v>
      </c>
      <c r="AT291" t="s">
        <v>2216</v>
      </c>
    </row>
    <row r="292" spans="1:46">
      <c r="A292" s="1" t="s">
        <v>2218</v>
      </c>
      <c r="B292" s="1" t="s">
        <v>2219</v>
      </c>
      <c r="C292" s="1" t="s">
        <v>2220</v>
      </c>
      <c r="D292" s="1" t="s">
        <v>101</v>
      </c>
      <c r="E292" s="1" t="s">
        <v>124</v>
      </c>
      <c r="F292" s="1" t="s">
        <v>103</v>
      </c>
      <c r="G292" s="1" t="s">
        <v>821</v>
      </c>
      <c r="H292" s="1" t="s">
        <v>2221</v>
      </c>
      <c r="I292" s="1" t="s">
        <v>127</v>
      </c>
      <c r="J292" s="1" t="s">
        <v>128</v>
      </c>
      <c r="K292" s="1" t="s">
        <v>129</v>
      </c>
      <c r="L292" s="9">
        <v>-15289.51</v>
      </c>
      <c r="M292" s="1" t="s">
        <v>103</v>
      </c>
      <c r="N292" s="1" t="s">
        <v>821</v>
      </c>
      <c r="O292" s="1" t="s">
        <v>2221</v>
      </c>
      <c r="P292" s="1" t="s">
        <v>127</v>
      </c>
      <c r="Q292" s="1" t="s">
        <v>131</v>
      </c>
      <c r="R292" s="1"/>
      <c r="S292" s="9">
        <v>15289.51</v>
      </c>
      <c r="T292" s="1">
        <v>0</v>
      </c>
      <c r="U292" s="1" t="s">
        <v>132</v>
      </c>
      <c r="V292" s="1" t="s">
        <v>15</v>
      </c>
      <c r="W292" s="1" t="s">
        <v>17</v>
      </c>
      <c r="X292" s="1" t="s">
        <v>111</v>
      </c>
      <c r="Y292" s="1"/>
      <c r="Z292" s="1" t="s">
        <v>1090</v>
      </c>
      <c r="AA292" s="1" t="s">
        <v>17</v>
      </c>
      <c r="AB292" s="1">
        <v>0</v>
      </c>
      <c r="AC292" s="1" t="s">
        <v>17</v>
      </c>
      <c r="AD292" t="s">
        <v>112</v>
      </c>
      <c r="AE292" t="s">
        <v>113</v>
      </c>
      <c r="AF292" t="s">
        <v>2222</v>
      </c>
      <c r="AG292" t="s">
        <v>114</v>
      </c>
      <c r="AH292" t="s">
        <v>2221</v>
      </c>
      <c r="AI292" t="s">
        <v>2221</v>
      </c>
      <c r="AJ292" t="s">
        <v>135</v>
      </c>
      <c r="AK292" t="s">
        <v>200</v>
      </c>
      <c r="AL292" t="s">
        <v>137</v>
      </c>
      <c r="AM292" t="s">
        <v>117</v>
      </c>
      <c r="AN292" t="s">
        <v>395</v>
      </c>
      <c r="AO292" t="s">
        <v>429</v>
      </c>
      <c r="AP292" t="s">
        <v>119</v>
      </c>
      <c r="AQ292" t="s">
        <v>119</v>
      </c>
      <c r="AR292" t="s">
        <v>395</v>
      </c>
      <c r="AS292" t="s">
        <v>430</v>
      </c>
      <c r="AT292" t="s">
        <v>821</v>
      </c>
    </row>
    <row r="293" spans="1:46">
      <c r="A293" s="1" t="s">
        <v>2223</v>
      </c>
      <c r="B293" s="1" t="s">
        <v>2224</v>
      </c>
      <c r="C293" s="1" t="s">
        <v>2225</v>
      </c>
      <c r="D293" s="1" t="s">
        <v>40</v>
      </c>
      <c r="E293" s="1" t="s">
        <v>124</v>
      </c>
      <c r="F293" s="1" t="s">
        <v>103</v>
      </c>
      <c r="G293" s="1" t="s">
        <v>314</v>
      </c>
      <c r="H293" s="1" t="s">
        <v>2226</v>
      </c>
      <c r="I293" s="1" t="s">
        <v>127</v>
      </c>
      <c r="J293" s="1" t="s">
        <v>128</v>
      </c>
      <c r="K293" s="1" t="s">
        <v>129</v>
      </c>
      <c r="L293" s="9">
        <v>-18012</v>
      </c>
      <c r="M293" s="1" t="s">
        <v>103</v>
      </c>
      <c r="N293" s="1" t="s">
        <v>314</v>
      </c>
      <c r="O293" s="1" t="s">
        <v>2226</v>
      </c>
      <c r="P293" s="1" t="s">
        <v>127</v>
      </c>
      <c r="Q293" s="1" t="s">
        <v>131</v>
      </c>
      <c r="R293" s="1"/>
      <c r="S293" s="9">
        <v>18012.3</v>
      </c>
      <c r="T293" s="1">
        <v>0.2999999999992724</v>
      </c>
      <c r="U293" s="1" t="s">
        <v>146</v>
      </c>
      <c r="V293" s="1" t="s">
        <v>15</v>
      </c>
      <c r="W293" s="1" t="s">
        <v>17</v>
      </c>
      <c r="X293" s="1" t="s">
        <v>111</v>
      </c>
      <c r="Y293" s="1"/>
      <c r="Z293" s="1" t="s">
        <v>1438</v>
      </c>
      <c r="AA293" s="1" t="s">
        <v>17</v>
      </c>
      <c r="AB293" s="1">
        <v>0</v>
      </c>
      <c r="AC293" s="1" t="s">
        <v>17</v>
      </c>
      <c r="AD293" t="s">
        <v>112</v>
      </c>
      <c r="AE293" t="s">
        <v>113</v>
      </c>
      <c r="AF293" t="s">
        <v>2227</v>
      </c>
      <c r="AG293" t="s">
        <v>114</v>
      </c>
      <c r="AH293" t="s">
        <v>2226</v>
      </c>
      <c r="AI293" t="s">
        <v>2226</v>
      </c>
      <c r="AJ293" t="s">
        <v>135</v>
      </c>
      <c r="AK293" t="s">
        <v>663</v>
      </c>
      <c r="AL293" t="s">
        <v>137</v>
      </c>
      <c r="AM293" t="s">
        <v>117</v>
      </c>
      <c r="AN293" t="s">
        <v>1819</v>
      </c>
      <c r="AO293" t="s">
        <v>1726</v>
      </c>
      <c r="AP293" t="s">
        <v>119</v>
      </c>
      <c r="AQ293" t="s">
        <v>119</v>
      </c>
      <c r="AR293" t="s">
        <v>1819</v>
      </c>
      <c r="AS293" t="s">
        <v>1727</v>
      </c>
      <c r="AT293" t="s">
        <v>314</v>
      </c>
    </row>
    <row r="294" spans="1:46">
      <c r="A294" s="1" t="s">
        <v>2228</v>
      </c>
      <c r="B294" s="1" t="s">
        <v>2229</v>
      </c>
      <c r="C294" s="1" t="s">
        <v>2230</v>
      </c>
      <c r="D294" s="1" t="s">
        <v>101</v>
      </c>
      <c r="E294" s="1" t="s">
        <v>124</v>
      </c>
      <c r="F294" s="1" t="s">
        <v>103</v>
      </c>
      <c r="G294" s="1" t="s">
        <v>1345</v>
      </c>
      <c r="H294" s="1" t="s">
        <v>2231</v>
      </c>
      <c r="I294" s="1" t="s">
        <v>127</v>
      </c>
      <c r="J294" s="1" t="s">
        <v>128</v>
      </c>
      <c r="K294" s="1" t="s">
        <v>129</v>
      </c>
      <c r="L294" s="9">
        <v>-16336.73</v>
      </c>
      <c r="M294" s="1" t="s">
        <v>103</v>
      </c>
      <c r="N294" s="1" t="s">
        <v>2232</v>
      </c>
      <c r="O294" s="1" t="s">
        <v>2231</v>
      </c>
      <c r="P294" s="1" t="s">
        <v>127</v>
      </c>
      <c r="Q294" s="1" t="s">
        <v>131</v>
      </c>
      <c r="R294" s="1"/>
      <c r="S294" s="9">
        <v>16336.73</v>
      </c>
      <c r="T294" s="1">
        <v>0</v>
      </c>
      <c r="U294" s="1" t="s">
        <v>132</v>
      </c>
      <c r="V294" s="1" t="s">
        <v>15</v>
      </c>
      <c r="W294" s="1" t="s">
        <v>17</v>
      </c>
      <c r="X294" s="1" t="s">
        <v>111</v>
      </c>
      <c r="Y294" s="1"/>
      <c r="Z294" s="1" t="s">
        <v>1017</v>
      </c>
      <c r="AA294" s="1" t="s">
        <v>17</v>
      </c>
      <c r="AB294" s="1">
        <v>0</v>
      </c>
      <c r="AC294" s="1" t="s">
        <v>17</v>
      </c>
      <c r="AD294" t="s">
        <v>112</v>
      </c>
      <c r="AE294" t="s">
        <v>113</v>
      </c>
      <c r="AF294" t="s">
        <v>2233</v>
      </c>
      <c r="AG294" t="s">
        <v>114</v>
      </c>
      <c r="AH294" t="s">
        <v>2231</v>
      </c>
      <c r="AI294" t="s">
        <v>2231</v>
      </c>
      <c r="AJ294" t="s">
        <v>135</v>
      </c>
      <c r="AK294" t="s">
        <v>179</v>
      </c>
      <c r="AL294" t="s">
        <v>2234</v>
      </c>
      <c r="AM294" t="s">
        <v>117</v>
      </c>
      <c r="AN294" t="s">
        <v>680</v>
      </c>
      <c r="AO294" t="s">
        <v>1527</v>
      </c>
      <c r="AP294" t="s">
        <v>119</v>
      </c>
      <c r="AQ294" t="s">
        <v>119</v>
      </c>
      <c r="AR294" t="s">
        <v>680</v>
      </c>
      <c r="AS294" t="s">
        <v>1528</v>
      </c>
      <c r="AT294" t="s">
        <v>1980</v>
      </c>
    </row>
    <row r="295" spans="1:46">
      <c r="A295" s="1" t="s">
        <v>2235</v>
      </c>
      <c r="B295" s="1" t="s">
        <v>2236</v>
      </c>
      <c r="C295" s="1" t="s">
        <v>2237</v>
      </c>
      <c r="D295" s="1" t="s">
        <v>101</v>
      </c>
      <c r="E295" s="1" t="s">
        <v>124</v>
      </c>
      <c r="F295" s="1" t="s">
        <v>103</v>
      </c>
      <c r="G295" s="1" t="s">
        <v>2199</v>
      </c>
      <c r="H295" s="1" t="s">
        <v>2238</v>
      </c>
      <c r="I295" s="1" t="s">
        <v>127</v>
      </c>
      <c r="J295" s="1" t="s">
        <v>128</v>
      </c>
      <c r="K295" s="1" t="s">
        <v>129</v>
      </c>
      <c r="L295" s="9">
        <v>-16336.73</v>
      </c>
      <c r="M295" s="1" t="s">
        <v>103</v>
      </c>
      <c r="N295" s="1" t="s">
        <v>398</v>
      </c>
      <c r="O295" s="1" t="s">
        <v>2238</v>
      </c>
      <c r="P295" s="1" t="s">
        <v>127</v>
      </c>
      <c r="Q295" s="1" t="s">
        <v>131</v>
      </c>
      <c r="R295" s="1"/>
      <c r="S295" s="9">
        <v>16336.73</v>
      </c>
      <c r="T295" s="1">
        <v>0</v>
      </c>
      <c r="U295" s="1" t="s">
        <v>132</v>
      </c>
      <c r="V295" s="1" t="s">
        <v>15</v>
      </c>
      <c r="W295" s="1" t="s">
        <v>17</v>
      </c>
      <c r="X295" s="1" t="s">
        <v>111</v>
      </c>
      <c r="Y295" s="1"/>
      <c r="Z295" s="1" t="s">
        <v>671</v>
      </c>
      <c r="AA295" s="1" t="s">
        <v>17</v>
      </c>
      <c r="AB295" s="1">
        <v>0</v>
      </c>
      <c r="AC295" s="1" t="s">
        <v>17</v>
      </c>
      <c r="AD295" t="s">
        <v>112</v>
      </c>
      <c r="AE295" t="s">
        <v>113</v>
      </c>
      <c r="AF295" t="s">
        <v>2239</v>
      </c>
      <c r="AG295" t="s">
        <v>114</v>
      </c>
      <c r="AH295" t="s">
        <v>2238</v>
      </c>
      <c r="AI295" t="s">
        <v>2238</v>
      </c>
      <c r="AJ295" t="s">
        <v>135</v>
      </c>
      <c r="AK295" t="s">
        <v>257</v>
      </c>
      <c r="AL295" t="s">
        <v>137</v>
      </c>
      <c r="AM295" t="s">
        <v>117</v>
      </c>
      <c r="AN295" t="s">
        <v>673</v>
      </c>
      <c r="AO295" t="s">
        <v>1527</v>
      </c>
      <c r="AP295" t="s">
        <v>119</v>
      </c>
      <c r="AQ295" t="s">
        <v>119</v>
      </c>
      <c r="AR295" t="s">
        <v>673</v>
      </c>
      <c r="AS295" t="s">
        <v>1528</v>
      </c>
      <c r="AT295" t="s">
        <v>398</v>
      </c>
    </row>
    <row r="296" spans="1:46">
      <c r="A296" s="1" t="s">
        <v>2240</v>
      </c>
      <c r="B296" s="1" t="s">
        <v>2241</v>
      </c>
      <c r="C296" s="1" t="s">
        <v>2242</v>
      </c>
      <c r="D296" s="1" t="s">
        <v>40</v>
      </c>
      <c r="E296" s="1" t="s">
        <v>124</v>
      </c>
      <c r="F296" s="1" t="s">
        <v>103</v>
      </c>
      <c r="G296" s="1" t="s">
        <v>750</v>
      </c>
      <c r="H296" s="1" t="s">
        <v>2243</v>
      </c>
      <c r="I296" s="1" t="s">
        <v>127</v>
      </c>
      <c r="J296" s="1" t="s">
        <v>128</v>
      </c>
      <c r="K296" s="1" t="s">
        <v>129</v>
      </c>
      <c r="L296" s="9">
        <v>-12776</v>
      </c>
      <c r="M296" s="1" t="s">
        <v>103</v>
      </c>
      <c r="N296" s="1" t="s">
        <v>753</v>
      </c>
      <c r="O296" s="1" t="s">
        <v>2243</v>
      </c>
      <c r="P296" s="1" t="s">
        <v>127</v>
      </c>
      <c r="Q296" s="1" t="s">
        <v>131</v>
      </c>
      <c r="R296" s="1"/>
      <c r="S296" s="9">
        <v>12776.16</v>
      </c>
      <c r="T296" s="1">
        <v>0.15999999999985448</v>
      </c>
      <c r="U296" s="1" t="s">
        <v>146</v>
      </c>
      <c r="V296" s="1" t="s">
        <v>15</v>
      </c>
      <c r="W296" s="1" t="s">
        <v>17</v>
      </c>
      <c r="X296" s="1" t="s">
        <v>111</v>
      </c>
      <c r="Y296" s="1"/>
      <c r="Z296" s="1" t="s">
        <v>735</v>
      </c>
      <c r="AA296" s="1" t="s">
        <v>17</v>
      </c>
      <c r="AB296" s="1">
        <v>0</v>
      </c>
      <c r="AC296" s="1" t="s">
        <v>17</v>
      </c>
      <c r="AD296" t="s">
        <v>112</v>
      </c>
      <c r="AE296" t="s">
        <v>113</v>
      </c>
      <c r="AF296" t="s">
        <v>2244</v>
      </c>
      <c r="AG296" t="s">
        <v>114</v>
      </c>
      <c r="AH296" t="s">
        <v>2243</v>
      </c>
      <c r="AI296" t="s">
        <v>2243</v>
      </c>
      <c r="AJ296" t="s">
        <v>149</v>
      </c>
      <c r="AK296" t="s">
        <v>150</v>
      </c>
      <c r="AL296" t="s">
        <v>137</v>
      </c>
      <c r="AM296" t="s">
        <v>117</v>
      </c>
      <c r="AN296" t="s">
        <v>752</v>
      </c>
      <c r="AO296" t="s">
        <v>2245</v>
      </c>
      <c r="AP296" t="s">
        <v>119</v>
      </c>
      <c r="AQ296" t="s">
        <v>119</v>
      </c>
      <c r="AR296" t="s">
        <v>752</v>
      </c>
      <c r="AS296" t="s">
        <v>2246</v>
      </c>
      <c r="AT296" t="s">
        <v>753</v>
      </c>
    </row>
    <row r="297" spans="1:46">
      <c r="A297" s="1" t="s">
        <v>2247</v>
      </c>
      <c r="B297" s="1" t="s">
        <v>2248</v>
      </c>
      <c r="C297" s="1" t="s">
        <v>2249</v>
      </c>
      <c r="D297" s="1" t="s">
        <v>101</v>
      </c>
      <c r="E297" s="1" t="s">
        <v>554</v>
      </c>
      <c r="F297" s="1" t="s">
        <v>103</v>
      </c>
      <c r="G297" s="1" t="s">
        <v>409</v>
      </c>
      <c r="H297" s="1" t="s">
        <v>2250</v>
      </c>
      <c r="I297" s="1" t="s">
        <v>127</v>
      </c>
      <c r="J297" s="1" t="s">
        <v>128</v>
      </c>
      <c r="K297" s="1" t="s">
        <v>253</v>
      </c>
      <c r="L297" s="9">
        <v>-34443.199999999997</v>
      </c>
      <c r="M297" s="1" t="s">
        <v>103</v>
      </c>
      <c r="N297" s="1" t="s">
        <v>2251</v>
      </c>
      <c r="O297" s="1" t="s">
        <v>2252</v>
      </c>
      <c r="P297" s="1" t="s">
        <v>127</v>
      </c>
      <c r="Q297" s="1" t="s">
        <v>131</v>
      </c>
      <c r="R297" s="1"/>
      <c r="S297" s="9">
        <v>34443.199999999997</v>
      </c>
      <c r="T297" s="1">
        <v>0</v>
      </c>
      <c r="U297" s="1" t="s">
        <v>557</v>
      </c>
      <c r="V297" s="1" t="s">
        <v>15</v>
      </c>
      <c r="W297" s="1" t="s">
        <v>17</v>
      </c>
      <c r="X297" s="1" t="s">
        <v>111</v>
      </c>
      <c r="Y297" s="1"/>
      <c r="Z297" s="1" t="s">
        <v>584</v>
      </c>
      <c r="AA297" s="1" t="s">
        <v>17</v>
      </c>
      <c r="AB297" s="1">
        <v>0</v>
      </c>
      <c r="AC297" s="1" t="s">
        <v>17</v>
      </c>
      <c r="AD297" t="s">
        <v>112</v>
      </c>
      <c r="AE297" t="s">
        <v>231</v>
      </c>
      <c r="AF297" t="s">
        <v>2253</v>
      </c>
      <c r="AG297" t="s">
        <v>114</v>
      </c>
      <c r="AH297" t="s">
        <v>2250</v>
      </c>
      <c r="AI297" t="s">
        <v>2252</v>
      </c>
      <c r="AJ297" t="s">
        <v>135</v>
      </c>
      <c r="AK297" t="s">
        <v>408</v>
      </c>
      <c r="AL297" t="s">
        <v>137</v>
      </c>
      <c r="AM297" t="s">
        <v>117</v>
      </c>
      <c r="AN297" t="s">
        <v>589</v>
      </c>
      <c r="AO297" t="s">
        <v>2254</v>
      </c>
      <c r="AP297" t="s">
        <v>119</v>
      </c>
      <c r="AQ297" t="s">
        <v>119</v>
      </c>
      <c r="AR297" t="s">
        <v>589</v>
      </c>
      <c r="AS297" t="s">
        <v>2255</v>
      </c>
      <c r="AT297" t="s">
        <v>582</v>
      </c>
    </row>
    <row r="298" spans="1:46">
      <c r="A298" s="1" t="s">
        <v>2256</v>
      </c>
      <c r="B298" s="1" t="s">
        <v>2257</v>
      </c>
      <c r="C298" s="1" t="s">
        <v>2258</v>
      </c>
      <c r="D298" s="1" t="s">
        <v>101</v>
      </c>
      <c r="E298" s="1" t="s">
        <v>124</v>
      </c>
      <c r="F298" s="1" t="s">
        <v>103</v>
      </c>
      <c r="G298" s="1" t="s">
        <v>2259</v>
      </c>
      <c r="H298" s="1" t="s">
        <v>2260</v>
      </c>
      <c r="I298" s="1" t="s">
        <v>127</v>
      </c>
      <c r="J298" s="1" t="s">
        <v>128</v>
      </c>
      <c r="K298" s="1" t="s">
        <v>253</v>
      </c>
      <c r="L298" s="9">
        <v>-38859</v>
      </c>
      <c r="M298" s="1" t="s">
        <v>103</v>
      </c>
      <c r="N298" s="1" t="s">
        <v>2259</v>
      </c>
      <c r="O298" s="1" t="s">
        <v>2260</v>
      </c>
      <c r="P298" s="1" t="s">
        <v>127</v>
      </c>
      <c r="Q298" s="1" t="s">
        <v>131</v>
      </c>
      <c r="R298" s="1"/>
      <c r="S298" s="9">
        <v>38859</v>
      </c>
      <c r="T298" s="1">
        <v>0</v>
      </c>
      <c r="U298" s="1" t="s">
        <v>132</v>
      </c>
      <c r="V298" s="1" t="s">
        <v>15</v>
      </c>
      <c r="W298" s="1" t="s">
        <v>17</v>
      </c>
      <c r="X298" s="1" t="s">
        <v>111</v>
      </c>
      <c r="Y298" s="1"/>
      <c r="Z298" s="1" t="s">
        <v>229</v>
      </c>
      <c r="AA298" s="1" t="s">
        <v>17</v>
      </c>
      <c r="AB298" s="1">
        <v>0</v>
      </c>
      <c r="AC298" s="1" t="s">
        <v>17</v>
      </c>
      <c r="AD298" t="s">
        <v>112</v>
      </c>
      <c r="AE298" t="s">
        <v>231</v>
      </c>
      <c r="AF298" t="s">
        <v>2261</v>
      </c>
      <c r="AG298" t="s">
        <v>114</v>
      </c>
      <c r="AH298" t="s">
        <v>2260</v>
      </c>
      <c r="AI298" t="s">
        <v>2260</v>
      </c>
      <c r="AJ298" t="s">
        <v>135</v>
      </c>
      <c r="AK298" t="s">
        <v>233</v>
      </c>
      <c r="AL298" t="s">
        <v>137</v>
      </c>
      <c r="AM298" t="s">
        <v>117</v>
      </c>
      <c r="AN298" t="s">
        <v>1298</v>
      </c>
      <c r="AO298" t="s">
        <v>2262</v>
      </c>
      <c r="AP298" t="s">
        <v>119</v>
      </c>
      <c r="AQ298" t="s">
        <v>119</v>
      </c>
      <c r="AR298" t="s">
        <v>1298</v>
      </c>
      <c r="AS298" t="s">
        <v>2263</v>
      </c>
      <c r="AT298" t="s">
        <v>2264</v>
      </c>
    </row>
    <row r="299" spans="1:46">
      <c r="A299" s="1" t="s">
        <v>2265</v>
      </c>
      <c r="B299" s="1" t="s">
        <v>2266</v>
      </c>
      <c r="C299" s="1" t="s">
        <v>2267</v>
      </c>
      <c r="D299" s="1" t="s">
        <v>40</v>
      </c>
      <c r="E299" s="1" t="s">
        <v>124</v>
      </c>
      <c r="F299" s="1" t="s">
        <v>103</v>
      </c>
      <c r="G299" s="1" t="s">
        <v>1551</v>
      </c>
      <c r="H299" s="1" t="s">
        <v>2268</v>
      </c>
      <c r="I299" s="1" t="s">
        <v>127</v>
      </c>
      <c r="J299" s="1" t="s">
        <v>128</v>
      </c>
      <c r="K299" s="1" t="s">
        <v>129</v>
      </c>
      <c r="L299" s="9">
        <v>-14661</v>
      </c>
      <c r="M299" s="1" t="s">
        <v>103</v>
      </c>
      <c r="N299" s="1" t="s">
        <v>212</v>
      </c>
      <c r="O299" s="1" t="s">
        <v>2268</v>
      </c>
      <c r="P299" s="1" t="s">
        <v>127</v>
      </c>
      <c r="Q299" s="1" t="s">
        <v>131</v>
      </c>
      <c r="R299" s="1"/>
      <c r="S299" s="9">
        <v>14661.16</v>
      </c>
      <c r="T299" s="1">
        <v>0.15999999999985448</v>
      </c>
      <c r="U299" s="1" t="s">
        <v>146</v>
      </c>
      <c r="V299" s="1" t="s">
        <v>15</v>
      </c>
      <c r="W299" s="1" t="s">
        <v>17</v>
      </c>
      <c r="X299" s="1" t="s">
        <v>111</v>
      </c>
      <c r="Y299" s="1"/>
      <c r="Z299" s="1" t="s">
        <v>455</v>
      </c>
      <c r="AA299" s="1" t="s">
        <v>17</v>
      </c>
      <c r="AB299" s="1">
        <v>0</v>
      </c>
      <c r="AC299" s="1" t="s">
        <v>17</v>
      </c>
      <c r="AD299" t="s">
        <v>112</v>
      </c>
      <c r="AE299" t="s">
        <v>113</v>
      </c>
      <c r="AF299" t="s">
        <v>2269</v>
      </c>
      <c r="AG299" t="s">
        <v>114</v>
      </c>
      <c r="AH299" t="s">
        <v>2268</v>
      </c>
      <c r="AI299" t="s">
        <v>2268</v>
      </c>
      <c r="AJ299" t="s">
        <v>135</v>
      </c>
      <c r="AK299" t="s">
        <v>200</v>
      </c>
      <c r="AL299" t="s">
        <v>137</v>
      </c>
      <c r="AM299" t="s">
        <v>117</v>
      </c>
      <c r="AN299" t="s">
        <v>448</v>
      </c>
      <c r="AO299" t="s">
        <v>1355</v>
      </c>
      <c r="AP299" t="s">
        <v>119</v>
      </c>
      <c r="AQ299" t="s">
        <v>119</v>
      </c>
      <c r="AR299" t="s">
        <v>448</v>
      </c>
      <c r="AS299" t="s">
        <v>1356</v>
      </c>
      <c r="AT299" t="s">
        <v>212</v>
      </c>
    </row>
    <row r="300" spans="1:46">
      <c r="A300" s="1" t="s">
        <v>2270</v>
      </c>
      <c r="B300" s="1" t="s">
        <v>2271</v>
      </c>
      <c r="C300" s="1" t="s">
        <v>2272</v>
      </c>
      <c r="D300" s="1" t="s">
        <v>101</v>
      </c>
      <c r="E300" s="1" t="s">
        <v>352</v>
      </c>
      <c r="F300" s="1" t="s">
        <v>103</v>
      </c>
      <c r="G300" s="1" t="s">
        <v>813</v>
      </c>
      <c r="H300" s="1" t="s">
        <v>602</v>
      </c>
      <c r="I300" s="1" t="s">
        <v>106</v>
      </c>
      <c r="J300" s="1" t="s">
        <v>107</v>
      </c>
      <c r="K300" s="1"/>
      <c r="L300" s="9">
        <v>57806.85</v>
      </c>
      <c r="M300" s="1" t="s">
        <v>103</v>
      </c>
      <c r="N300" s="1" t="s">
        <v>1563</v>
      </c>
      <c r="O300" s="1"/>
      <c r="P300" s="1" t="s">
        <v>106</v>
      </c>
      <c r="Q300" s="1" t="s">
        <v>108</v>
      </c>
      <c r="R300" s="1" t="s">
        <v>109</v>
      </c>
      <c r="S300" s="9">
        <v>-57806.85</v>
      </c>
      <c r="T300" s="1">
        <v>0</v>
      </c>
      <c r="U300" s="1" t="s">
        <v>356</v>
      </c>
      <c r="V300" s="1" t="s">
        <v>15</v>
      </c>
      <c r="W300" s="1" t="s">
        <v>17</v>
      </c>
      <c r="X300" s="1" t="s">
        <v>111</v>
      </c>
      <c r="Y300" s="1"/>
      <c r="Z300" s="1" t="s">
        <v>602</v>
      </c>
      <c r="AA300" s="1" t="s">
        <v>17</v>
      </c>
      <c r="AB300" s="1">
        <v>0</v>
      </c>
      <c r="AC300" s="1" t="s">
        <v>17</v>
      </c>
      <c r="AD300" t="s">
        <v>112</v>
      </c>
      <c r="AE300" t="s">
        <v>113</v>
      </c>
      <c r="AF300" t="s">
        <v>602</v>
      </c>
      <c r="AG300" t="s">
        <v>114</v>
      </c>
      <c r="AH300" t="s">
        <v>2273</v>
      </c>
      <c r="AI300" t="s">
        <v>2273</v>
      </c>
      <c r="AJ300" t="s">
        <v>17</v>
      </c>
      <c r="AK300" t="s">
        <v>150</v>
      </c>
      <c r="AL300" t="s">
        <v>17</v>
      </c>
      <c r="AM300" t="s">
        <v>117</v>
      </c>
      <c r="AN300" t="s">
        <v>813</v>
      </c>
      <c r="AO300" t="s">
        <v>2274</v>
      </c>
      <c r="AP300" t="s">
        <v>119</v>
      </c>
      <c r="AQ300" t="s">
        <v>119</v>
      </c>
      <c r="AR300" t="s">
        <v>813</v>
      </c>
      <c r="AS300" t="s">
        <v>2275</v>
      </c>
      <c r="AT300" t="s">
        <v>813</v>
      </c>
    </row>
    <row r="301" spans="1:46">
      <c r="A301" s="1" t="s">
        <v>2276</v>
      </c>
      <c r="B301" s="1" t="s">
        <v>2277</v>
      </c>
      <c r="C301" s="1" t="s">
        <v>2278</v>
      </c>
      <c r="D301" s="1" t="s">
        <v>40</v>
      </c>
      <c r="E301" s="1" t="s">
        <v>124</v>
      </c>
      <c r="F301" s="1" t="s">
        <v>103</v>
      </c>
      <c r="G301" s="1" t="s">
        <v>104</v>
      </c>
      <c r="H301" s="1" t="s">
        <v>2279</v>
      </c>
      <c r="I301" s="1" t="s">
        <v>127</v>
      </c>
      <c r="J301" s="1" t="s">
        <v>128</v>
      </c>
      <c r="K301" s="1" t="s">
        <v>129</v>
      </c>
      <c r="L301" s="9">
        <v>-17383</v>
      </c>
      <c r="M301" s="1" t="s">
        <v>103</v>
      </c>
      <c r="N301" s="1" t="s">
        <v>104</v>
      </c>
      <c r="O301" s="1" t="s">
        <v>2279</v>
      </c>
      <c r="P301" s="1" t="s">
        <v>127</v>
      </c>
      <c r="Q301" s="1" t="s">
        <v>131</v>
      </c>
      <c r="R301" s="1"/>
      <c r="S301" s="9">
        <v>17383.97</v>
      </c>
      <c r="T301" s="1">
        <v>0.97000000000116415</v>
      </c>
      <c r="U301" s="1" t="s">
        <v>146</v>
      </c>
      <c r="V301" s="1" t="s">
        <v>15</v>
      </c>
      <c r="W301" s="1" t="s">
        <v>17</v>
      </c>
      <c r="X301" s="1" t="s">
        <v>111</v>
      </c>
      <c r="Y301" s="1"/>
      <c r="Z301" s="1" t="s">
        <v>1271</v>
      </c>
      <c r="AA301" s="1" t="s">
        <v>17</v>
      </c>
      <c r="AB301" s="1">
        <v>0</v>
      </c>
      <c r="AC301" s="1" t="s">
        <v>17</v>
      </c>
      <c r="AD301" t="s">
        <v>112</v>
      </c>
      <c r="AE301" t="s">
        <v>113</v>
      </c>
      <c r="AF301" t="s">
        <v>2280</v>
      </c>
      <c r="AG301" t="s">
        <v>114</v>
      </c>
      <c r="AH301" t="s">
        <v>2279</v>
      </c>
      <c r="AI301" t="s">
        <v>2279</v>
      </c>
      <c r="AJ301" t="s">
        <v>149</v>
      </c>
      <c r="AK301" t="s">
        <v>116</v>
      </c>
      <c r="AL301" t="s">
        <v>137</v>
      </c>
      <c r="AM301" t="s">
        <v>117</v>
      </c>
      <c r="AN301" t="s">
        <v>534</v>
      </c>
      <c r="AO301" t="s">
        <v>2281</v>
      </c>
      <c r="AP301" t="s">
        <v>119</v>
      </c>
      <c r="AQ301" t="s">
        <v>119</v>
      </c>
      <c r="AR301" t="s">
        <v>534</v>
      </c>
      <c r="AS301" t="s">
        <v>2282</v>
      </c>
      <c r="AT301" t="s">
        <v>104</v>
      </c>
    </row>
    <row r="302" spans="1:46">
      <c r="A302" s="1" t="s">
        <v>2283</v>
      </c>
      <c r="B302" s="1" t="s">
        <v>2284</v>
      </c>
      <c r="C302" s="1" t="s">
        <v>2285</v>
      </c>
      <c r="D302" s="1" t="s">
        <v>101</v>
      </c>
      <c r="E302" s="1" t="s">
        <v>102</v>
      </c>
      <c r="F302" s="1" t="s">
        <v>103</v>
      </c>
      <c r="G302" s="1" t="s">
        <v>526</v>
      </c>
      <c r="H302" s="1" t="s">
        <v>285</v>
      </c>
      <c r="I302" s="1" t="s">
        <v>106</v>
      </c>
      <c r="J302" s="1" t="s">
        <v>107</v>
      </c>
      <c r="K302" s="1"/>
      <c r="L302" s="9">
        <v>17802.84</v>
      </c>
      <c r="M302" s="1" t="s">
        <v>103</v>
      </c>
      <c r="N302" s="1" t="s">
        <v>526</v>
      </c>
      <c r="O302" s="1"/>
      <c r="P302" s="1" t="s">
        <v>106</v>
      </c>
      <c r="Q302" s="1" t="s">
        <v>108</v>
      </c>
      <c r="R302" s="1" t="s">
        <v>109</v>
      </c>
      <c r="S302" s="9">
        <v>-17802.84</v>
      </c>
      <c r="T302" s="1">
        <v>0</v>
      </c>
      <c r="U302" s="1" t="s">
        <v>110</v>
      </c>
      <c r="V302" s="1" t="s">
        <v>15</v>
      </c>
      <c r="W302" s="1" t="s">
        <v>17</v>
      </c>
      <c r="X302" s="1" t="s">
        <v>111</v>
      </c>
      <c r="Y302" s="1"/>
      <c r="Z302" s="1" t="s">
        <v>285</v>
      </c>
      <c r="AA302" s="1" t="s">
        <v>17</v>
      </c>
      <c r="AB302" s="1">
        <v>0</v>
      </c>
      <c r="AC302" s="1" t="s">
        <v>17</v>
      </c>
      <c r="AD302" t="s">
        <v>112</v>
      </c>
      <c r="AE302" t="s">
        <v>113</v>
      </c>
      <c r="AF302" t="s">
        <v>285</v>
      </c>
      <c r="AG302" t="s">
        <v>114</v>
      </c>
      <c r="AH302" t="s">
        <v>2286</v>
      </c>
      <c r="AI302" t="s">
        <v>2286</v>
      </c>
      <c r="AJ302" t="s">
        <v>17</v>
      </c>
      <c r="AK302" t="s">
        <v>116</v>
      </c>
      <c r="AL302" t="s">
        <v>17</v>
      </c>
      <c r="AM302" t="s">
        <v>117</v>
      </c>
      <c r="AN302" t="s">
        <v>526</v>
      </c>
      <c r="AO302" t="s">
        <v>620</v>
      </c>
      <c r="AP302" t="s">
        <v>119</v>
      </c>
      <c r="AQ302" t="s">
        <v>119</v>
      </c>
      <c r="AR302" t="s">
        <v>526</v>
      </c>
      <c r="AS302" t="s">
        <v>621</v>
      </c>
      <c r="AT302" t="s">
        <v>526</v>
      </c>
    </row>
    <row r="303" spans="1:46">
      <c r="A303" s="1" t="s">
        <v>2287</v>
      </c>
      <c r="B303" s="1" t="s">
        <v>2288</v>
      </c>
      <c r="C303" s="1" t="s">
        <v>2289</v>
      </c>
      <c r="D303" s="1" t="s">
        <v>101</v>
      </c>
      <c r="E303" s="1" t="s">
        <v>124</v>
      </c>
      <c r="F303" s="1" t="s">
        <v>103</v>
      </c>
      <c r="G303" s="1" t="s">
        <v>2290</v>
      </c>
      <c r="H303" s="1" t="s">
        <v>2291</v>
      </c>
      <c r="I303" s="1" t="s">
        <v>127</v>
      </c>
      <c r="J303" s="1" t="s">
        <v>128</v>
      </c>
      <c r="K303" s="1" t="s">
        <v>129</v>
      </c>
      <c r="L303" s="9">
        <v>-16127.29</v>
      </c>
      <c r="M303" s="1" t="s">
        <v>103</v>
      </c>
      <c r="N303" s="1" t="s">
        <v>2292</v>
      </c>
      <c r="O303" s="1" t="s">
        <v>2291</v>
      </c>
      <c r="P303" s="1" t="s">
        <v>127</v>
      </c>
      <c r="Q303" s="1" t="s">
        <v>131</v>
      </c>
      <c r="R303" s="1"/>
      <c r="S303" s="9">
        <v>16127.29</v>
      </c>
      <c r="T303" s="1">
        <v>0</v>
      </c>
      <c r="U303" s="1" t="s">
        <v>132</v>
      </c>
      <c r="V303" s="1" t="s">
        <v>15</v>
      </c>
      <c r="W303" s="1" t="s">
        <v>17</v>
      </c>
      <c r="X303" s="1" t="s">
        <v>111</v>
      </c>
      <c r="Y303" s="1"/>
      <c r="Z303" s="1" t="s">
        <v>972</v>
      </c>
      <c r="AA303" s="1" t="s">
        <v>17</v>
      </c>
      <c r="AB303" s="1">
        <v>0</v>
      </c>
      <c r="AC303" s="1" t="s">
        <v>17</v>
      </c>
      <c r="AD303" t="s">
        <v>112</v>
      </c>
      <c r="AE303" t="s">
        <v>113</v>
      </c>
      <c r="AF303" t="s">
        <v>2293</v>
      </c>
      <c r="AG303" t="s">
        <v>114</v>
      </c>
      <c r="AH303" t="s">
        <v>2291</v>
      </c>
      <c r="AI303" t="s">
        <v>2291</v>
      </c>
      <c r="AJ303" t="s">
        <v>135</v>
      </c>
      <c r="AK303" t="s">
        <v>136</v>
      </c>
      <c r="AL303" t="s">
        <v>137</v>
      </c>
      <c r="AM303" t="s">
        <v>117</v>
      </c>
      <c r="AN303" t="s">
        <v>204</v>
      </c>
      <c r="AO303" t="s">
        <v>399</v>
      </c>
      <c r="AP303" t="s">
        <v>119</v>
      </c>
      <c r="AQ303" t="s">
        <v>119</v>
      </c>
      <c r="AR303" t="s">
        <v>204</v>
      </c>
      <c r="AS303" t="s">
        <v>401</v>
      </c>
      <c r="AT303" t="s">
        <v>355</v>
      </c>
    </row>
    <row r="304" spans="1:46">
      <c r="A304" s="1" t="s">
        <v>2294</v>
      </c>
      <c r="B304" s="1" t="s">
        <v>2295</v>
      </c>
      <c r="C304" s="1" t="s">
        <v>2296</v>
      </c>
      <c r="D304" s="1" t="s">
        <v>101</v>
      </c>
      <c r="E304" s="1" t="s">
        <v>124</v>
      </c>
      <c r="F304" s="1" t="s">
        <v>103</v>
      </c>
      <c r="G304" s="1" t="s">
        <v>1241</v>
      </c>
      <c r="H304" s="1" t="s">
        <v>2297</v>
      </c>
      <c r="I304" s="1" t="s">
        <v>127</v>
      </c>
      <c r="J304" s="1" t="s">
        <v>128</v>
      </c>
      <c r="K304" s="1" t="s">
        <v>129</v>
      </c>
      <c r="L304" s="9">
        <v>-17383.97</v>
      </c>
      <c r="M304" s="1" t="s">
        <v>103</v>
      </c>
      <c r="N304" s="1" t="s">
        <v>2290</v>
      </c>
      <c r="O304" s="1" t="s">
        <v>2297</v>
      </c>
      <c r="P304" s="1" t="s">
        <v>127</v>
      </c>
      <c r="Q304" s="1" t="s">
        <v>131</v>
      </c>
      <c r="R304" s="1"/>
      <c r="S304" s="9">
        <v>17383.97</v>
      </c>
      <c r="T304" s="1">
        <v>0</v>
      </c>
      <c r="U304" s="1" t="s">
        <v>132</v>
      </c>
      <c r="V304" s="1" t="s">
        <v>15</v>
      </c>
      <c r="W304" s="1" t="s">
        <v>17</v>
      </c>
      <c r="X304" s="1" t="s">
        <v>111</v>
      </c>
      <c r="Y304" s="1"/>
      <c r="Z304" s="1" t="s">
        <v>1239</v>
      </c>
      <c r="AA304" s="1" t="s">
        <v>17</v>
      </c>
      <c r="AB304" s="1">
        <v>0</v>
      </c>
      <c r="AC304" s="1" t="s">
        <v>17</v>
      </c>
      <c r="AD304" t="s">
        <v>112</v>
      </c>
      <c r="AE304" t="s">
        <v>113</v>
      </c>
      <c r="AF304" t="s">
        <v>2298</v>
      </c>
      <c r="AG304" t="s">
        <v>114</v>
      </c>
      <c r="AH304" t="s">
        <v>2297</v>
      </c>
      <c r="AI304" t="s">
        <v>2297</v>
      </c>
      <c r="AJ304" t="s">
        <v>135</v>
      </c>
      <c r="AK304" t="s">
        <v>136</v>
      </c>
      <c r="AL304" t="s">
        <v>137</v>
      </c>
      <c r="AM304" t="s">
        <v>117</v>
      </c>
      <c r="AN304" t="s">
        <v>204</v>
      </c>
      <c r="AO304" t="s">
        <v>882</v>
      </c>
      <c r="AP304" t="s">
        <v>119</v>
      </c>
      <c r="AQ304" t="s">
        <v>119</v>
      </c>
      <c r="AR304" t="s">
        <v>204</v>
      </c>
      <c r="AS304" t="s">
        <v>883</v>
      </c>
      <c r="AT304" t="s">
        <v>355</v>
      </c>
    </row>
    <row r="305" spans="1:46">
      <c r="A305" s="1" t="s">
        <v>2299</v>
      </c>
      <c r="B305" s="1" t="s">
        <v>2300</v>
      </c>
      <c r="C305" s="1" t="s">
        <v>2301</v>
      </c>
      <c r="D305" s="1" t="s">
        <v>101</v>
      </c>
      <c r="E305" s="1" t="s">
        <v>124</v>
      </c>
      <c r="F305" s="1" t="s">
        <v>103</v>
      </c>
      <c r="G305" s="1" t="s">
        <v>2302</v>
      </c>
      <c r="H305" s="1" t="s">
        <v>2303</v>
      </c>
      <c r="I305" s="1" t="s">
        <v>127</v>
      </c>
      <c r="J305" s="1" t="s">
        <v>128</v>
      </c>
      <c r="K305" s="1" t="s">
        <v>129</v>
      </c>
      <c r="L305" s="9">
        <v>-14870.62</v>
      </c>
      <c r="M305" s="1" t="s">
        <v>103</v>
      </c>
      <c r="N305" s="1" t="s">
        <v>2302</v>
      </c>
      <c r="O305" s="1" t="s">
        <v>2303</v>
      </c>
      <c r="P305" s="1" t="s">
        <v>127</v>
      </c>
      <c r="Q305" s="1" t="s">
        <v>131</v>
      </c>
      <c r="R305" s="1"/>
      <c r="S305" s="9">
        <v>14870.62</v>
      </c>
      <c r="T305" s="1">
        <v>0</v>
      </c>
      <c r="U305" s="1" t="s">
        <v>132</v>
      </c>
      <c r="V305" s="1" t="s">
        <v>15</v>
      </c>
      <c r="W305" s="1" t="s">
        <v>17</v>
      </c>
      <c r="X305" s="1" t="s">
        <v>111</v>
      </c>
      <c r="Y305" s="1"/>
      <c r="Z305" s="1" t="s">
        <v>903</v>
      </c>
      <c r="AA305" s="1" t="s">
        <v>17</v>
      </c>
      <c r="AB305" s="1">
        <v>0</v>
      </c>
      <c r="AC305" s="1" t="s">
        <v>17</v>
      </c>
      <c r="AD305" t="s">
        <v>112</v>
      </c>
      <c r="AE305" t="s">
        <v>113</v>
      </c>
      <c r="AF305" t="s">
        <v>2304</v>
      </c>
      <c r="AG305" t="s">
        <v>114</v>
      </c>
      <c r="AH305" t="s">
        <v>2303</v>
      </c>
      <c r="AI305" t="s">
        <v>2303</v>
      </c>
      <c r="AJ305" t="s">
        <v>149</v>
      </c>
      <c r="AK305" t="s">
        <v>161</v>
      </c>
      <c r="AL305" t="s">
        <v>137</v>
      </c>
      <c r="AM305" t="s">
        <v>117</v>
      </c>
      <c r="AN305" t="s">
        <v>162</v>
      </c>
      <c r="AO305" t="s">
        <v>449</v>
      </c>
      <c r="AP305" t="s">
        <v>119</v>
      </c>
      <c r="AQ305" t="s">
        <v>119</v>
      </c>
      <c r="AR305" t="s">
        <v>162</v>
      </c>
      <c r="AS305" t="s">
        <v>450</v>
      </c>
      <c r="AT305" t="s">
        <v>901</v>
      </c>
    </row>
    <row r="306" spans="1:46">
      <c r="A306" s="1" t="s">
        <v>2305</v>
      </c>
      <c r="B306" s="1" t="s">
        <v>2306</v>
      </c>
      <c r="C306" s="1" t="s">
        <v>2307</v>
      </c>
      <c r="D306" s="1" t="s">
        <v>101</v>
      </c>
      <c r="E306" s="1" t="s">
        <v>124</v>
      </c>
      <c r="F306" s="1" t="s">
        <v>103</v>
      </c>
      <c r="G306" s="1" t="s">
        <v>930</v>
      </c>
      <c r="H306" s="1" t="s">
        <v>2308</v>
      </c>
      <c r="I306" s="1" t="s">
        <v>127</v>
      </c>
      <c r="J306" s="1" t="s">
        <v>128</v>
      </c>
      <c r="K306" s="1" t="s">
        <v>129</v>
      </c>
      <c r="L306" s="9">
        <v>-16336.73</v>
      </c>
      <c r="M306" s="1" t="s">
        <v>103</v>
      </c>
      <c r="N306" s="1" t="s">
        <v>930</v>
      </c>
      <c r="O306" s="1" t="s">
        <v>2308</v>
      </c>
      <c r="P306" s="1" t="s">
        <v>127</v>
      </c>
      <c r="Q306" s="1" t="s">
        <v>131</v>
      </c>
      <c r="R306" s="1"/>
      <c r="S306" s="9">
        <v>16336.73</v>
      </c>
      <c r="T306" s="1">
        <v>0</v>
      </c>
      <c r="U306" s="1" t="s">
        <v>132</v>
      </c>
      <c r="V306" s="1" t="s">
        <v>15</v>
      </c>
      <c r="W306" s="1" t="s">
        <v>17</v>
      </c>
      <c r="X306" s="1" t="s">
        <v>111</v>
      </c>
      <c r="Y306" s="1"/>
      <c r="Z306" s="1" t="s">
        <v>2112</v>
      </c>
      <c r="AA306" s="1" t="s">
        <v>17</v>
      </c>
      <c r="AB306" s="1">
        <v>0</v>
      </c>
      <c r="AC306" s="1" t="s">
        <v>17</v>
      </c>
      <c r="AD306" t="s">
        <v>112</v>
      </c>
      <c r="AE306" t="s">
        <v>113</v>
      </c>
      <c r="AF306" t="s">
        <v>2309</v>
      </c>
      <c r="AG306" t="s">
        <v>487</v>
      </c>
      <c r="AH306" t="s">
        <v>2308</v>
      </c>
      <c r="AI306" t="s">
        <v>2308</v>
      </c>
      <c r="AJ306" t="s">
        <v>135</v>
      </c>
      <c r="AK306" t="s">
        <v>663</v>
      </c>
      <c r="AL306" t="s">
        <v>137</v>
      </c>
      <c r="AM306" t="s">
        <v>17</v>
      </c>
      <c r="AN306" t="s">
        <v>1350</v>
      </c>
      <c r="AO306" t="s">
        <v>1527</v>
      </c>
      <c r="AP306" t="s">
        <v>119</v>
      </c>
      <c r="AQ306" t="s">
        <v>119</v>
      </c>
      <c r="AR306" t="s">
        <v>1350</v>
      </c>
      <c r="AS306" t="s">
        <v>1528</v>
      </c>
      <c r="AT306" t="s">
        <v>930</v>
      </c>
    </row>
    <row r="307" spans="1:46">
      <c r="A307" s="1" t="s">
        <v>2310</v>
      </c>
      <c r="B307" s="1" t="s">
        <v>2311</v>
      </c>
      <c r="C307" s="1" t="s">
        <v>2312</v>
      </c>
      <c r="D307" s="1" t="s">
        <v>101</v>
      </c>
      <c r="E307" s="1" t="s">
        <v>124</v>
      </c>
      <c r="F307" s="1" t="s">
        <v>103</v>
      </c>
      <c r="G307" s="1" t="s">
        <v>1154</v>
      </c>
      <c r="H307" s="1" t="s">
        <v>2313</v>
      </c>
      <c r="I307" s="1" t="s">
        <v>127</v>
      </c>
      <c r="J307" s="1" t="s">
        <v>128</v>
      </c>
      <c r="K307" s="1" t="s">
        <v>129</v>
      </c>
      <c r="L307" s="9">
        <v>-15708.4</v>
      </c>
      <c r="M307" s="1" t="s">
        <v>103</v>
      </c>
      <c r="N307" s="1" t="s">
        <v>1472</v>
      </c>
      <c r="O307" s="1" t="s">
        <v>2313</v>
      </c>
      <c r="P307" s="1" t="s">
        <v>127</v>
      </c>
      <c r="Q307" s="1" t="s">
        <v>131</v>
      </c>
      <c r="R307" s="1"/>
      <c r="S307" s="9">
        <v>15708.4</v>
      </c>
      <c r="T307" s="1">
        <v>0</v>
      </c>
      <c r="U307" s="1" t="s">
        <v>132</v>
      </c>
      <c r="V307" s="1" t="s">
        <v>15</v>
      </c>
      <c r="W307" s="1" t="s">
        <v>17</v>
      </c>
      <c r="X307" s="1" t="s">
        <v>111</v>
      </c>
      <c r="Y307" s="1"/>
      <c r="Z307" s="1" t="s">
        <v>465</v>
      </c>
      <c r="AA307" s="1" t="s">
        <v>17</v>
      </c>
      <c r="AB307" s="1">
        <v>0</v>
      </c>
      <c r="AC307" s="1" t="s">
        <v>17</v>
      </c>
      <c r="AD307" t="s">
        <v>112</v>
      </c>
      <c r="AE307" t="s">
        <v>113</v>
      </c>
      <c r="AF307" t="s">
        <v>2314</v>
      </c>
      <c r="AG307" t="s">
        <v>114</v>
      </c>
      <c r="AH307" t="s">
        <v>2313</v>
      </c>
      <c r="AI307" t="s">
        <v>2313</v>
      </c>
      <c r="AJ307" t="s">
        <v>135</v>
      </c>
      <c r="AK307" t="s">
        <v>200</v>
      </c>
      <c r="AL307" t="s">
        <v>137</v>
      </c>
      <c r="AM307" t="s">
        <v>117</v>
      </c>
      <c r="AN307" t="s">
        <v>448</v>
      </c>
      <c r="AO307" t="s">
        <v>630</v>
      </c>
      <c r="AP307" t="s">
        <v>119</v>
      </c>
      <c r="AQ307" t="s">
        <v>119</v>
      </c>
      <c r="AR307" t="s">
        <v>448</v>
      </c>
      <c r="AS307" t="s">
        <v>631</v>
      </c>
      <c r="AT307" t="s">
        <v>1472</v>
      </c>
    </row>
    <row r="308" spans="1:46">
      <c r="A308" s="1" t="s">
        <v>2315</v>
      </c>
      <c r="B308" s="1" t="s">
        <v>2316</v>
      </c>
      <c r="C308" s="1" t="s">
        <v>2317</v>
      </c>
      <c r="D308" s="1" t="s">
        <v>40</v>
      </c>
      <c r="E308" s="1" t="s">
        <v>124</v>
      </c>
      <c r="F308" s="1" t="s">
        <v>103</v>
      </c>
      <c r="G308" s="1" t="s">
        <v>2318</v>
      </c>
      <c r="H308" s="1" t="s">
        <v>2319</v>
      </c>
      <c r="I308" s="1" t="s">
        <v>127</v>
      </c>
      <c r="J308" s="1" t="s">
        <v>128</v>
      </c>
      <c r="K308" s="1" t="s">
        <v>129</v>
      </c>
      <c r="L308" s="9">
        <v>-16755</v>
      </c>
      <c r="M308" s="1" t="s">
        <v>103</v>
      </c>
      <c r="N308" s="1" t="s">
        <v>2318</v>
      </c>
      <c r="O308" s="1" t="s">
        <v>2319</v>
      </c>
      <c r="P308" s="1" t="s">
        <v>127</v>
      </c>
      <c r="Q308" s="1" t="s">
        <v>131</v>
      </c>
      <c r="R308" s="1"/>
      <c r="S308" s="9">
        <v>16755.62</v>
      </c>
      <c r="T308" s="1">
        <v>0.61999999999898137</v>
      </c>
      <c r="U308" s="1" t="s">
        <v>146</v>
      </c>
      <c r="V308" s="1" t="s">
        <v>15</v>
      </c>
      <c r="W308" s="1" t="s">
        <v>17</v>
      </c>
      <c r="X308" s="1" t="s">
        <v>111</v>
      </c>
      <c r="Y308" s="1"/>
      <c r="Z308" s="1" t="s">
        <v>354</v>
      </c>
      <c r="AA308" s="1" t="s">
        <v>17</v>
      </c>
      <c r="AB308" s="1">
        <v>0</v>
      </c>
      <c r="AC308" s="1" t="s">
        <v>17</v>
      </c>
      <c r="AD308" t="s">
        <v>112</v>
      </c>
      <c r="AE308" t="s">
        <v>113</v>
      </c>
      <c r="AF308" t="s">
        <v>2320</v>
      </c>
      <c r="AG308" t="s">
        <v>114</v>
      </c>
      <c r="AH308" t="s">
        <v>2319</v>
      </c>
      <c r="AI308" t="s">
        <v>2319</v>
      </c>
      <c r="AJ308" t="s">
        <v>135</v>
      </c>
      <c r="AK308" t="s">
        <v>663</v>
      </c>
      <c r="AL308" t="s">
        <v>137</v>
      </c>
      <c r="AM308" t="s">
        <v>117</v>
      </c>
      <c r="AN308" t="s">
        <v>930</v>
      </c>
      <c r="AO308" t="s">
        <v>152</v>
      </c>
      <c r="AP308" t="s">
        <v>119</v>
      </c>
      <c r="AQ308" t="s">
        <v>119</v>
      </c>
      <c r="AR308" t="s">
        <v>930</v>
      </c>
      <c r="AS308" t="s">
        <v>153</v>
      </c>
      <c r="AT308" t="s">
        <v>931</v>
      </c>
    </row>
    <row r="309" spans="1:46">
      <c r="A309" s="1" t="s">
        <v>2321</v>
      </c>
      <c r="B309" s="1" t="s">
        <v>2322</v>
      </c>
      <c r="C309" s="1" t="s">
        <v>2323</v>
      </c>
      <c r="D309" s="1" t="s">
        <v>101</v>
      </c>
      <c r="E309" s="1" t="s">
        <v>124</v>
      </c>
      <c r="F309" s="1" t="s">
        <v>103</v>
      </c>
      <c r="G309" s="1" t="s">
        <v>2324</v>
      </c>
      <c r="H309" s="1" t="s">
        <v>2325</v>
      </c>
      <c r="I309" s="1" t="s">
        <v>127</v>
      </c>
      <c r="J309" s="1" t="s">
        <v>128</v>
      </c>
      <c r="K309" s="1" t="s">
        <v>129</v>
      </c>
      <c r="L309" s="9">
        <v>-15498.94</v>
      </c>
      <c r="M309" s="1" t="s">
        <v>103</v>
      </c>
      <c r="N309" s="1" t="s">
        <v>2324</v>
      </c>
      <c r="O309" s="1" t="s">
        <v>2325</v>
      </c>
      <c r="P309" s="1" t="s">
        <v>127</v>
      </c>
      <c r="Q309" s="1" t="s">
        <v>131</v>
      </c>
      <c r="R309" s="1"/>
      <c r="S309" s="9">
        <v>15498.94</v>
      </c>
      <c r="T309" s="1">
        <v>0</v>
      </c>
      <c r="U309" s="1" t="s">
        <v>132</v>
      </c>
      <c r="V309" s="1" t="s">
        <v>15</v>
      </c>
      <c r="W309" s="1" t="s">
        <v>17</v>
      </c>
      <c r="X309" s="1" t="s">
        <v>111</v>
      </c>
      <c r="Y309" s="1"/>
      <c r="Z309" s="1" t="s">
        <v>373</v>
      </c>
      <c r="AA309" s="1" t="s">
        <v>17</v>
      </c>
      <c r="AB309" s="1">
        <v>0</v>
      </c>
      <c r="AC309" s="1" t="s">
        <v>17</v>
      </c>
      <c r="AD309" t="s">
        <v>112</v>
      </c>
      <c r="AE309" t="s">
        <v>113</v>
      </c>
      <c r="AF309" t="s">
        <v>2326</v>
      </c>
      <c r="AG309" t="s">
        <v>114</v>
      </c>
      <c r="AH309" t="s">
        <v>2325</v>
      </c>
      <c r="AI309" t="s">
        <v>2325</v>
      </c>
      <c r="AJ309" t="s">
        <v>149</v>
      </c>
      <c r="AK309" t="s">
        <v>179</v>
      </c>
      <c r="AL309" t="s">
        <v>137</v>
      </c>
      <c r="AM309" t="s">
        <v>117</v>
      </c>
      <c r="AN309" t="s">
        <v>375</v>
      </c>
      <c r="AO309" t="s">
        <v>139</v>
      </c>
      <c r="AP309" t="s">
        <v>119</v>
      </c>
      <c r="AQ309" t="s">
        <v>119</v>
      </c>
      <c r="AR309" t="s">
        <v>375</v>
      </c>
      <c r="AS309" t="s">
        <v>140</v>
      </c>
      <c r="AT309" t="s">
        <v>378</v>
      </c>
    </row>
    <row r="310" spans="1:46">
      <c r="A310" s="1" t="s">
        <v>2327</v>
      </c>
      <c r="B310" s="1" t="s">
        <v>2328</v>
      </c>
      <c r="C310" s="1" t="s">
        <v>2329</v>
      </c>
      <c r="D310" s="1" t="s">
        <v>101</v>
      </c>
      <c r="E310" s="1" t="s">
        <v>124</v>
      </c>
      <c r="F310" s="1" t="s">
        <v>103</v>
      </c>
      <c r="G310" s="1" t="s">
        <v>576</v>
      </c>
      <c r="H310" s="1" t="s">
        <v>2330</v>
      </c>
      <c r="I310" s="1" t="s">
        <v>127</v>
      </c>
      <c r="J310" s="1" t="s">
        <v>128</v>
      </c>
      <c r="K310" s="1" t="s">
        <v>129</v>
      </c>
      <c r="L310" s="9">
        <v>-11728.94</v>
      </c>
      <c r="M310" s="1" t="s">
        <v>103</v>
      </c>
      <c r="N310" s="1" t="s">
        <v>576</v>
      </c>
      <c r="O310" s="1" t="s">
        <v>2330</v>
      </c>
      <c r="P310" s="1" t="s">
        <v>127</v>
      </c>
      <c r="Q310" s="1" t="s">
        <v>131</v>
      </c>
      <c r="R310" s="1"/>
      <c r="S310" s="9">
        <v>11728.94</v>
      </c>
      <c r="T310" s="1">
        <v>0</v>
      </c>
      <c r="U310" s="1" t="s">
        <v>132</v>
      </c>
      <c r="V310" s="1" t="s">
        <v>15</v>
      </c>
      <c r="W310" s="1" t="s">
        <v>17</v>
      </c>
      <c r="X310" s="1" t="s">
        <v>111</v>
      </c>
      <c r="Y310" s="1"/>
      <c r="Z310" s="1" t="s">
        <v>635</v>
      </c>
      <c r="AA310" s="1" t="s">
        <v>17</v>
      </c>
      <c r="AB310" s="1">
        <v>0</v>
      </c>
      <c r="AC310" s="1" t="s">
        <v>17</v>
      </c>
      <c r="AD310" t="s">
        <v>112</v>
      </c>
      <c r="AE310" t="s">
        <v>113</v>
      </c>
      <c r="AF310" t="s">
        <v>2331</v>
      </c>
      <c r="AG310" t="s">
        <v>114</v>
      </c>
      <c r="AH310" t="s">
        <v>2330</v>
      </c>
      <c r="AI310" t="s">
        <v>2330</v>
      </c>
      <c r="AJ310" t="s">
        <v>149</v>
      </c>
      <c r="AK310" t="s">
        <v>189</v>
      </c>
      <c r="AL310" t="s">
        <v>137</v>
      </c>
      <c r="AM310" t="s">
        <v>117</v>
      </c>
      <c r="AN310" t="s">
        <v>783</v>
      </c>
      <c r="AO310" t="s">
        <v>605</v>
      </c>
      <c r="AP310" t="s">
        <v>119</v>
      </c>
      <c r="AQ310" t="s">
        <v>119</v>
      </c>
      <c r="AR310" t="s">
        <v>783</v>
      </c>
      <c r="AS310" t="s">
        <v>606</v>
      </c>
      <c r="AT310" t="s">
        <v>645</v>
      </c>
    </row>
    <row r="311" spans="1:46">
      <c r="A311" s="1" t="s">
        <v>2332</v>
      </c>
      <c r="B311" s="1" t="s">
        <v>2333</v>
      </c>
      <c r="C311" s="1" t="s">
        <v>2334</v>
      </c>
      <c r="D311" s="1" t="s">
        <v>40</v>
      </c>
      <c r="E311" s="1" t="s">
        <v>124</v>
      </c>
      <c r="F311" s="1" t="s">
        <v>103</v>
      </c>
      <c r="G311" s="1" t="s">
        <v>2335</v>
      </c>
      <c r="H311" s="1" t="s">
        <v>2336</v>
      </c>
      <c r="I311" s="1" t="s">
        <v>127</v>
      </c>
      <c r="J311" s="1" t="s">
        <v>128</v>
      </c>
      <c r="K311" s="1" t="s">
        <v>129</v>
      </c>
      <c r="L311" s="9">
        <v>-15080</v>
      </c>
      <c r="M311" s="1" t="s">
        <v>103</v>
      </c>
      <c r="N311" s="1" t="s">
        <v>2335</v>
      </c>
      <c r="O311" s="1" t="s">
        <v>2336</v>
      </c>
      <c r="P311" s="1" t="s">
        <v>127</v>
      </c>
      <c r="Q311" s="1" t="s">
        <v>131</v>
      </c>
      <c r="R311" s="1"/>
      <c r="S311" s="9">
        <v>15080.05</v>
      </c>
      <c r="T311" s="1">
        <v>4.9999999999272404E-2</v>
      </c>
      <c r="U311" s="1" t="s">
        <v>146</v>
      </c>
      <c r="V311" s="1" t="s">
        <v>15</v>
      </c>
      <c r="W311" s="1" t="s">
        <v>17</v>
      </c>
      <c r="X311" s="1" t="s">
        <v>111</v>
      </c>
      <c r="Y311" s="1"/>
      <c r="Z311" s="1" t="s">
        <v>873</v>
      </c>
      <c r="AA311" s="1" t="s">
        <v>17</v>
      </c>
      <c r="AB311" s="1">
        <v>0</v>
      </c>
      <c r="AC311" s="1" t="s">
        <v>17</v>
      </c>
      <c r="AD311" t="s">
        <v>112</v>
      </c>
      <c r="AE311" t="s">
        <v>113</v>
      </c>
      <c r="AF311" t="s">
        <v>2337</v>
      </c>
      <c r="AG311" t="s">
        <v>114</v>
      </c>
      <c r="AH311" t="s">
        <v>2336</v>
      </c>
      <c r="AI311" t="s">
        <v>2336</v>
      </c>
      <c r="AJ311" t="s">
        <v>135</v>
      </c>
      <c r="AK311" t="s">
        <v>179</v>
      </c>
      <c r="AL311" t="s">
        <v>137</v>
      </c>
      <c r="AM311" t="s">
        <v>117</v>
      </c>
      <c r="AN311" t="s">
        <v>386</v>
      </c>
      <c r="AO311" t="s">
        <v>501</v>
      </c>
      <c r="AP311" t="s">
        <v>119</v>
      </c>
      <c r="AQ311" t="s">
        <v>119</v>
      </c>
      <c r="AR311" t="s">
        <v>386</v>
      </c>
      <c r="AS311" t="s">
        <v>502</v>
      </c>
      <c r="AT311" t="s">
        <v>180</v>
      </c>
    </row>
    <row r="312" spans="1:46">
      <c r="A312" s="1" t="s">
        <v>2338</v>
      </c>
      <c r="B312" s="1" t="s">
        <v>2339</v>
      </c>
      <c r="C312" s="1" t="s">
        <v>2340</v>
      </c>
      <c r="D312" s="1" t="s">
        <v>40</v>
      </c>
      <c r="E312" s="1" t="s">
        <v>124</v>
      </c>
      <c r="F312" s="1" t="s">
        <v>103</v>
      </c>
      <c r="G312" s="1" t="s">
        <v>761</v>
      </c>
      <c r="H312" s="1" t="s">
        <v>2341</v>
      </c>
      <c r="I312" s="1" t="s">
        <v>127</v>
      </c>
      <c r="J312" s="1" t="s">
        <v>128</v>
      </c>
      <c r="K312" s="1" t="s">
        <v>129</v>
      </c>
      <c r="L312" s="9">
        <v>-13195</v>
      </c>
      <c r="M312" s="1" t="s">
        <v>103</v>
      </c>
      <c r="N312" s="1" t="s">
        <v>151</v>
      </c>
      <c r="O312" s="1" t="s">
        <v>2341</v>
      </c>
      <c r="P312" s="1" t="s">
        <v>127</v>
      </c>
      <c r="Q312" s="1" t="s">
        <v>131</v>
      </c>
      <c r="R312" s="1"/>
      <c r="S312" s="9">
        <v>13195.05</v>
      </c>
      <c r="T312" s="1">
        <v>4.9999999999272404E-2</v>
      </c>
      <c r="U312" s="1" t="s">
        <v>146</v>
      </c>
      <c r="V312" s="1" t="s">
        <v>15</v>
      </c>
      <c r="W312" s="1" t="s">
        <v>17</v>
      </c>
      <c r="X312" s="1" t="s">
        <v>111</v>
      </c>
      <c r="Y312" s="1"/>
      <c r="Z312" s="1" t="s">
        <v>602</v>
      </c>
      <c r="AA312" s="1" t="s">
        <v>17</v>
      </c>
      <c r="AB312" s="1">
        <v>0</v>
      </c>
      <c r="AC312" s="1" t="s">
        <v>17</v>
      </c>
      <c r="AD312" t="s">
        <v>112</v>
      </c>
      <c r="AE312" t="s">
        <v>113</v>
      </c>
      <c r="AF312" t="s">
        <v>2342</v>
      </c>
      <c r="AG312" t="s">
        <v>114</v>
      </c>
      <c r="AH312" t="s">
        <v>2341</v>
      </c>
      <c r="AI312" t="s">
        <v>2341</v>
      </c>
      <c r="AJ312" t="s">
        <v>149</v>
      </c>
      <c r="AK312" t="s">
        <v>150</v>
      </c>
      <c r="AL312" t="s">
        <v>137</v>
      </c>
      <c r="AM312" t="s">
        <v>117</v>
      </c>
      <c r="AN312" t="s">
        <v>604</v>
      </c>
      <c r="AO312" t="s">
        <v>2343</v>
      </c>
      <c r="AP312" t="s">
        <v>119</v>
      </c>
      <c r="AQ312" t="s">
        <v>119</v>
      </c>
      <c r="AR312" t="s">
        <v>604</v>
      </c>
      <c r="AS312" t="s">
        <v>2344</v>
      </c>
      <c r="AT312" t="s">
        <v>151</v>
      </c>
    </row>
    <row r="313" spans="1:46">
      <c r="A313" s="1" t="s">
        <v>2345</v>
      </c>
      <c r="B313" s="1" t="s">
        <v>2346</v>
      </c>
      <c r="C313" s="1" t="s">
        <v>2347</v>
      </c>
      <c r="D313" s="1" t="s">
        <v>101</v>
      </c>
      <c r="E313" s="1" t="s">
        <v>124</v>
      </c>
      <c r="F313" s="1" t="s">
        <v>103</v>
      </c>
      <c r="G313" s="1" t="s">
        <v>1003</v>
      </c>
      <c r="H313" s="1" t="s">
        <v>2348</v>
      </c>
      <c r="I313" s="1" t="s">
        <v>127</v>
      </c>
      <c r="J313" s="1" t="s">
        <v>128</v>
      </c>
      <c r="K313" s="1" t="s">
        <v>129</v>
      </c>
      <c r="L313" s="9">
        <v>-15289.51</v>
      </c>
      <c r="M313" s="1" t="s">
        <v>103</v>
      </c>
      <c r="N313" s="1" t="s">
        <v>1003</v>
      </c>
      <c r="O313" s="1" t="s">
        <v>2348</v>
      </c>
      <c r="P313" s="1" t="s">
        <v>127</v>
      </c>
      <c r="Q313" s="1" t="s">
        <v>131</v>
      </c>
      <c r="R313" s="1"/>
      <c r="S313" s="9">
        <v>15289.51</v>
      </c>
      <c r="T313" s="1">
        <v>0</v>
      </c>
      <c r="U313" s="1" t="s">
        <v>132</v>
      </c>
      <c r="V313" s="1" t="s">
        <v>15</v>
      </c>
      <c r="W313" s="1" t="s">
        <v>17</v>
      </c>
      <c r="X313" s="1" t="s">
        <v>111</v>
      </c>
      <c r="Y313" s="1"/>
      <c r="Z313" s="1" t="s">
        <v>1958</v>
      </c>
      <c r="AA313" s="1" t="s">
        <v>17</v>
      </c>
      <c r="AB313" s="1">
        <v>0</v>
      </c>
      <c r="AC313" s="1" t="s">
        <v>17</v>
      </c>
      <c r="AD313" t="s">
        <v>112</v>
      </c>
      <c r="AE313" t="s">
        <v>113</v>
      </c>
      <c r="AF313" t="s">
        <v>2349</v>
      </c>
      <c r="AG313" t="s">
        <v>114</v>
      </c>
      <c r="AH313" t="s">
        <v>2348</v>
      </c>
      <c r="AI313" t="s">
        <v>2348</v>
      </c>
      <c r="AJ313" t="s">
        <v>135</v>
      </c>
      <c r="AK313" t="s">
        <v>257</v>
      </c>
      <c r="AL313" t="s">
        <v>137</v>
      </c>
      <c r="AM313" t="s">
        <v>117</v>
      </c>
      <c r="AN313" t="s">
        <v>298</v>
      </c>
      <c r="AO313" t="s">
        <v>429</v>
      </c>
      <c r="AP313" t="s">
        <v>119</v>
      </c>
      <c r="AQ313" t="s">
        <v>119</v>
      </c>
      <c r="AR313" t="s">
        <v>298</v>
      </c>
      <c r="AS313" t="s">
        <v>430</v>
      </c>
      <c r="AT313" t="s">
        <v>294</v>
      </c>
    </row>
    <row r="314" spans="1:46">
      <c r="A314" s="1" t="s">
        <v>2350</v>
      </c>
      <c r="B314" s="1" t="s">
        <v>2351</v>
      </c>
      <c r="C314" s="1" t="s">
        <v>2352</v>
      </c>
      <c r="D314" s="1" t="s">
        <v>101</v>
      </c>
      <c r="E314" s="1" t="s">
        <v>124</v>
      </c>
      <c r="F314" s="1" t="s">
        <v>103</v>
      </c>
      <c r="G314" s="1" t="s">
        <v>2353</v>
      </c>
      <c r="H314" s="1" t="s">
        <v>2354</v>
      </c>
      <c r="I314" s="1" t="s">
        <v>127</v>
      </c>
      <c r="J314" s="1" t="s">
        <v>128</v>
      </c>
      <c r="K314" s="1" t="s">
        <v>129</v>
      </c>
      <c r="L314" s="9">
        <v>-15289.51</v>
      </c>
      <c r="M314" s="1" t="s">
        <v>103</v>
      </c>
      <c r="N314" s="1" t="s">
        <v>2353</v>
      </c>
      <c r="O314" s="1" t="s">
        <v>2354</v>
      </c>
      <c r="P314" s="1" t="s">
        <v>127</v>
      </c>
      <c r="Q314" s="1" t="s">
        <v>131</v>
      </c>
      <c r="R314" s="1"/>
      <c r="S314" s="9">
        <v>15289.51</v>
      </c>
      <c r="T314" s="1">
        <v>0</v>
      </c>
      <c r="U314" s="1" t="s">
        <v>132</v>
      </c>
      <c r="V314" s="1" t="s">
        <v>15</v>
      </c>
      <c r="W314" s="1" t="s">
        <v>17</v>
      </c>
      <c r="X314" s="1" t="s">
        <v>111</v>
      </c>
      <c r="Y314" s="1"/>
      <c r="Z314" s="1" t="s">
        <v>903</v>
      </c>
      <c r="AA314" s="1" t="s">
        <v>17</v>
      </c>
      <c r="AB314" s="1">
        <v>0</v>
      </c>
      <c r="AC314" s="1" t="s">
        <v>17</v>
      </c>
      <c r="AD314" t="s">
        <v>112</v>
      </c>
      <c r="AE314" t="s">
        <v>113</v>
      </c>
      <c r="AF314" t="s">
        <v>2355</v>
      </c>
      <c r="AG314" t="s">
        <v>114</v>
      </c>
      <c r="AH314" t="s">
        <v>2354</v>
      </c>
      <c r="AI314" t="s">
        <v>2354</v>
      </c>
      <c r="AJ314" t="s">
        <v>149</v>
      </c>
      <c r="AK314" t="s">
        <v>161</v>
      </c>
      <c r="AL314" t="s">
        <v>137</v>
      </c>
      <c r="AM314" t="s">
        <v>117</v>
      </c>
      <c r="AN314" t="s">
        <v>806</v>
      </c>
      <c r="AO314" t="s">
        <v>429</v>
      </c>
      <c r="AP314" t="s">
        <v>119</v>
      </c>
      <c r="AQ314" t="s">
        <v>119</v>
      </c>
      <c r="AR314" t="s">
        <v>806</v>
      </c>
      <c r="AS314" t="s">
        <v>430</v>
      </c>
      <c r="AT314" t="s">
        <v>2356</v>
      </c>
    </row>
    <row r="315" spans="1:46">
      <c r="A315" s="1" t="s">
        <v>2357</v>
      </c>
      <c r="B315" s="1" t="s">
        <v>2358</v>
      </c>
      <c r="C315" s="1" t="s">
        <v>2359</v>
      </c>
      <c r="D315" s="1" t="s">
        <v>101</v>
      </c>
      <c r="E315" s="1" t="s">
        <v>352</v>
      </c>
      <c r="F315" s="1" t="s">
        <v>103</v>
      </c>
      <c r="G315" s="1" t="s">
        <v>130</v>
      </c>
      <c r="H315" s="1" t="s">
        <v>1398</v>
      </c>
      <c r="I315" s="1" t="s">
        <v>106</v>
      </c>
      <c r="J315" s="1" t="s">
        <v>107</v>
      </c>
      <c r="K315" s="1"/>
      <c r="L315" s="9">
        <v>31206.73</v>
      </c>
      <c r="M315" s="1" t="s">
        <v>103</v>
      </c>
      <c r="N315" s="1" t="s">
        <v>130</v>
      </c>
      <c r="O315" s="1"/>
      <c r="P315" s="1" t="s">
        <v>106</v>
      </c>
      <c r="Q315" s="1" t="s">
        <v>108</v>
      </c>
      <c r="R315" s="1" t="s">
        <v>109</v>
      </c>
      <c r="S315" s="9">
        <v>-31206.73</v>
      </c>
      <c r="T315" s="1">
        <v>0</v>
      </c>
      <c r="U315" s="1" t="s">
        <v>356</v>
      </c>
      <c r="V315" s="1" t="s">
        <v>15</v>
      </c>
      <c r="W315" s="1" t="s">
        <v>17</v>
      </c>
      <c r="X315" s="1" t="s">
        <v>111</v>
      </c>
      <c r="Y315" s="1"/>
      <c r="Z315" s="1" t="s">
        <v>1398</v>
      </c>
      <c r="AA315" s="1" t="s">
        <v>17</v>
      </c>
      <c r="AB315" s="1">
        <v>0</v>
      </c>
      <c r="AC315" s="1" t="s">
        <v>17</v>
      </c>
      <c r="AD315" t="s">
        <v>112</v>
      </c>
      <c r="AE315" t="s">
        <v>113</v>
      </c>
      <c r="AF315" t="s">
        <v>1398</v>
      </c>
      <c r="AG315" t="s">
        <v>114</v>
      </c>
      <c r="AH315" t="s">
        <v>2360</v>
      </c>
      <c r="AI315" t="s">
        <v>2360</v>
      </c>
      <c r="AJ315" t="s">
        <v>17</v>
      </c>
      <c r="AK315" t="s">
        <v>136</v>
      </c>
      <c r="AL315" t="s">
        <v>17</v>
      </c>
      <c r="AM315" t="s">
        <v>117</v>
      </c>
      <c r="AN315" t="s">
        <v>130</v>
      </c>
      <c r="AO315" t="s">
        <v>2361</v>
      </c>
      <c r="AP315" t="s">
        <v>119</v>
      </c>
      <c r="AQ315" t="s">
        <v>119</v>
      </c>
      <c r="AR315" t="s">
        <v>130</v>
      </c>
      <c r="AS315" t="s">
        <v>2362</v>
      </c>
      <c r="AT315" t="s">
        <v>130</v>
      </c>
    </row>
    <row r="316" spans="1:46">
      <c r="A316" s="1" t="s">
        <v>2363</v>
      </c>
      <c r="B316" s="1" t="s">
        <v>2364</v>
      </c>
      <c r="C316" s="1" t="s">
        <v>2365</v>
      </c>
      <c r="D316" s="1" t="s">
        <v>101</v>
      </c>
      <c r="E316" s="1" t="s">
        <v>102</v>
      </c>
      <c r="F316" s="1" t="s">
        <v>103</v>
      </c>
      <c r="G316" s="1" t="s">
        <v>1011</v>
      </c>
      <c r="H316" s="1" t="s">
        <v>1500</v>
      </c>
      <c r="I316" s="1" t="s">
        <v>106</v>
      </c>
      <c r="J316" s="1" t="s">
        <v>107</v>
      </c>
      <c r="K316" s="1"/>
      <c r="L316" s="9">
        <v>8120</v>
      </c>
      <c r="M316" s="1" t="s">
        <v>103</v>
      </c>
      <c r="N316" s="1" t="s">
        <v>1011</v>
      </c>
      <c r="O316" s="1"/>
      <c r="P316" s="1" t="s">
        <v>106</v>
      </c>
      <c r="Q316" s="1" t="s">
        <v>108</v>
      </c>
      <c r="R316" s="1" t="s">
        <v>109</v>
      </c>
      <c r="S316" s="9">
        <v>-8120</v>
      </c>
      <c r="T316" s="1">
        <v>0</v>
      </c>
      <c r="U316" s="1" t="s">
        <v>110</v>
      </c>
      <c r="V316" s="1" t="s">
        <v>15</v>
      </c>
      <c r="W316" s="1" t="s">
        <v>17</v>
      </c>
      <c r="X316" s="1" t="s">
        <v>111</v>
      </c>
      <c r="Y316" s="1"/>
      <c r="Z316" s="1" t="s">
        <v>1500</v>
      </c>
      <c r="AA316" s="1" t="s">
        <v>17</v>
      </c>
      <c r="AB316" s="1">
        <v>0</v>
      </c>
      <c r="AC316" s="1" t="s">
        <v>17</v>
      </c>
      <c r="AD316" t="s">
        <v>112</v>
      </c>
      <c r="AE316" t="s">
        <v>113</v>
      </c>
      <c r="AF316" t="s">
        <v>1500</v>
      </c>
      <c r="AG316" t="s">
        <v>114</v>
      </c>
      <c r="AH316" t="s">
        <v>2366</v>
      </c>
      <c r="AI316" t="s">
        <v>2366</v>
      </c>
      <c r="AJ316" t="s">
        <v>17</v>
      </c>
      <c r="AK316" t="s">
        <v>116</v>
      </c>
      <c r="AL316" t="s">
        <v>17</v>
      </c>
      <c r="AM316" t="s">
        <v>117</v>
      </c>
      <c r="AN316" t="s">
        <v>1011</v>
      </c>
      <c r="AO316" t="s">
        <v>987</v>
      </c>
      <c r="AP316" t="s">
        <v>119</v>
      </c>
      <c r="AQ316" t="s">
        <v>119</v>
      </c>
      <c r="AR316" t="s">
        <v>1011</v>
      </c>
      <c r="AS316" t="s">
        <v>988</v>
      </c>
      <c r="AT316" t="s">
        <v>1011</v>
      </c>
    </row>
    <row r="317" spans="1:46">
      <c r="A317" s="1" t="s">
        <v>2367</v>
      </c>
      <c r="B317" s="1" t="s">
        <v>2368</v>
      </c>
      <c r="C317" s="1" t="s">
        <v>2369</v>
      </c>
      <c r="D317" s="1" t="s">
        <v>40</v>
      </c>
      <c r="E317" s="1" t="s">
        <v>124</v>
      </c>
      <c r="F317" s="1" t="s">
        <v>103</v>
      </c>
      <c r="G317" s="1" t="s">
        <v>1472</v>
      </c>
      <c r="H317" s="1" t="s">
        <v>2370</v>
      </c>
      <c r="I317" s="1" t="s">
        <v>127</v>
      </c>
      <c r="J317" s="1" t="s">
        <v>128</v>
      </c>
      <c r="K317" s="1" t="s">
        <v>129</v>
      </c>
      <c r="L317" s="9">
        <v>-16965</v>
      </c>
      <c r="M317" s="1" t="s">
        <v>103</v>
      </c>
      <c r="N317" s="1" t="s">
        <v>1473</v>
      </c>
      <c r="O317" s="1" t="s">
        <v>2370</v>
      </c>
      <c r="P317" s="1" t="s">
        <v>127</v>
      </c>
      <c r="Q317" s="1" t="s">
        <v>131</v>
      </c>
      <c r="R317" s="1"/>
      <c r="S317" s="9">
        <v>16965.080000000002</v>
      </c>
      <c r="T317" s="1">
        <v>8.000000000174623E-2</v>
      </c>
      <c r="U317" s="1" t="s">
        <v>146</v>
      </c>
      <c r="V317" s="1" t="s">
        <v>15</v>
      </c>
      <c r="W317" s="1" t="s">
        <v>17</v>
      </c>
      <c r="X317" s="1" t="s">
        <v>111</v>
      </c>
      <c r="Y317" s="1"/>
      <c r="Z317" s="1" t="s">
        <v>1839</v>
      </c>
      <c r="AA317" s="1" t="s">
        <v>17</v>
      </c>
      <c r="AB317" s="1">
        <v>0</v>
      </c>
      <c r="AC317" s="1" t="s">
        <v>17</v>
      </c>
      <c r="AD317" t="s">
        <v>112</v>
      </c>
      <c r="AE317" t="s">
        <v>113</v>
      </c>
      <c r="AF317" t="s">
        <v>2371</v>
      </c>
      <c r="AG317" t="s">
        <v>114</v>
      </c>
      <c r="AH317" t="s">
        <v>2370</v>
      </c>
      <c r="AI317" t="s">
        <v>2370</v>
      </c>
      <c r="AJ317" t="s">
        <v>135</v>
      </c>
      <c r="AK317" t="s">
        <v>200</v>
      </c>
      <c r="AL317" t="s">
        <v>137</v>
      </c>
      <c r="AM317" t="s">
        <v>117</v>
      </c>
      <c r="AN317" t="s">
        <v>448</v>
      </c>
      <c r="AO317" t="s">
        <v>532</v>
      </c>
      <c r="AP317" t="s">
        <v>119</v>
      </c>
      <c r="AQ317" t="s">
        <v>119</v>
      </c>
      <c r="AR317" t="s">
        <v>448</v>
      </c>
      <c r="AS317" t="s">
        <v>533</v>
      </c>
      <c r="AT317" t="s">
        <v>1473</v>
      </c>
    </row>
    <row r="318" spans="1:46">
      <c r="A318" s="1" t="s">
        <v>2372</v>
      </c>
      <c r="B318" s="1"/>
      <c r="C318" s="1" t="s">
        <v>17</v>
      </c>
      <c r="D318" s="1" t="s">
        <v>24</v>
      </c>
      <c r="E318" s="1" t="s">
        <v>2373</v>
      </c>
      <c r="F318" s="1" t="s">
        <v>103</v>
      </c>
      <c r="G318" s="1" t="s">
        <v>477</v>
      </c>
      <c r="H318" s="1"/>
      <c r="I318" s="1" t="s">
        <v>2374</v>
      </c>
      <c r="J318" s="1" t="s">
        <v>2375</v>
      </c>
      <c r="K318" s="1"/>
      <c r="L318" s="9">
        <v>152786.07999999993</v>
      </c>
      <c r="M318" s="1"/>
      <c r="N318" s="1"/>
      <c r="O318" s="1"/>
      <c r="P318" s="1"/>
      <c r="Q318" s="1"/>
      <c r="R318" s="1"/>
      <c r="S318" s="9">
        <v>0</v>
      </c>
      <c r="T318" s="1">
        <v>152786.07999999993</v>
      </c>
      <c r="U318" s="1" t="s">
        <v>17</v>
      </c>
      <c r="V318" s="1" t="s">
        <v>15</v>
      </c>
      <c r="W318" s="1" t="s">
        <v>17</v>
      </c>
      <c r="X318" s="1" t="s">
        <v>111</v>
      </c>
      <c r="Y318" s="1"/>
      <c r="Z318" s="1"/>
      <c r="AA318" s="1" t="s">
        <v>17</v>
      </c>
      <c r="AB318" s="1">
        <v>0</v>
      </c>
      <c r="AC318" s="1" t="s">
        <v>17</v>
      </c>
      <c r="AD318" t="s">
        <v>17</v>
      </c>
      <c r="AE318" t="s">
        <v>17</v>
      </c>
      <c r="AF318" t="s">
        <v>17</v>
      </c>
      <c r="AG318" t="s">
        <v>17</v>
      </c>
      <c r="AH318" t="s">
        <v>17</v>
      </c>
      <c r="AI318" t="s">
        <v>17</v>
      </c>
      <c r="AJ318" t="s">
        <v>17</v>
      </c>
      <c r="AK318" t="s">
        <v>17</v>
      </c>
      <c r="AL318" t="s">
        <v>17</v>
      </c>
      <c r="AM318" t="s">
        <v>17</v>
      </c>
      <c r="AN318" t="s">
        <v>477</v>
      </c>
      <c r="AO318" t="s">
        <v>2376</v>
      </c>
      <c r="AP318" t="s">
        <v>17</v>
      </c>
    </row>
    <row r="319" spans="1:46">
      <c r="A319" s="1" t="s">
        <v>2377</v>
      </c>
      <c r="B319" s="1"/>
      <c r="C319" s="1" t="s">
        <v>2378</v>
      </c>
      <c r="D319" s="1" t="s">
        <v>42</v>
      </c>
      <c r="E319" s="1" t="s">
        <v>42</v>
      </c>
      <c r="F319" s="1" t="s">
        <v>103</v>
      </c>
      <c r="G319" s="1" t="s">
        <v>320</v>
      </c>
      <c r="H319" s="1"/>
      <c r="I319" s="1" t="s">
        <v>2379</v>
      </c>
      <c r="J319" s="1" t="s">
        <v>2380</v>
      </c>
      <c r="K319" s="1"/>
      <c r="L319" s="9">
        <v>-17174.509999999998</v>
      </c>
      <c r="M319" s="1"/>
      <c r="N319" s="1"/>
      <c r="O319" s="1"/>
      <c r="P319" s="1"/>
      <c r="Q319" s="1"/>
      <c r="R319" s="1"/>
      <c r="S319" s="9">
        <v>0</v>
      </c>
      <c r="T319" s="1">
        <v>-17174.509999999998</v>
      </c>
      <c r="U319" s="1" t="s">
        <v>2381</v>
      </c>
      <c r="V319" s="1" t="s">
        <v>15</v>
      </c>
      <c r="W319" s="1" t="s">
        <v>17</v>
      </c>
      <c r="X319" s="1" t="s">
        <v>111</v>
      </c>
      <c r="Y319" s="1"/>
      <c r="Z319" s="1" t="s">
        <v>2382</v>
      </c>
      <c r="AA319" s="1" t="s">
        <v>17</v>
      </c>
      <c r="AB319" s="1">
        <v>0</v>
      </c>
      <c r="AC319" s="1" t="s">
        <v>17</v>
      </c>
      <c r="AD319" t="s">
        <v>112</v>
      </c>
      <c r="AE319" t="s">
        <v>113</v>
      </c>
      <c r="AF319" t="s">
        <v>2382</v>
      </c>
      <c r="AG319" t="s">
        <v>114</v>
      </c>
      <c r="AH319" t="s">
        <v>17</v>
      </c>
      <c r="AI319" t="s">
        <v>17</v>
      </c>
      <c r="AJ319" t="s">
        <v>17</v>
      </c>
      <c r="AK319" t="s">
        <v>179</v>
      </c>
      <c r="AL319" t="s">
        <v>17</v>
      </c>
      <c r="AM319" t="s">
        <v>117</v>
      </c>
      <c r="AN319" t="s">
        <v>320</v>
      </c>
      <c r="AO319" t="s">
        <v>321</v>
      </c>
      <c r="AP319" t="s">
        <v>119</v>
      </c>
      <c r="AQ319" t="s">
        <v>119</v>
      </c>
      <c r="AR319" t="s">
        <v>664</v>
      </c>
      <c r="AS319" t="s">
        <v>322</v>
      </c>
      <c r="AT319" t="s">
        <v>320</v>
      </c>
    </row>
    <row r="320" spans="1:46">
      <c r="A320" s="1" t="s">
        <v>2383</v>
      </c>
      <c r="B320" s="1"/>
      <c r="C320" s="1" t="s">
        <v>2378</v>
      </c>
      <c r="D320" s="1" t="s">
        <v>42</v>
      </c>
      <c r="E320" s="1" t="s">
        <v>42</v>
      </c>
      <c r="F320" s="1" t="s">
        <v>103</v>
      </c>
      <c r="G320" s="1" t="s">
        <v>320</v>
      </c>
      <c r="H320" s="1"/>
      <c r="I320" s="1" t="s">
        <v>2379</v>
      </c>
      <c r="J320" s="1" t="s">
        <v>2380</v>
      </c>
      <c r="K320" s="1"/>
      <c r="L320" s="9">
        <v>17174.509999999998</v>
      </c>
      <c r="M320" s="1"/>
      <c r="N320" s="1"/>
      <c r="O320" s="1"/>
      <c r="P320" s="1"/>
      <c r="Q320" s="1"/>
      <c r="R320" s="1"/>
      <c r="S320" s="9">
        <v>0</v>
      </c>
      <c r="T320" s="1">
        <v>17174.509999999998</v>
      </c>
      <c r="U320" s="1" t="s">
        <v>2381</v>
      </c>
      <c r="V320" s="1" t="s">
        <v>15</v>
      </c>
      <c r="W320" s="1" t="s">
        <v>17</v>
      </c>
      <c r="X320" s="1" t="s">
        <v>111</v>
      </c>
      <c r="Y320" s="1"/>
      <c r="Z320" s="1" t="s">
        <v>2384</v>
      </c>
      <c r="AA320" s="1" t="s">
        <v>17</v>
      </c>
      <c r="AB320" s="1">
        <v>0</v>
      </c>
      <c r="AC320" s="1" t="s">
        <v>17</v>
      </c>
      <c r="AD320" t="s">
        <v>112</v>
      </c>
      <c r="AE320" t="s">
        <v>113</v>
      </c>
      <c r="AF320" t="s">
        <v>2385</v>
      </c>
      <c r="AG320" t="s">
        <v>114</v>
      </c>
      <c r="AH320" t="s">
        <v>17</v>
      </c>
      <c r="AI320" t="s">
        <v>17</v>
      </c>
      <c r="AJ320" t="s">
        <v>17</v>
      </c>
      <c r="AK320" t="s">
        <v>179</v>
      </c>
      <c r="AL320" t="s">
        <v>17</v>
      </c>
      <c r="AM320" t="s">
        <v>117</v>
      </c>
      <c r="AN320" t="s">
        <v>320</v>
      </c>
      <c r="AO320" t="s">
        <v>2386</v>
      </c>
      <c r="AP320" t="s">
        <v>119</v>
      </c>
      <c r="AQ320" t="s">
        <v>119</v>
      </c>
      <c r="AR320" t="s">
        <v>664</v>
      </c>
      <c r="AS320" t="s">
        <v>2387</v>
      </c>
      <c r="AT320" t="s">
        <v>320</v>
      </c>
    </row>
    <row r="321" spans="1:46">
      <c r="A321" s="1" t="s">
        <v>2388</v>
      </c>
      <c r="B321" s="1"/>
      <c r="C321" s="1" t="s">
        <v>2378</v>
      </c>
      <c r="D321" s="1" t="s">
        <v>42</v>
      </c>
      <c r="E321" s="1" t="s">
        <v>42</v>
      </c>
      <c r="F321" s="1" t="s">
        <v>103</v>
      </c>
      <c r="G321" s="1" t="s">
        <v>664</v>
      </c>
      <c r="H321" s="1"/>
      <c r="I321" s="1" t="s">
        <v>2379</v>
      </c>
      <c r="J321" s="1" t="s">
        <v>2380</v>
      </c>
      <c r="K321" s="1"/>
      <c r="L321" s="9">
        <v>15289.51</v>
      </c>
      <c r="M321" s="1"/>
      <c r="N321" s="1"/>
      <c r="O321" s="1"/>
      <c r="P321" s="1"/>
      <c r="Q321" s="1"/>
      <c r="R321" s="1"/>
      <c r="S321" s="9">
        <v>0</v>
      </c>
      <c r="T321" s="1">
        <v>15289.51</v>
      </c>
      <c r="U321" s="1" t="s">
        <v>2381</v>
      </c>
      <c r="V321" s="1" t="s">
        <v>15</v>
      </c>
      <c r="W321" s="1" t="s">
        <v>17</v>
      </c>
      <c r="X321" s="1" t="s">
        <v>111</v>
      </c>
      <c r="Y321" s="1"/>
      <c r="Z321" s="1" t="s">
        <v>2389</v>
      </c>
      <c r="AA321" s="1" t="s">
        <v>17</v>
      </c>
      <c r="AB321" s="1">
        <v>0</v>
      </c>
      <c r="AC321" s="1" t="s">
        <v>17</v>
      </c>
      <c r="AD321" t="s">
        <v>112</v>
      </c>
      <c r="AE321" t="s">
        <v>113</v>
      </c>
      <c r="AF321" t="s">
        <v>2389</v>
      </c>
      <c r="AG321" t="s">
        <v>114</v>
      </c>
      <c r="AH321" t="s">
        <v>17</v>
      </c>
      <c r="AI321" t="s">
        <v>17</v>
      </c>
      <c r="AJ321" t="s">
        <v>17</v>
      </c>
      <c r="AK321" t="s">
        <v>663</v>
      </c>
      <c r="AL321" t="s">
        <v>17</v>
      </c>
      <c r="AM321" t="s">
        <v>117</v>
      </c>
      <c r="AN321" t="s">
        <v>664</v>
      </c>
      <c r="AO321" t="s">
        <v>967</v>
      </c>
      <c r="AP321" t="s">
        <v>119</v>
      </c>
      <c r="AQ321" t="s">
        <v>119</v>
      </c>
      <c r="AR321" t="s">
        <v>1213</v>
      </c>
      <c r="AS321" t="s">
        <v>968</v>
      </c>
      <c r="AT321" t="s">
        <v>664</v>
      </c>
    </row>
    <row r="322" spans="1:46">
      <c r="A322" s="1" t="s">
        <v>2390</v>
      </c>
      <c r="B322" s="1"/>
      <c r="C322" s="1" t="s">
        <v>17</v>
      </c>
      <c r="D322" s="1" t="s">
        <v>30</v>
      </c>
      <c r="E322" s="1" t="s">
        <v>2391</v>
      </c>
      <c r="F322" s="1" t="s">
        <v>103</v>
      </c>
      <c r="G322" s="1" t="s">
        <v>1342</v>
      </c>
      <c r="H322" s="1"/>
      <c r="I322" s="1" t="s">
        <v>2392</v>
      </c>
      <c r="J322" s="1" t="s">
        <v>2393</v>
      </c>
      <c r="K322" s="1" t="s">
        <v>129</v>
      </c>
      <c r="L322" s="9">
        <v>17174.509999999998</v>
      </c>
      <c r="M322" s="1"/>
      <c r="N322" s="1"/>
      <c r="O322" s="1"/>
      <c r="P322" s="1"/>
      <c r="Q322" s="1"/>
      <c r="R322" s="1"/>
      <c r="S322" s="9">
        <v>0</v>
      </c>
      <c r="T322" s="1">
        <v>17174.509999999998</v>
      </c>
      <c r="U322" s="1" t="s">
        <v>2394</v>
      </c>
      <c r="V322" s="1" t="s">
        <v>15</v>
      </c>
      <c r="W322" s="1" t="s">
        <v>17</v>
      </c>
      <c r="X322" s="1" t="s">
        <v>111</v>
      </c>
      <c r="Y322" s="1"/>
      <c r="Z322" s="1" t="s">
        <v>2395</v>
      </c>
      <c r="AA322" s="1" t="s">
        <v>17</v>
      </c>
      <c r="AB322" s="1">
        <v>0</v>
      </c>
      <c r="AC322" s="1" t="s">
        <v>17</v>
      </c>
      <c r="AD322" t="s">
        <v>112</v>
      </c>
      <c r="AE322" t="s">
        <v>113</v>
      </c>
      <c r="AF322" t="s">
        <v>2396</v>
      </c>
      <c r="AG322" t="s">
        <v>114</v>
      </c>
      <c r="AH322" t="s">
        <v>2397</v>
      </c>
      <c r="AI322" t="s">
        <v>2398</v>
      </c>
      <c r="AJ322" t="s">
        <v>2399</v>
      </c>
      <c r="AK322" t="s">
        <v>179</v>
      </c>
      <c r="AL322" t="s">
        <v>137</v>
      </c>
      <c r="AM322" t="s">
        <v>117</v>
      </c>
      <c r="AN322" t="s">
        <v>320</v>
      </c>
      <c r="AO322" t="s">
        <v>2386</v>
      </c>
      <c r="AP322" t="s">
        <v>119</v>
      </c>
      <c r="AQ322" t="s">
        <v>119</v>
      </c>
      <c r="AR322" t="s">
        <v>664</v>
      </c>
      <c r="AS322" t="s">
        <v>2387</v>
      </c>
      <c r="AT322" t="s">
        <v>1342</v>
      </c>
    </row>
    <row r="323" spans="1:46">
      <c r="A323" s="1" t="s">
        <v>2400</v>
      </c>
      <c r="B323" s="1"/>
      <c r="C323" s="1" t="s">
        <v>2401</v>
      </c>
      <c r="D323" s="1" t="s">
        <v>42</v>
      </c>
      <c r="E323" s="1" t="s">
        <v>2402</v>
      </c>
      <c r="F323" s="1" t="s">
        <v>103</v>
      </c>
      <c r="G323" s="1" t="s">
        <v>1342</v>
      </c>
      <c r="H323" s="1" t="s">
        <v>2403</v>
      </c>
      <c r="I323" s="1" t="s">
        <v>127</v>
      </c>
      <c r="J323" s="1" t="s">
        <v>128</v>
      </c>
      <c r="K323" s="1" t="s">
        <v>129</v>
      </c>
      <c r="L323" s="9">
        <v>-17174.509999999998</v>
      </c>
      <c r="M323" s="1"/>
      <c r="N323" s="1"/>
      <c r="O323" s="1"/>
      <c r="P323" s="1"/>
      <c r="Q323" s="1"/>
      <c r="R323" s="1"/>
      <c r="S323" s="9">
        <v>0</v>
      </c>
      <c r="T323" s="1">
        <v>-17174.509999999998</v>
      </c>
      <c r="U323" s="1" t="s">
        <v>2404</v>
      </c>
      <c r="V323" s="1" t="s">
        <v>15</v>
      </c>
      <c r="W323" s="1" t="s">
        <v>17</v>
      </c>
      <c r="X323" s="1" t="s">
        <v>111</v>
      </c>
      <c r="Y323" s="1"/>
      <c r="Z323" s="1" t="s">
        <v>2382</v>
      </c>
      <c r="AA323" s="1" t="s">
        <v>17</v>
      </c>
      <c r="AB323" s="1">
        <v>0</v>
      </c>
      <c r="AC323" s="1" t="s">
        <v>17</v>
      </c>
      <c r="AD323" t="s">
        <v>112</v>
      </c>
      <c r="AE323" t="s">
        <v>113</v>
      </c>
      <c r="AF323" t="s">
        <v>2405</v>
      </c>
      <c r="AG323" t="s">
        <v>114</v>
      </c>
      <c r="AH323" t="s">
        <v>2403</v>
      </c>
      <c r="AI323" t="s">
        <v>1343</v>
      </c>
      <c r="AJ323" t="s">
        <v>2399</v>
      </c>
      <c r="AK323" t="s">
        <v>179</v>
      </c>
      <c r="AL323" t="s">
        <v>137</v>
      </c>
      <c r="AM323" t="s">
        <v>117</v>
      </c>
      <c r="AN323" t="s">
        <v>680</v>
      </c>
      <c r="AO323" t="s">
        <v>321</v>
      </c>
      <c r="AP323" t="s">
        <v>119</v>
      </c>
      <c r="AQ323" t="s">
        <v>119</v>
      </c>
      <c r="AR323" t="s">
        <v>680</v>
      </c>
      <c r="AS323" t="s">
        <v>322</v>
      </c>
      <c r="AT323" t="s">
        <v>678</v>
      </c>
    </row>
    <row r="324" spans="1:46">
      <c r="A324" s="1" t="s">
        <v>2406</v>
      </c>
      <c r="B324" s="1"/>
      <c r="C324" s="1" t="s">
        <v>2407</v>
      </c>
      <c r="D324" s="1" t="s">
        <v>42</v>
      </c>
      <c r="E324" s="1" t="s">
        <v>2402</v>
      </c>
      <c r="F324" s="1" t="s">
        <v>103</v>
      </c>
      <c r="G324" s="1" t="s">
        <v>301</v>
      </c>
      <c r="H324" s="1" t="s">
        <v>556</v>
      </c>
      <c r="I324" s="1" t="s">
        <v>127</v>
      </c>
      <c r="J324" s="1" t="s">
        <v>1344</v>
      </c>
      <c r="K324" s="1" t="s">
        <v>129</v>
      </c>
      <c r="L324" s="9">
        <v>-15289.51</v>
      </c>
      <c r="M324" s="1"/>
      <c r="N324" s="1"/>
      <c r="O324" s="1"/>
      <c r="P324" s="1"/>
      <c r="Q324" s="1"/>
      <c r="R324" s="1"/>
      <c r="S324" s="9">
        <v>0</v>
      </c>
      <c r="T324" s="1">
        <v>-15289.51</v>
      </c>
      <c r="U324" s="1" t="s">
        <v>2404</v>
      </c>
      <c r="V324" s="1" t="s">
        <v>15</v>
      </c>
      <c r="W324" s="1" t="s">
        <v>17</v>
      </c>
      <c r="X324" s="1" t="s">
        <v>111</v>
      </c>
      <c r="Y324" s="1"/>
      <c r="Z324" s="1" t="s">
        <v>2408</v>
      </c>
      <c r="AA324" s="1" t="s">
        <v>17</v>
      </c>
      <c r="AB324" s="1">
        <v>0</v>
      </c>
      <c r="AC324" s="1" t="s">
        <v>17</v>
      </c>
      <c r="AD324" t="s">
        <v>112</v>
      </c>
      <c r="AE324" t="s">
        <v>113</v>
      </c>
      <c r="AF324" t="s">
        <v>2409</v>
      </c>
      <c r="AG324" t="s">
        <v>114</v>
      </c>
      <c r="AH324" t="s">
        <v>556</v>
      </c>
      <c r="AI324" t="s">
        <v>556</v>
      </c>
      <c r="AJ324" t="s">
        <v>135</v>
      </c>
      <c r="AK324" t="s">
        <v>233</v>
      </c>
      <c r="AL324" t="s">
        <v>137</v>
      </c>
      <c r="AM324" t="s">
        <v>117</v>
      </c>
      <c r="AN324" t="s">
        <v>2259</v>
      </c>
      <c r="AO324" t="s">
        <v>429</v>
      </c>
      <c r="AP324" t="s">
        <v>119</v>
      </c>
      <c r="AQ324" t="s">
        <v>119</v>
      </c>
      <c r="AR324" t="s">
        <v>2259</v>
      </c>
      <c r="AS324" t="s">
        <v>430</v>
      </c>
      <c r="AT324" t="s">
        <v>2259</v>
      </c>
    </row>
    <row r="325" spans="1:46">
      <c r="A325" s="1" t="s">
        <v>2410</v>
      </c>
      <c r="B325" s="1"/>
      <c r="C325" s="1" t="s">
        <v>2411</v>
      </c>
      <c r="D325" s="1" t="s">
        <v>42</v>
      </c>
      <c r="E325" s="1" t="s">
        <v>2402</v>
      </c>
      <c r="F325" s="1" t="s">
        <v>103</v>
      </c>
      <c r="G325" s="1" t="s">
        <v>582</v>
      </c>
      <c r="H325" s="1" t="s">
        <v>2412</v>
      </c>
      <c r="I325" s="1" t="s">
        <v>127</v>
      </c>
      <c r="J325" s="1" t="s">
        <v>128</v>
      </c>
      <c r="K325" s="1" t="s">
        <v>253</v>
      </c>
      <c r="L325" s="9">
        <v>-30658.240000000002</v>
      </c>
      <c r="M325" s="1"/>
      <c r="N325" s="1"/>
      <c r="O325" s="1"/>
      <c r="P325" s="1"/>
      <c r="Q325" s="1"/>
      <c r="R325" s="1"/>
      <c r="S325" s="9">
        <v>0</v>
      </c>
      <c r="T325" s="1">
        <v>-30658.240000000002</v>
      </c>
      <c r="U325" s="1" t="s">
        <v>2404</v>
      </c>
      <c r="V325" s="1" t="s">
        <v>15</v>
      </c>
      <c r="W325" s="1" t="s">
        <v>17</v>
      </c>
      <c r="X325" s="1" t="s">
        <v>111</v>
      </c>
      <c r="Y325" s="1"/>
      <c r="Z325" s="1" t="s">
        <v>2413</v>
      </c>
      <c r="AA325" s="1" t="s">
        <v>17</v>
      </c>
      <c r="AB325" s="1">
        <v>0</v>
      </c>
      <c r="AC325" s="1" t="s">
        <v>17</v>
      </c>
      <c r="AD325" t="s">
        <v>112</v>
      </c>
      <c r="AE325" t="s">
        <v>231</v>
      </c>
      <c r="AF325" t="s">
        <v>2414</v>
      </c>
      <c r="AG325" t="s">
        <v>114</v>
      </c>
      <c r="AH325" t="s">
        <v>2412</v>
      </c>
      <c r="AI325" t="s">
        <v>2412</v>
      </c>
      <c r="AJ325" t="s">
        <v>135</v>
      </c>
      <c r="AK325" t="s">
        <v>233</v>
      </c>
      <c r="AL325" t="s">
        <v>137</v>
      </c>
      <c r="AM325" t="s">
        <v>117</v>
      </c>
      <c r="AN325" t="s">
        <v>2415</v>
      </c>
      <c r="AO325" t="s">
        <v>587</v>
      </c>
      <c r="AP325" t="s">
        <v>119</v>
      </c>
      <c r="AQ325" t="s">
        <v>119</v>
      </c>
      <c r="AR325" t="s">
        <v>2415</v>
      </c>
      <c r="AS325" t="s">
        <v>588</v>
      </c>
      <c r="AT325" t="s">
        <v>228</v>
      </c>
    </row>
    <row r="326" spans="1:46">
      <c r="A326" s="1" t="s">
        <v>2416</v>
      </c>
      <c r="B326" s="1"/>
      <c r="C326" s="1" t="s">
        <v>2417</v>
      </c>
      <c r="D326" s="1" t="s">
        <v>42</v>
      </c>
      <c r="E326" s="1" t="s">
        <v>42</v>
      </c>
      <c r="F326" s="1" t="s">
        <v>103</v>
      </c>
      <c r="G326" s="1" t="s">
        <v>2418</v>
      </c>
      <c r="H326" s="1" t="s">
        <v>2419</v>
      </c>
      <c r="I326" s="1" t="s">
        <v>127</v>
      </c>
      <c r="J326" s="1" t="s">
        <v>128</v>
      </c>
      <c r="K326" s="1" t="s">
        <v>2420</v>
      </c>
      <c r="L326" s="9">
        <v>-16755.62</v>
      </c>
      <c r="M326" s="1"/>
      <c r="N326" s="1"/>
      <c r="O326" s="1"/>
      <c r="P326" s="1"/>
      <c r="Q326" s="1"/>
      <c r="R326" s="1"/>
      <c r="S326" s="9">
        <v>0</v>
      </c>
      <c r="T326" s="1">
        <v>-16755.62</v>
      </c>
      <c r="U326" s="1" t="s">
        <v>2421</v>
      </c>
      <c r="V326" s="1" t="s">
        <v>15</v>
      </c>
      <c r="W326" s="1" t="s">
        <v>17</v>
      </c>
      <c r="X326" s="1" t="s">
        <v>111</v>
      </c>
      <c r="Y326" s="1"/>
      <c r="Z326" s="1" t="s">
        <v>2422</v>
      </c>
      <c r="AA326" s="1" t="s">
        <v>17</v>
      </c>
      <c r="AB326" s="1">
        <v>0</v>
      </c>
      <c r="AC326" s="1" t="s">
        <v>17</v>
      </c>
      <c r="AD326" t="s">
        <v>112</v>
      </c>
      <c r="AE326" t="s">
        <v>113</v>
      </c>
      <c r="AF326" t="s">
        <v>2423</v>
      </c>
      <c r="AG326" t="s">
        <v>114</v>
      </c>
      <c r="AH326" t="s">
        <v>2419</v>
      </c>
      <c r="AI326" t="s">
        <v>1210</v>
      </c>
      <c r="AJ326" t="s">
        <v>135</v>
      </c>
      <c r="AK326" t="s">
        <v>663</v>
      </c>
      <c r="AL326" t="s">
        <v>137</v>
      </c>
      <c r="AM326" t="s">
        <v>117</v>
      </c>
      <c r="AN326" t="s">
        <v>1213</v>
      </c>
      <c r="AO326" t="s">
        <v>681</v>
      </c>
      <c r="AP326" t="s">
        <v>119</v>
      </c>
      <c r="AQ326" t="s">
        <v>119</v>
      </c>
      <c r="AR326" t="s">
        <v>1213</v>
      </c>
      <c r="AS326" t="s">
        <v>682</v>
      </c>
      <c r="AT326" t="s">
        <v>1209</v>
      </c>
    </row>
    <row r="327" spans="1:46">
      <c r="A327" s="1" t="s">
        <v>2424</v>
      </c>
      <c r="B327" s="1"/>
      <c r="C327" s="1" t="s">
        <v>2378</v>
      </c>
      <c r="D327" s="1" t="s">
        <v>42</v>
      </c>
      <c r="E327" s="1" t="s">
        <v>42</v>
      </c>
      <c r="F327" s="1" t="s">
        <v>103</v>
      </c>
      <c r="G327" s="1" t="s">
        <v>2259</v>
      </c>
      <c r="H327" s="1"/>
      <c r="I327" s="1" t="s">
        <v>2379</v>
      </c>
      <c r="J327" s="1" t="s">
        <v>2380</v>
      </c>
      <c r="K327" s="1"/>
      <c r="L327" s="9">
        <v>15289.51</v>
      </c>
      <c r="M327" s="1"/>
      <c r="N327" s="1"/>
      <c r="O327" s="1"/>
      <c r="P327" s="1"/>
      <c r="Q327" s="1"/>
      <c r="R327" s="1"/>
      <c r="S327" s="9">
        <v>0</v>
      </c>
      <c r="T327" s="1">
        <v>15289.51</v>
      </c>
      <c r="U327" s="1" t="s">
        <v>2381</v>
      </c>
      <c r="V327" s="1" t="s">
        <v>15</v>
      </c>
      <c r="W327" s="1" t="s">
        <v>17</v>
      </c>
      <c r="X327" s="1" t="s">
        <v>111</v>
      </c>
      <c r="Y327" s="1"/>
      <c r="Z327" s="1" t="s">
        <v>2408</v>
      </c>
      <c r="AA327" s="1" t="s">
        <v>17</v>
      </c>
      <c r="AB327" s="1">
        <v>0</v>
      </c>
      <c r="AC327" s="1" t="s">
        <v>17</v>
      </c>
      <c r="AD327" t="s">
        <v>112</v>
      </c>
      <c r="AE327" t="s">
        <v>113</v>
      </c>
      <c r="AF327" t="s">
        <v>2408</v>
      </c>
      <c r="AG327" t="s">
        <v>114</v>
      </c>
      <c r="AH327" t="s">
        <v>17</v>
      </c>
      <c r="AI327" t="s">
        <v>17</v>
      </c>
      <c r="AJ327" t="s">
        <v>17</v>
      </c>
      <c r="AK327" t="s">
        <v>233</v>
      </c>
      <c r="AL327" t="s">
        <v>17</v>
      </c>
      <c r="AM327" t="s">
        <v>117</v>
      </c>
      <c r="AN327" t="s">
        <v>2259</v>
      </c>
      <c r="AO327" t="s">
        <v>967</v>
      </c>
      <c r="AP327" t="s">
        <v>119</v>
      </c>
      <c r="AQ327" t="s">
        <v>119</v>
      </c>
      <c r="AR327" t="s">
        <v>2259</v>
      </c>
      <c r="AS327" t="s">
        <v>968</v>
      </c>
      <c r="AT327" t="s">
        <v>2259</v>
      </c>
    </row>
    <row r="328" spans="1:46">
      <c r="A328" s="1" t="s">
        <v>2425</v>
      </c>
      <c r="B328" s="1"/>
      <c r="C328" s="1" t="s">
        <v>2378</v>
      </c>
      <c r="D328" s="1" t="s">
        <v>42</v>
      </c>
      <c r="E328" s="1" t="s">
        <v>42</v>
      </c>
      <c r="F328" s="1" t="s">
        <v>103</v>
      </c>
      <c r="G328" s="1" t="s">
        <v>1213</v>
      </c>
      <c r="H328" s="1"/>
      <c r="I328" s="1" t="s">
        <v>2379</v>
      </c>
      <c r="J328" s="1" t="s">
        <v>2380</v>
      </c>
      <c r="K328" s="1"/>
      <c r="L328" s="9">
        <v>-16755.62</v>
      </c>
      <c r="M328" s="1"/>
      <c r="N328" s="1"/>
      <c r="O328" s="1"/>
      <c r="P328" s="1"/>
      <c r="Q328" s="1"/>
      <c r="R328" s="1"/>
      <c r="S328" s="9">
        <v>0</v>
      </c>
      <c r="T328" s="1">
        <v>-16755.62</v>
      </c>
      <c r="U328" s="1" t="s">
        <v>2381</v>
      </c>
      <c r="V328" s="1" t="s">
        <v>15</v>
      </c>
      <c r="W328" s="1" t="s">
        <v>17</v>
      </c>
      <c r="X328" s="1" t="s">
        <v>111</v>
      </c>
      <c r="Y328" s="1"/>
      <c r="Z328" s="1" t="s">
        <v>2422</v>
      </c>
      <c r="AA328" s="1" t="s">
        <v>17</v>
      </c>
      <c r="AB328" s="1">
        <v>0</v>
      </c>
      <c r="AC328" s="1" t="s">
        <v>17</v>
      </c>
      <c r="AD328" t="s">
        <v>112</v>
      </c>
      <c r="AE328" t="s">
        <v>113</v>
      </c>
      <c r="AF328" t="s">
        <v>2422</v>
      </c>
      <c r="AG328" t="s">
        <v>114</v>
      </c>
      <c r="AH328" t="s">
        <v>17</v>
      </c>
      <c r="AI328" t="s">
        <v>17</v>
      </c>
      <c r="AJ328" t="s">
        <v>17</v>
      </c>
      <c r="AK328" t="s">
        <v>663</v>
      </c>
      <c r="AL328" t="s">
        <v>17</v>
      </c>
      <c r="AM328" t="s">
        <v>17</v>
      </c>
      <c r="AN328" t="s">
        <v>1213</v>
      </c>
      <c r="AO328" t="s">
        <v>681</v>
      </c>
      <c r="AP328" t="s">
        <v>119</v>
      </c>
      <c r="AQ328" t="s">
        <v>119</v>
      </c>
      <c r="AR328" t="s">
        <v>1213</v>
      </c>
      <c r="AS328" t="s">
        <v>682</v>
      </c>
      <c r="AT328" t="s">
        <v>1213</v>
      </c>
    </row>
    <row r="329" spans="1:46">
      <c r="A329" s="1" t="s">
        <v>2426</v>
      </c>
      <c r="B329" s="1"/>
      <c r="C329" s="1" t="s">
        <v>2378</v>
      </c>
      <c r="D329" s="1" t="s">
        <v>42</v>
      </c>
      <c r="E329" s="1" t="s">
        <v>42</v>
      </c>
      <c r="F329" s="1" t="s">
        <v>103</v>
      </c>
      <c r="G329" s="1" t="s">
        <v>320</v>
      </c>
      <c r="H329" s="1"/>
      <c r="I329" s="1" t="s">
        <v>2379</v>
      </c>
      <c r="J329" s="1" t="s">
        <v>2380</v>
      </c>
      <c r="K329" s="1"/>
      <c r="L329" s="9">
        <v>-17174.509999999998</v>
      </c>
      <c r="M329" s="1"/>
      <c r="N329" s="1"/>
      <c r="O329" s="1"/>
      <c r="P329" s="1"/>
      <c r="Q329" s="1"/>
      <c r="R329" s="1"/>
      <c r="S329" s="9">
        <v>0</v>
      </c>
      <c r="T329" s="1">
        <v>-17174.509999999998</v>
      </c>
      <c r="U329" s="1" t="s">
        <v>2381</v>
      </c>
      <c r="V329" s="1" t="s">
        <v>15</v>
      </c>
      <c r="W329" s="1" t="s">
        <v>17</v>
      </c>
      <c r="X329" s="1" t="s">
        <v>111</v>
      </c>
      <c r="Y329" s="1"/>
      <c r="Z329" s="1" t="s">
        <v>2384</v>
      </c>
      <c r="AA329" s="1" t="s">
        <v>17</v>
      </c>
      <c r="AB329" s="1">
        <v>0</v>
      </c>
      <c r="AC329" s="1" t="s">
        <v>17</v>
      </c>
      <c r="AD329" t="s">
        <v>112</v>
      </c>
      <c r="AE329" t="s">
        <v>113</v>
      </c>
      <c r="AF329" t="s">
        <v>2384</v>
      </c>
      <c r="AG329" t="s">
        <v>114</v>
      </c>
      <c r="AH329" t="s">
        <v>17</v>
      </c>
      <c r="AI329" t="s">
        <v>17</v>
      </c>
      <c r="AJ329" t="s">
        <v>17</v>
      </c>
      <c r="AK329" t="s">
        <v>179</v>
      </c>
      <c r="AL329" t="s">
        <v>17</v>
      </c>
      <c r="AM329" t="s">
        <v>117</v>
      </c>
      <c r="AN329" t="s">
        <v>320</v>
      </c>
      <c r="AO329" t="s">
        <v>321</v>
      </c>
      <c r="AP329" t="s">
        <v>119</v>
      </c>
      <c r="AQ329" t="s">
        <v>119</v>
      </c>
      <c r="AR329" t="s">
        <v>664</v>
      </c>
      <c r="AS329" t="s">
        <v>322</v>
      </c>
      <c r="AT329" t="s">
        <v>320</v>
      </c>
    </row>
    <row r="330" spans="1:46">
      <c r="A330" s="1" t="s">
        <v>2427</v>
      </c>
      <c r="B330" s="1"/>
      <c r="C330" s="1" t="s">
        <v>2378</v>
      </c>
      <c r="D330" s="1" t="s">
        <v>42</v>
      </c>
      <c r="E330" s="1" t="s">
        <v>42</v>
      </c>
      <c r="F330" s="1" t="s">
        <v>103</v>
      </c>
      <c r="G330" s="1" t="s">
        <v>2415</v>
      </c>
      <c r="H330" s="1"/>
      <c r="I330" s="1" t="s">
        <v>2379</v>
      </c>
      <c r="J330" s="1" t="s">
        <v>2380</v>
      </c>
      <c r="K330" s="1"/>
      <c r="L330" s="9">
        <v>30658.240000000002</v>
      </c>
      <c r="M330" s="1"/>
      <c r="N330" s="1"/>
      <c r="O330" s="1"/>
      <c r="P330" s="1"/>
      <c r="Q330" s="1"/>
      <c r="R330" s="1"/>
      <c r="S330" s="9">
        <v>0</v>
      </c>
      <c r="T330" s="1">
        <v>30658.240000000002</v>
      </c>
      <c r="U330" s="1" t="s">
        <v>2381</v>
      </c>
      <c r="V330" s="1" t="s">
        <v>15</v>
      </c>
      <c r="W330" s="1" t="s">
        <v>17</v>
      </c>
      <c r="X330" s="1" t="s">
        <v>111</v>
      </c>
      <c r="Y330" s="1"/>
      <c r="Z330" s="1" t="s">
        <v>2413</v>
      </c>
      <c r="AA330" s="1" t="s">
        <v>17</v>
      </c>
      <c r="AB330" s="1">
        <v>0</v>
      </c>
      <c r="AC330" s="1" t="s">
        <v>17</v>
      </c>
      <c r="AD330" t="s">
        <v>112</v>
      </c>
      <c r="AE330" t="s">
        <v>231</v>
      </c>
      <c r="AF330" t="s">
        <v>2413</v>
      </c>
      <c r="AG330" t="s">
        <v>114</v>
      </c>
      <c r="AH330" t="s">
        <v>17</v>
      </c>
      <c r="AI330" t="s">
        <v>17</v>
      </c>
      <c r="AJ330" t="s">
        <v>17</v>
      </c>
      <c r="AK330" t="s">
        <v>233</v>
      </c>
      <c r="AL330" t="s">
        <v>17</v>
      </c>
      <c r="AM330" t="s">
        <v>117</v>
      </c>
      <c r="AN330" t="s">
        <v>2415</v>
      </c>
      <c r="AO330" t="s">
        <v>2428</v>
      </c>
      <c r="AP330" t="s">
        <v>119</v>
      </c>
      <c r="AQ330" t="s">
        <v>119</v>
      </c>
      <c r="AR330" t="s">
        <v>2415</v>
      </c>
      <c r="AS330" t="s">
        <v>2429</v>
      </c>
      <c r="AT330" t="s">
        <v>2415</v>
      </c>
    </row>
    <row r="331" spans="1:46">
      <c r="A331" s="1" t="s">
        <v>2430</v>
      </c>
      <c r="B331" s="1"/>
      <c r="C331" s="1" t="s">
        <v>2378</v>
      </c>
      <c r="D331" s="1" t="s">
        <v>42</v>
      </c>
      <c r="E331" s="1" t="s">
        <v>42</v>
      </c>
      <c r="F331" s="1" t="s">
        <v>103</v>
      </c>
      <c r="G331" s="1" t="s">
        <v>1213</v>
      </c>
      <c r="H331" s="1"/>
      <c r="I331" s="1" t="s">
        <v>2379</v>
      </c>
      <c r="J331" s="1" t="s">
        <v>2380</v>
      </c>
      <c r="K331" s="1"/>
      <c r="L331" s="9">
        <v>16755.62</v>
      </c>
      <c r="M331" s="1"/>
      <c r="N331" s="1"/>
      <c r="O331" s="1"/>
      <c r="P331" s="1"/>
      <c r="Q331" s="1"/>
      <c r="R331" s="1"/>
      <c r="S331" s="9">
        <v>0</v>
      </c>
      <c r="T331" s="1">
        <v>16755.62</v>
      </c>
      <c r="U331" s="1" t="s">
        <v>2381</v>
      </c>
      <c r="V331" s="1" t="s">
        <v>15</v>
      </c>
      <c r="W331" s="1" t="s">
        <v>17</v>
      </c>
      <c r="X331" s="1" t="s">
        <v>111</v>
      </c>
      <c r="Y331" s="1"/>
      <c r="Z331" s="1" t="s">
        <v>2422</v>
      </c>
      <c r="AA331" s="1" t="s">
        <v>17</v>
      </c>
      <c r="AB331" s="1">
        <v>0</v>
      </c>
      <c r="AC331" s="1" t="s">
        <v>17</v>
      </c>
      <c r="AD331" t="s">
        <v>112</v>
      </c>
      <c r="AE331" t="s">
        <v>113</v>
      </c>
      <c r="AF331" t="s">
        <v>2422</v>
      </c>
      <c r="AG331" t="s">
        <v>114</v>
      </c>
      <c r="AH331" t="s">
        <v>17</v>
      </c>
      <c r="AI331" t="s">
        <v>17</v>
      </c>
      <c r="AJ331" t="s">
        <v>17</v>
      </c>
      <c r="AK331" t="s">
        <v>663</v>
      </c>
      <c r="AL331" t="s">
        <v>17</v>
      </c>
      <c r="AM331" t="s">
        <v>117</v>
      </c>
      <c r="AN331" t="s">
        <v>1213</v>
      </c>
      <c r="AO331" t="s">
        <v>207</v>
      </c>
      <c r="AP331" t="s">
        <v>119</v>
      </c>
      <c r="AQ331" t="s">
        <v>119</v>
      </c>
      <c r="AR331" t="s">
        <v>1213</v>
      </c>
      <c r="AS331" t="s">
        <v>208</v>
      </c>
      <c r="AT331" t="s">
        <v>1213</v>
      </c>
    </row>
    <row r="332" spans="1:46">
      <c r="A332" s="1" t="s">
        <v>2431</v>
      </c>
      <c r="B332" s="1"/>
      <c r="C332" s="1" t="s">
        <v>2378</v>
      </c>
      <c r="D332" s="1" t="s">
        <v>42</v>
      </c>
      <c r="E332" s="1" t="s">
        <v>42</v>
      </c>
      <c r="F332" s="1" t="s">
        <v>103</v>
      </c>
      <c r="G332" s="1" t="s">
        <v>320</v>
      </c>
      <c r="H332" s="1"/>
      <c r="I332" s="1" t="s">
        <v>2379</v>
      </c>
      <c r="J332" s="1" t="s">
        <v>2380</v>
      </c>
      <c r="K332" s="1"/>
      <c r="L332" s="9">
        <v>-17174.509999999998</v>
      </c>
      <c r="M332" s="1"/>
      <c r="N332" s="1"/>
      <c r="O332" s="1"/>
      <c r="P332" s="1"/>
      <c r="Q332" s="1"/>
      <c r="R332" s="1"/>
      <c r="S332" s="9">
        <v>0</v>
      </c>
      <c r="T332" s="1">
        <v>-17174.509999999998</v>
      </c>
      <c r="U332" s="1" t="s">
        <v>2381</v>
      </c>
      <c r="V332" s="1" t="s">
        <v>15</v>
      </c>
      <c r="W332" s="1" t="s">
        <v>17</v>
      </c>
      <c r="X332" s="1" t="s">
        <v>111</v>
      </c>
      <c r="Y332" s="1"/>
      <c r="Z332" s="1" t="s">
        <v>2384</v>
      </c>
      <c r="AA332" s="1" t="s">
        <v>17</v>
      </c>
      <c r="AB332" s="1">
        <v>0</v>
      </c>
      <c r="AC332" s="1" t="s">
        <v>17</v>
      </c>
      <c r="AD332" t="s">
        <v>112</v>
      </c>
      <c r="AE332" t="s">
        <v>113</v>
      </c>
      <c r="AF332" t="s">
        <v>2385</v>
      </c>
      <c r="AG332" t="s">
        <v>114</v>
      </c>
      <c r="AH332" t="s">
        <v>17</v>
      </c>
      <c r="AI332" t="s">
        <v>17</v>
      </c>
      <c r="AJ332" t="s">
        <v>17</v>
      </c>
      <c r="AK332" t="s">
        <v>179</v>
      </c>
      <c r="AL332" t="s">
        <v>17</v>
      </c>
      <c r="AM332" t="s">
        <v>117</v>
      </c>
      <c r="AN332" t="s">
        <v>320</v>
      </c>
      <c r="AO332" t="s">
        <v>321</v>
      </c>
      <c r="AP332" t="s">
        <v>119</v>
      </c>
      <c r="AQ332" t="s">
        <v>119</v>
      </c>
      <c r="AR332" t="s">
        <v>664</v>
      </c>
      <c r="AS332" t="s">
        <v>322</v>
      </c>
      <c r="AT332" t="s">
        <v>320</v>
      </c>
    </row>
    <row r="333" spans="1:46">
      <c r="A333" s="1" t="s">
        <v>2432</v>
      </c>
      <c r="B333" s="1"/>
      <c r="C333" s="1" t="s">
        <v>2433</v>
      </c>
      <c r="D333" s="1" t="s">
        <v>42</v>
      </c>
      <c r="E333" s="1" t="s">
        <v>2402</v>
      </c>
      <c r="F333" s="1" t="s">
        <v>103</v>
      </c>
      <c r="G333" s="1" t="s">
        <v>409</v>
      </c>
      <c r="H333" s="1"/>
      <c r="I333" s="1" t="s">
        <v>2392</v>
      </c>
      <c r="J333" s="1" t="s">
        <v>2393</v>
      </c>
      <c r="K333" s="1" t="s">
        <v>253</v>
      </c>
      <c r="L333" s="9">
        <v>34443.199999999997</v>
      </c>
      <c r="M333" s="1"/>
      <c r="N333" s="1"/>
      <c r="O333" s="1"/>
      <c r="P333" s="1"/>
      <c r="Q333" s="1"/>
      <c r="R333" s="1"/>
      <c r="S333" s="9">
        <v>0</v>
      </c>
      <c r="T333" s="1">
        <v>34443.199999999997</v>
      </c>
      <c r="U333" s="1" t="s">
        <v>2404</v>
      </c>
      <c r="V333" s="1" t="s">
        <v>15</v>
      </c>
      <c r="W333" s="1" t="s">
        <v>17</v>
      </c>
      <c r="X333" s="1" t="s">
        <v>111</v>
      </c>
      <c r="Y333" s="1"/>
      <c r="Z333" s="1" t="s">
        <v>2434</v>
      </c>
      <c r="AA333" s="1" t="s">
        <v>17</v>
      </c>
      <c r="AB333" s="1">
        <v>0</v>
      </c>
      <c r="AC333" s="1" t="s">
        <v>17</v>
      </c>
      <c r="AD333" t="s">
        <v>112</v>
      </c>
      <c r="AE333" t="s">
        <v>231</v>
      </c>
      <c r="AF333" t="s">
        <v>2435</v>
      </c>
      <c r="AG333" t="s">
        <v>114</v>
      </c>
      <c r="AH333" t="s">
        <v>2436</v>
      </c>
      <c r="AI333" t="s">
        <v>2436</v>
      </c>
      <c r="AJ333" t="s">
        <v>135</v>
      </c>
      <c r="AK333" t="s">
        <v>233</v>
      </c>
      <c r="AL333" t="s">
        <v>137</v>
      </c>
      <c r="AM333" t="s">
        <v>117</v>
      </c>
      <c r="AN333" t="s">
        <v>2259</v>
      </c>
      <c r="AO333" t="s">
        <v>2437</v>
      </c>
      <c r="AP333" t="s">
        <v>119</v>
      </c>
      <c r="AQ333" t="s">
        <v>119</v>
      </c>
      <c r="AR333" t="s">
        <v>2259</v>
      </c>
      <c r="AS333" t="s">
        <v>2438</v>
      </c>
      <c r="AT333" t="s">
        <v>409</v>
      </c>
    </row>
    <row r="334" spans="1:46">
      <c r="A334" s="1" t="s">
        <v>2439</v>
      </c>
      <c r="B334" s="1"/>
      <c r="C334" s="1" t="s">
        <v>2407</v>
      </c>
      <c r="D334" s="1" t="s">
        <v>42</v>
      </c>
      <c r="E334" s="1" t="s">
        <v>2402</v>
      </c>
      <c r="F334" s="1" t="s">
        <v>103</v>
      </c>
      <c r="G334" s="1" t="s">
        <v>294</v>
      </c>
      <c r="H334" s="1"/>
      <c r="I334" s="1" t="s">
        <v>2392</v>
      </c>
      <c r="J334" s="1" t="s">
        <v>2393</v>
      </c>
      <c r="K334" s="1" t="s">
        <v>129</v>
      </c>
      <c r="L334" s="9">
        <v>15289.51</v>
      </c>
      <c r="M334" s="1"/>
      <c r="N334" s="1"/>
      <c r="O334" s="1"/>
      <c r="P334" s="1"/>
      <c r="Q334" s="1"/>
      <c r="R334" s="1"/>
      <c r="S334" s="9">
        <v>0</v>
      </c>
      <c r="T334" s="1">
        <v>15289.51</v>
      </c>
      <c r="U334" s="1" t="s">
        <v>2404</v>
      </c>
      <c r="V334" s="1" t="s">
        <v>15</v>
      </c>
      <c r="W334" s="1" t="s">
        <v>17</v>
      </c>
      <c r="X334" s="1" t="s">
        <v>111</v>
      </c>
      <c r="Y334" s="1"/>
      <c r="Z334" s="1" t="s">
        <v>2408</v>
      </c>
      <c r="AA334" s="1" t="s">
        <v>17</v>
      </c>
      <c r="AB334" s="1">
        <v>0</v>
      </c>
      <c r="AC334" s="1" t="s">
        <v>17</v>
      </c>
      <c r="AD334" t="s">
        <v>112</v>
      </c>
      <c r="AE334" t="s">
        <v>113</v>
      </c>
      <c r="AF334" t="s">
        <v>2440</v>
      </c>
      <c r="AG334" t="s">
        <v>114</v>
      </c>
      <c r="AH334" t="s">
        <v>2441</v>
      </c>
      <c r="AI334" t="s">
        <v>2441</v>
      </c>
      <c r="AJ334" t="s">
        <v>135</v>
      </c>
      <c r="AK334" t="s">
        <v>233</v>
      </c>
      <c r="AL334" t="s">
        <v>137</v>
      </c>
      <c r="AM334" t="s">
        <v>117</v>
      </c>
      <c r="AN334" t="s">
        <v>2259</v>
      </c>
      <c r="AO334" t="s">
        <v>967</v>
      </c>
      <c r="AP334" t="s">
        <v>119</v>
      </c>
      <c r="AQ334" t="s">
        <v>119</v>
      </c>
      <c r="AR334" t="s">
        <v>2259</v>
      </c>
      <c r="AS334" t="s">
        <v>968</v>
      </c>
      <c r="AT334" t="s">
        <v>294</v>
      </c>
    </row>
    <row r="335" spans="1:46">
      <c r="A335" s="1" t="s">
        <v>2442</v>
      </c>
      <c r="B335" s="1"/>
      <c r="C335" s="1" t="s">
        <v>2378</v>
      </c>
      <c r="D335" s="1" t="s">
        <v>42</v>
      </c>
      <c r="E335" s="1" t="s">
        <v>42</v>
      </c>
      <c r="F335" s="1" t="s">
        <v>103</v>
      </c>
      <c r="G335" s="1" t="s">
        <v>157</v>
      </c>
      <c r="H335" s="1"/>
      <c r="I335" s="1" t="s">
        <v>2379</v>
      </c>
      <c r="J335" s="1" t="s">
        <v>2380</v>
      </c>
      <c r="K335" s="1"/>
      <c r="L335" s="9">
        <v>11519</v>
      </c>
      <c r="M335" s="1"/>
      <c r="N335" s="1"/>
      <c r="O335" s="1"/>
      <c r="P335" s="1"/>
      <c r="Q335" s="1"/>
      <c r="R335" s="1"/>
      <c r="S335" s="9">
        <v>0</v>
      </c>
      <c r="T335" s="1">
        <v>11519</v>
      </c>
      <c r="U335" s="1" t="s">
        <v>2381</v>
      </c>
      <c r="V335" s="1" t="s">
        <v>15</v>
      </c>
      <c r="W335" s="1" t="s">
        <v>17</v>
      </c>
      <c r="X335" s="1" t="s">
        <v>111</v>
      </c>
      <c r="Y335" s="1"/>
      <c r="Z335" s="1" t="s">
        <v>2443</v>
      </c>
      <c r="AA335" s="1" t="s">
        <v>17</v>
      </c>
      <c r="AB335" s="1">
        <v>0</v>
      </c>
      <c r="AC335" s="1" t="s">
        <v>17</v>
      </c>
      <c r="AD335" t="s">
        <v>112</v>
      </c>
      <c r="AE335" t="s">
        <v>113</v>
      </c>
      <c r="AF335" t="s">
        <v>2443</v>
      </c>
      <c r="AG335" t="s">
        <v>114</v>
      </c>
      <c r="AH335" t="s">
        <v>17</v>
      </c>
      <c r="AI335" t="s">
        <v>17</v>
      </c>
      <c r="AJ335" t="s">
        <v>17</v>
      </c>
      <c r="AK335" t="s">
        <v>161</v>
      </c>
      <c r="AL335" t="s">
        <v>17</v>
      </c>
      <c r="AM335" t="s">
        <v>117</v>
      </c>
      <c r="AN335" t="s">
        <v>157</v>
      </c>
      <c r="AO335" t="s">
        <v>2444</v>
      </c>
      <c r="AP335" t="s">
        <v>119</v>
      </c>
      <c r="AQ335" t="s">
        <v>119</v>
      </c>
      <c r="AR335" t="s">
        <v>157</v>
      </c>
      <c r="AS335" t="s">
        <v>2445</v>
      </c>
      <c r="AT335" t="s">
        <v>157</v>
      </c>
    </row>
    <row r="336" spans="1:46">
      <c r="A336" s="1" t="s">
        <v>2446</v>
      </c>
      <c r="B336" s="1"/>
      <c r="C336" s="1" t="s">
        <v>2378</v>
      </c>
      <c r="D336" s="1" t="s">
        <v>42</v>
      </c>
      <c r="E336" s="1" t="s">
        <v>42</v>
      </c>
      <c r="F336" s="1" t="s">
        <v>103</v>
      </c>
      <c r="G336" s="1" t="s">
        <v>320</v>
      </c>
      <c r="H336" s="1"/>
      <c r="I336" s="1" t="s">
        <v>2379</v>
      </c>
      <c r="J336" s="1" t="s">
        <v>2380</v>
      </c>
      <c r="K336" s="1"/>
      <c r="L336" s="9">
        <v>17174.509999999998</v>
      </c>
      <c r="M336" s="1"/>
      <c r="N336" s="1"/>
      <c r="O336" s="1"/>
      <c r="P336" s="1"/>
      <c r="Q336" s="1"/>
      <c r="R336" s="1"/>
      <c r="S336" s="9">
        <v>0</v>
      </c>
      <c r="T336" s="1">
        <v>17174.509999999998</v>
      </c>
      <c r="U336" s="1" t="s">
        <v>2381</v>
      </c>
      <c r="V336" s="1" t="s">
        <v>15</v>
      </c>
      <c r="W336" s="1" t="s">
        <v>17</v>
      </c>
      <c r="X336" s="1" t="s">
        <v>111</v>
      </c>
      <c r="Y336" s="1"/>
      <c r="Z336" s="1" t="s">
        <v>2382</v>
      </c>
      <c r="AA336" s="1" t="s">
        <v>17</v>
      </c>
      <c r="AB336" s="1">
        <v>0</v>
      </c>
      <c r="AC336" s="1" t="s">
        <v>17</v>
      </c>
      <c r="AD336" t="s">
        <v>112</v>
      </c>
      <c r="AE336" t="s">
        <v>113</v>
      </c>
      <c r="AF336" t="s">
        <v>2382</v>
      </c>
      <c r="AG336" t="s">
        <v>114</v>
      </c>
      <c r="AH336" t="s">
        <v>17</v>
      </c>
      <c r="AI336" t="s">
        <v>17</v>
      </c>
      <c r="AJ336" t="s">
        <v>17</v>
      </c>
      <c r="AK336" t="s">
        <v>179</v>
      </c>
      <c r="AL336" t="s">
        <v>17</v>
      </c>
      <c r="AM336" t="s">
        <v>117</v>
      </c>
      <c r="AN336" t="s">
        <v>320</v>
      </c>
      <c r="AO336" t="s">
        <v>2386</v>
      </c>
      <c r="AP336" t="s">
        <v>119</v>
      </c>
      <c r="AQ336" t="s">
        <v>119</v>
      </c>
      <c r="AR336" t="s">
        <v>664</v>
      </c>
      <c r="AS336" t="s">
        <v>2387</v>
      </c>
      <c r="AT336" t="s">
        <v>320</v>
      </c>
    </row>
    <row r="337" spans="1:46">
      <c r="A337" s="1" t="s">
        <v>2447</v>
      </c>
      <c r="B337" s="1"/>
      <c r="C337" s="1" t="s">
        <v>17</v>
      </c>
      <c r="D337" s="1" t="s">
        <v>34</v>
      </c>
      <c r="E337" s="1" t="s">
        <v>2391</v>
      </c>
      <c r="F337" s="1" t="s">
        <v>103</v>
      </c>
      <c r="G337" s="1" t="s">
        <v>1342</v>
      </c>
      <c r="H337" s="1"/>
      <c r="I337" s="1" t="s">
        <v>2448</v>
      </c>
      <c r="J337" s="1" t="s">
        <v>2449</v>
      </c>
      <c r="K337" s="1" t="s">
        <v>129</v>
      </c>
      <c r="L337" s="9">
        <v>-17174.509999999998</v>
      </c>
      <c r="M337" s="1"/>
      <c r="N337" s="1"/>
      <c r="O337" s="1"/>
      <c r="P337" s="1"/>
      <c r="Q337" s="1"/>
      <c r="R337" s="1"/>
      <c r="S337" s="9">
        <v>0</v>
      </c>
      <c r="T337" s="1">
        <v>-17174.509999999998</v>
      </c>
      <c r="U337" s="1" t="s">
        <v>2450</v>
      </c>
      <c r="V337" s="1" t="s">
        <v>15</v>
      </c>
      <c r="W337" s="1" t="s">
        <v>17</v>
      </c>
      <c r="X337" s="1" t="s">
        <v>111</v>
      </c>
      <c r="Y337" s="1"/>
      <c r="Z337" s="1" t="s">
        <v>2395</v>
      </c>
      <c r="AA337" s="1" t="s">
        <v>17</v>
      </c>
      <c r="AB337" s="1">
        <v>0</v>
      </c>
      <c r="AC337" s="1" t="s">
        <v>17</v>
      </c>
      <c r="AD337" t="s">
        <v>112</v>
      </c>
      <c r="AE337" t="s">
        <v>113</v>
      </c>
      <c r="AF337" t="s">
        <v>2395</v>
      </c>
      <c r="AG337" t="s">
        <v>114</v>
      </c>
      <c r="AH337" t="s">
        <v>2397</v>
      </c>
      <c r="AI337" t="s">
        <v>2398</v>
      </c>
      <c r="AJ337" t="s">
        <v>2399</v>
      </c>
      <c r="AK337" t="s">
        <v>179</v>
      </c>
      <c r="AL337" t="s">
        <v>137</v>
      </c>
      <c r="AM337" t="s">
        <v>117</v>
      </c>
      <c r="AN337" t="s">
        <v>320</v>
      </c>
      <c r="AO337" t="s">
        <v>321</v>
      </c>
      <c r="AP337" t="s">
        <v>119</v>
      </c>
      <c r="AQ337" t="s">
        <v>119</v>
      </c>
      <c r="AR337" t="s">
        <v>664</v>
      </c>
      <c r="AS337" t="s">
        <v>322</v>
      </c>
      <c r="AT337" t="s">
        <v>1342</v>
      </c>
    </row>
    <row r="338" spans="1:46">
      <c r="A338" s="1" t="s">
        <v>2451</v>
      </c>
      <c r="B338" s="1"/>
      <c r="C338" s="1" t="s">
        <v>2411</v>
      </c>
      <c r="D338" s="1" t="s">
        <v>42</v>
      </c>
      <c r="E338" s="1" t="s">
        <v>2402</v>
      </c>
      <c r="F338" s="1" t="s">
        <v>103</v>
      </c>
      <c r="G338" s="1" t="s">
        <v>582</v>
      </c>
      <c r="H338" s="1"/>
      <c r="I338" s="1" t="s">
        <v>2392</v>
      </c>
      <c r="J338" s="1" t="s">
        <v>2393</v>
      </c>
      <c r="K338" s="1" t="s">
        <v>253</v>
      </c>
      <c r="L338" s="9">
        <v>30658.240000000002</v>
      </c>
      <c r="M338" s="1"/>
      <c r="N338" s="1"/>
      <c r="O338" s="1"/>
      <c r="P338" s="1"/>
      <c r="Q338" s="1"/>
      <c r="R338" s="1"/>
      <c r="S338" s="9">
        <v>0</v>
      </c>
      <c r="T338" s="1">
        <v>30658.240000000002</v>
      </c>
      <c r="U338" s="1" t="s">
        <v>2404</v>
      </c>
      <c r="V338" s="1" t="s">
        <v>15</v>
      </c>
      <c r="W338" s="1" t="s">
        <v>17</v>
      </c>
      <c r="X338" s="1" t="s">
        <v>111</v>
      </c>
      <c r="Y338" s="1"/>
      <c r="Z338" s="1" t="s">
        <v>2413</v>
      </c>
      <c r="AA338" s="1" t="s">
        <v>17</v>
      </c>
      <c r="AB338" s="1">
        <v>0</v>
      </c>
      <c r="AC338" s="1" t="s">
        <v>17</v>
      </c>
      <c r="AD338" t="s">
        <v>112</v>
      </c>
      <c r="AE338" t="s">
        <v>231</v>
      </c>
      <c r="AF338" t="s">
        <v>2452</v>
      </c>
      <c r="AG338" t="s">
        <v>114</v>
      </c>
      <c r="AH338" t="s">
        <v>2453</v>
      </c>
      <c r="AI338" t="s">
        <v>2453</v>
      </c>
      <c r="AJ338" t="s">
        <v>135</v>
      </c>
      <c r="AK338" t="s">
        <v>233</v>
      </c>
      <c r="AL338" t="s">
        <v>137</v>
      </c>
      <c r="AM338" t="s">
        <v>117</v>
      </c>
      <c r="AN338" t="s">
        <v>2415</v>
      </c>
      <c r="AO338" t="s">
        <v>2428</v>
      </c>
      <c r="AP338" t="s">
        <v>119</v>
      </c>
      <c r="AQ338" t="s">
        <v>119</v>
      </c>
      <c r="AR338" t="s">
        <v>2415</v>
      </c>
      <c r="AS338" t="s">
        <v>2429</v>
      </c>
      <c r="AT338" t="s">
        <v>582</v>
      </c>
    </row>
    <row r="339" spans="1:46">
      <c r="A339" s="1" t="s">
        <v>2454</v>
      </c>
      <c r="B339" s="1"/>
      <c r="C339" s="1" t="s">
        <v>2401</v>
      </c>
      <c r="D339" s="1" t="s">
        <v>42</v>
      </c>
      <c r="E339" s="1" t="s">
        <v>2402</v>
      </c>
      <c r="F339" s="1" t="s">
        <v>103</v>
      </c>
      <c r="G339" s="1" t="s">
        <v>1342</v>
      </c>
      <c r="H339" s="1"/>
      <c r="I339" s="1" t="s">
        <v>2392</v>
      </c>
      <c r="J339" s="1" t="s">
        <v>2393</v>
      </c>
      <c r="K339" s="1" t="s">
        <v>129</v>
      </c>
      <c r="L339" s="9">
        <v>17174.509999999998</v>
      </c>
      <c r="M339" s="1"/>
      <c r="N339" s="1"/>
      <c r="O339" s="1"/>
      <c r="P339" s="1"/>
      <c r="Q339" s="1"/>
      <c r="R339" s="1"/>
      <c r="S339" s="9">
        <v>0</v>
      </c>
      <c r="T339" s="1">
        <v>17174.509999999998</v>
      </c>
      <c r="U339" s="1" t="s">
        <v>2404</v>
      </c>
      <c r="V339" s="1" t="s">
        <v>15</v>
      </c>
      <c r="W339" s="1" t="s">
        <v>17</v>
      </c>
      <c r="X339" s="1" t="s">
        <v>111</v>
      </c>
      <c r="Y339" s="1"/>
      <c r="Z339" s="1" t="s">
        <v>2382</v>
      </c>
      <c r="AA339" s="1" t="s">
        <v>17</v>
      </c>
      <c r="AB339" s="1">
        <v>0</v>
      </c>
      <c r="AC339" s="1" t="s">
        <v>17</v>
      </c>
      <c r="AD339" t="s">
        <v>112</v>
      </c>
      <c r="AE339" t="s">
        <v>113</v>
      </c>
      <c r="AF339" t="s">
        <v>2455</v>
      </c>
      <c r="AG339" t="s">
        <v>114</v>
      </c>
      <c r="AH339" t="s">
        <v>2398</v>
      </c>
      <c r="AI339" t="s">
        <v>2398</v>
      </c>
      <c r="AJ339" t="s">
        <v>2399</v>
      </c>
      <c r="AK339" t="s">
        <v>179</v>
      </c>
      <c r="AL339" t="s">
        <v>137</v>
      </c>
      <c r="AM339" t="s">
        <v>117</v>
      </c>
      <c r="AN339" t="s">
        <v>320</v>
      </c>
      <c r="AO339" t="s">
        <v>2386</v>
      </c>
      <c r="AP339" t="s">
        <v>119</v>
      </c>
      <c r="AQ339" t="s">
        <v>119</v>
      </c>
      <c r="AR339" t="s">
        <v>664</v>
      </c>
      <c r="AS339" t="s">
        <v>2387</v>
      </c>
      <c r="AT339" t="s">
        <v>1342</v>
      </c>
    </row>
    <row r="340" spans="1:46">
      <c r="A340" s="1" t="s">
        <v>2456</v>
      </c>
      <c r="B340" s="1"/>
      <c r="C340" s="1" t="s">
        <v>2378</v>
      </c>
      <c r="D340" s="1" t="s">
        <v>42</v>
      </c>
      <c r="E340" s="1" t="s">
        <v>42</v>
      </c>
      <c r="F340" s="1" t="s">
        <v>103</v>
      </c>
      <c r="G340" s="1" t="s">
        <v>2259</v>
      </c>
      <c r="H340" s="1"/>
      <c r="I340" s="1" t="s">
        <v>2379</v>
      </c>
      <c r="J340" s="1" t="s">
        <v>2380</v>
      </c>
      <c r="K340" s="1"/>
      <c r="L340" s="9">
        <v>34443.199999999997</v>
      </c>
      <c r="M340" s="1"/>
      <c r="N340" s="1"/>
      <c r="O340" s="1"/>
      <c r="P340" s="1"/>
      <c r="Q340" s="1"/>
      <c r="R340" s="1"/>
      <c r="S340" s="9">
        <v>0</v>
      </c>
      <c r="T340" s="1">
        <v>34443.199999999997</v>
      </c>
      <c r="U340" s="1" t="s">
        <v>2381</v>
      </c>
      <c r="V340" s="1" t="s">
        <v>15</v>
      </c>
      <c r="W340" s="1" t="s">
        <v>17</v>
      </c>
      <c r="X340" s="1" t="s">
        <v>111</v>
      </c>
      <c r="Y340" s="1"/>
      <c r="Z340" s="1" t="s">
        <v>2434</v>
      </c>
      <c r="AA340" s="1" t="s">
        <v>17</v>
      </c>
      <c r="AB340" s="1">
        <v>0</v>
      </c>
      <c r="AC340" s="1" t="s">
        <v>17</v>
      </c>
      <c r="AD340" t="s">
        <v>112</v>
      </c>
      <c r="AE340" t="s">
        <v>231</v>
      </c>
      <c r="AF340" t="s">
        <v>2434</v>
      </c>
      <c r="AG340" t="s">
        <v>114</v>
      </c>
      <c r="AH340" t="s">
        <v>17</v>
      </c>
      <c r="AI340" t="s">
        <v>17</v>
      </c>
      <c r="AJ340" t="s">
        <v>17</v>
      </c>
      <c r="AK340" t="s">
        <v>233</v>
      </c>
      <c r="AL340" t="s">
        <v>17</v>
      </c>
      <c r="AM340" t="s">
        <v>117</v>
      </c>
      <c r="AN340" t="s">
        <v>2259</v>
      </c>
      <c r="AO340" t="s">
        <v>2437</v>
      </c>
      <c r="AP340" t="s">
        <v>119</v>
      </c>
      <c r="AQ340" t="s">
        <v>119</v>
      </c>
      <c r="AR340" t="s">
        <v>2259</v>
      </c>
      <c r="AS340" t="s">
        <v>2438</v>
      </c>
      <c r="AT340" t="s">
        <v>2259</v>
      </c>
    </row>
    <row r="341" spans="1:46">
      <c r="A341" s="1" t="s">
        <v>2457</v>
      </c>
      <c r="B341" s="1"/>
      <c r="C341" s="1" t="s">
        <v>2378</v>
      </c>
      <c r="D341" s="1" t="s">
        <v>42</v>
      </c>
      <c r="E341" s="1" t="s">
        <v>42</v>
      </c>
      <c r="F341" s="1" t="s">
        <v>103</v>
      </c>
      <c r="G341" s="1" t="s">
        <v>320</v>
      </c>
      <c r="H341" s="1"/>
      <c r="I341" s="1" t="s">
        <v>2379</v>
      </c>
      <c r="J341" s="1" t="s">
        <v>2380</v>
      </c>
      <c r="K341" s="1"/>
      <c r="L341" s="9">
        <v>17174.509999999998</v>
      </c>
      <c r="M341" s="1"/>
      <c r="N341" s="1"/>
      <c r="O341" s="1"/>
      <c r="P341" s="1"/>
      <c r="Q341" s="1"/>
      <c r="R341" s="1"/>
      <c r="S341" s="9">
        <v>0</v>
      </c>
      <c r="T341" s="1">
        <v>17174.509999999998</v>
      </c>
      <c r="U341" s="1" t="s">
        <v>2381</v>
      </c>
      <c r="V341" s="1" t="s">
        <v>15</v>
      </c>
      <c r="W341" s="1" t="s">
        <v>17</v>
      </c>
      <c r="X341" s="1" t="s">
        <v>111</v>
      </c>
      <c r="Y341" s="1"/>
      <c r="Z341" s="1" t="s">
        <v>2384</v>
      </c>
      <c r="AA341" s="1" t="s">
        <v>17</v>
      </c>
      <c r="AB341" s="1">
        <v>0</v>
      </c>
      <c r="AC341" s="1" t="s">
        <v>17</v>
      </c>
      <c r="AD341" t="s">
        <v>112</v>
      </c>
      <c r="AE341" t="s">
        <v>113</v>
      </c>
      <c r="AF341" t="s">
        <v>2384</v>
      </c>
      <c r="AG341" t="s">
        <v>114</v>
      </c>
      <c r="AH341" t="s">
        <v>17</v>
      </c>
      <c r="AI341" t="s">
        <v>17</v>
      </c>
      <c r="AJ341" t="s">
        <v>17</v>
      </c>
      <c r="AK341" t="s">
        <v>179</v>
      </c>
      <c r="AL341" t="s">
        <v>17</v>
      </c>
      <c r="AM341" t="s">
        <v>117</v>
      </c>
      <c r="AN341" t="s">
        <v>320</v>
      </c>
      <c r="AO341" t="s">
        <v>2386</v>
      </c>
      <c r="AP341" t="s">
        <v>119</v>
      </c>
      <c r="AQ341" t="s">
        <v>119</v>
      </c>
      <c r="AR341" t="s">
        <v>664</v>
      </c>
      <c r="AS341" t="s">
        <v>2387</v>
      </c>
      <c r="AT341" t="s">
        <v>320</v>
      </c>
    </row>
    <row r="342" spans="1:46">
      <c r="A342" s="1" t="s">
        <v>2458</v>
      </c>
      <c r="B342" s="1"/>
      <c r="C342" s="1" t="s">
        <v>2378</v>
      </c>
      <c r="D342" s="1" t="s">
        <v>42</v>
      </c>
      <c r="E342" s="1" t="s">
        <v>42</v>
      </c>
      <c r="F342" s="1" t="s">
        <v>103</v>
      </c>
      <c r="G342" s="1" t="s">
        <v>2259</v>
      </c>
      <c r="H342" s="1"/>
      <c r="I342" s="1" t="s">
        <v>2379</v>
      </c>
      <c r="J342" s="1" t="s">
        <v>2380</v>
      </c>
      <c r="K342" s="1"/>
      <c r="L342" s="9">
        <v>-34443.199999999997</v>
      </c>
      <c r="M342" s="1"/>
      <c r="N342" s="1"/>
      <c r="O342" s="1"/>
      <c r="P342" s="1"/>
      <c r="Q342" s="1"/>
      <c r="R342" s="1"/>
      <c r="S342" s="9">
        <v>0</v>
      </c>
      <c r="T342" s="1">
        <v>-34443.199999999997</v>
      </c>
      <c r="U342" s="1" t="s">
        <v>2381</v>
      </c>
      <c r="V342" s="1" t="s">
        <v>15</v>
      </c>
      <c r="W342" s="1" t="s">
        <v>17</v>
      </c>
      <c r="X342" s="1" t="s">
        <v>111</v>
      </c>
      <c r="Y342" s="1"/>
      <c r="Z342" s="1" t="s">
        <v>2434</v>
      </c>
      <c r="AA342" s="1" t="s">
        <v>17</v>
      </c>
      <c r="AB342" s="1">
        <v>0</v>
      </c>
      <c r="AC342" s="1" t="s">
        <v>17</v>
      </c>
      <c r="AD342" t="s">
        <v>112</v>
      </c>
      <c r="AE342" t="s">
        <v>231</v>
      </c>
      <c r="AF342" t="s">
        <v>2434</v>
      </c>
      <c r="AG342" t="s">
        <v>114</v>
      </c>
      <c r="AH342" t="s">
        <v>17</v>
      </c>
      <c r="AI342" t="s">
        <v>17</v>
      </c>
      <c r="AJ342" t="s">
        <v>17</v>
      </c>
      <c r="AK342" t="s">
        <v>233</v>
      </c>
      <c r="AL342" t="s">
        <v>17</v>
      </c>
      <c r="AM342" t="s">
        <v>117</v>
      </c>
      <c r="AN342" t="s">
        <v>2259</v>
      </c>
      <c r="AO342" t="s">
        <v>2254</v>
      </c>
      <c r="AP342" t="s">
        <v>119</v>
      </c>
      <c r="AQ342" t="s">
        <v>119</v>
      </c>
      <c r="AR342" t="s">
        <v>2259</v>
      </c>
      <c r="AS342" t="s">
        <v>2255</v>
      </c>
      <c r="AT342" t="s">
        <v>2259</v>
      </c>
    </row>
    <row r="343" spans="1:46">
      <c r="A343" s="1" t="s">
        <v>2459</v>
      </c>
      <c r="B343" s="1"/>
      <c r="C343" s="1" t="s">
        <v>2460</v>
      </c>
      <c r="D343" s="1" t="s">
        <v>42</v>
      </c>
      <c r="E343" s="1" t="s">
        <v>42</v>
      </c>
      <c r="F343" s="1" t="s">
        <v>103</v>
      </c>
      <c r="G343" s="1" t="s">
        <v>1911</v>
      </c>
      <c r="H343" s="1" t="s">
        <v>2461</v>
      </c>
      <c r="I343" s="1" t="s">
        <v>127</v>
      </c>
      <c r="J343" s="1" t="s">
        <v>128</v>
      </c>
      <c r="K343" s="1" t="s">
        <v>129</v>
      </c>
      <c r="L343" s="9">
        <v>-15289.51</v>
      </c>
      <c r="M343" s="1"/>
      <c r="N343" s="1"/>
      <c r="O343" s="1"/>
      <c r="P343" s="1"/>
      <c r="Q343" s="1"/>
      <c r="R343" s="1"/>
      <c r="S343" s="9">
        <v>0</v>
      </c>
      <c r="T343" s="1">
        <v>-15289.51</v>
      </c>
      <c r="U343" s="1" t="s">
        <v>2421</v>
      </c>
      <c r="V343" s="1" t="s">
        <v>15</v>
      </c>
      <c r="W343" s="1" t="s">
        <v>17</v>
      </c>
      <c r="X343" s="1" t="s">
        <v>111</v>
      </c>
      <c r="Y343" s="1"/>
      <c r="Z343" s="1" t="s">
        <v>2389</v>
      </c>
      <c r="AA343" s="1" t="s">
        <v>17</v>
      </c>
      <c r="AB343" s="1">
        <v>0</v>
      </c>
      <c r="AC343" s="1" t="s">
        <v>17</v>
      </c>
      <c r="AD343" t="s">
        <v>112</v>
      </c>
      <c r="AE343" t="s">
        <v>113</v>
      </c>
      <c r="AF343" t="s">
        <v>2462</v>
      </c>
      <c r="AG343" t="s">
        <v>114</v>
      </c>
      <c r="AH343" t="s">
        <v>2461</v>
      </c>
      <c r="AI343" t="s">
        <v>1909</v>
      </c>
      <c r="AJ343" t="s">
        <v>135</v>
      </c>
      <c r="AK343" t="s">
        <v>663</v>
      </c>
      <c r="AL343" t="s">
        <v>137</v>
      </c>
      <c r="AM343" t="s">
        <v>117</v>
      </c>
      <c r="AN343" t="s">
        <v>664</v>
      </c>
      <c r="AO343" t="s">
        <v>429</v>
      </c>
      <c r="AP343" t="s">
        <v>119</v>
      </c>
      <c r="AQ343" t="s">
        <v>119</v>
      </c>
      <c r="AR343" t="s">
        <v>664</v>
      </c>
      <c r="AS343" t="s">
        <v>430</v>
      </c>
      <c r="AT343" t="s">
        <v>1911</v>
      </c>
    </row>
    <row r="344" spans="1:46">
      <c r="A344" s="1" t="s">
        <v>2463</v>
      </c>
      <c r="B344" s="1"/>
      <c r="C344" s="1" t="s">
        <v>2417</v>
      </c>
      <c r="D344" s="1" t="s">
        <v>42</v>
      </c>
      <c r="E344" s="1" t="s">
        <v>42</v>
      </c>
      <c r="F344" s="1" t="s">
        <v>103</v>
      </c>
      <c r="G344" s="1" t="s">
        <v>2418</v>
      </c>
      <c r="H344" s="1" t="s">
        <v>2464</v>
      </c>
      <c r="I344" s="1" t="s">
        <v>127</v>
      </c>
      <c r="J344" s="1" t="s">
        <v>128</v>
      </c>
      <c r="K344" s="1" t="s">
        <v>129</v>
      </c>
      <c r="L344" s="9">
        <v>16755.62</v>
      </c>
      <c r="M344" s="1"/>
      <c r="N344" s="1"/>
      <c r="O344" s="1"/>
      <c r="P344" s="1"/>
      <c r="Q344" s="1"/>
      <c r="R344" s="1"/>
      <c r="S344" s="9">
        <v>0</v>
      </c>
      <c r="T344" s="1">
        <v>16755.62</v>
      </c>
      <c r="U344" s="1" t="s">
        <v>2421</v>
      </c>
      <c r="V344" s="1" t="s">
        <v>15</v>
      </c>
      <c r="W344" s="1" t="s">
        <v>17</v>
      </c>
      <c r="X344" s="1" t="s">
        <v>111</v>
      </c>
      <c r="Y344" s="1"/>
      <c r="Z344" s="1" t="s">
        <v>2422</v>
      </c>
      <c r="AA344" s="1" t="s">
        <v>17</v>
      </c>
      <c r="AB344" s="1">
        <v>0</v>
      </c>
      <c r="AC344" s="1" t="s">
        <v>17</v>
      </c>
      <c r="AD344" t="s">
        <v>112</v>
      </c>
      <c r="AE344" t="s">
        <v>113</v>
      </c>
      <c r="AF344" t="s">
        <v>2465</v>
      </c>
      <c r="AG344" t="s">
        <v>114</v>
      </c>
      <c r="AH344" t="s">
        <v>2464</v>
      </c>
      <c r="AI344" t="s">
        <v>1210</v>
      </c>
      <c r="AJ344" t="s">
        <v>135</v>
      </c>
      <c r="AK344" t="s">
        <v>663</v>
      </c>
      <c r="AL344" t="s">
        <v>137</v>
      </c>
      <c r="AM344" t="s">
        <v>17</v>
      </c>
      <c r="AN344" t="s">
        <v>1213</v>
      </c>
      <c r="AO344" t="s">
        <v>207</v>
      </c>
      <c r="AP344" t="s">
        <v>119</v>
      </c>
      <c r="AQ344" t="s">
        <v>119</v>
      </c>
      <c r="AR344" t="s">
        <v>1213</v>
      </c>
      <c r="AS344" t="s">
        <v>208</v>
      </c>
      <c r="AT344" t="s">
        <v>1209</v>
      </c>
    </row>
    <row r="345" spans="1:46">
      <c r="A345" s="1" t="s">
        <v>2466</v>
      </c>
      <c r="B345" s="1"/>
      <c r="C345" s="1" t="s">
        <v>2378</v>
      </c>
      <c r="D345" s="1" t="s">
        <v>42</v>
      </c>
      <c r="E345" s="1" t="s">
        <v>42</v>
      </c>
      <c r="F345" s="1" t="s">
        <v>103</v>
      </c>
      <c r="G345" s="1" t="s">
        <v>2259</v>
      </c>
      <c r="H345" s="1"/>
      <c r="I345" s="1" t="s">
        <v>2379</v>
      </c>
      <c r="J345" s="1" t="s">
        <v>2380</v>
      </c>
      <c r="K345" s="1"/>
      <c r="L345" s="9">
        <v>-15289.51</v>
      </c>
      <c r="M345" s="1"/>
      <c r="N345" s="1"/>
      <c r="O345" s="1"/>
      <c r="P345" s="1"/>
      <c r="Q345" s="1"/>
      <c r="R345" s="1"/>
      <c r="S345" s="9">
        <v>0</v>
      </c>
      <c r="T345" s="1">
        <v>-15289.51</v>
      </c>
      <c r="U345" s="1" t="s">
        <v>2381</v>
      </c>
      <c r="V345" s="1" t="s">
        <v>15</v>
      </c>
      <c r="W345" s="1" t="s">
        <v>17</v>
      </c>
      <c r="X345" s="1" t="s">
        <v>111</v>
      </c>
      <c r="Y345" s="1"/>
      <c r="Z345" s="1" t="s">
        <v>2408</v>
      </c>
      <c r="AA345" s="1" t="s">
        <v>17</v>
      </c>
      <c r="AB345" s="1">
        <v>0</v>
      </c>
      <c r="AC345" s="1" t="s">
        <v>17</v>
      </c>
      <c r="AD345" t="s">
        <v>112</v>
      </c>
      <c r="AE345" t="s">
        <v>113</v>
      </c>
      <c r="AF345" t="s">
        <v>2408</v>
      </c>
      <c r="AG345" t="s">
        <v>114</v>
      </c>
      <c r="AH345" t="s">
        <v>17</v>
      </c>
      <c r="AI345" t="s">
        <v>17</v>
      </c>
      <c r="AJ345" t="s">
        <v>17</v>
      </c>
      <c r="AK345" t="s">
        <v>233</v>
      </c>
      <c r="AL345" t="s">
        <v>17</v>
      </c>
      <c r="AM345" t="s">
        <v>117</v>
      </c>
      <c r="AN345" t="s">
        <v>2259</v>
      </c>
      <c r="AO345" t="s">
        <v>429</v>
      </c>
      <c r="AP345" t="s">
        <v>119</v>
      </c>
      <c r="AQ345" t="s">
        <v>119</v>
      </c>
      <c r="AR345" t="s">
        <v>2259</v>
      </c>
      <c r="AS345" t="s">
        <v>430</v>
      </c>
      <c r="AT345" t="s">
        <v>2259</v>
      </c>
    </row>
    <row r="346" spans="1:46">
      <c r="A346" s="1" t="s">
        <v>2467</v>
      </c>
      <c r="B346" s="1"/>
      <c r="C346" s="1" t="s">
        <v>2378</v>
      </c>
      <c r="D346" s="1" t="s">
        <v>42</v>
      </c>
      <c r="E346" s="1" t="s">
        <v>42</v>
      </c>
      <c r="F346" s="1" t="s">
        <v>103</v>
      </c>
      <c r="G346" s="1" t="s">
        <v>2415</v>
      </c>
      <c r="H346" s="1"/>
      <c r="I346" s="1" t="s">
        <v>2379</v>
      </c>
      <c r="J346" s="1" t="s">
        <v>2380</v>
      </c>
      <c r="K346" s="1"/>
      <c r="L346" s="9">
        <v>-30658.240000000002</v>
      </c>
      <c r="M346" s="1"/>
      <c r="N346" s="1"/>
      <c r="O346" s="1"/>
      <c r="P346" s="1"/>
      <c r="Q346" s="1"/>
      <c r="R346" s="1"/>
      <c r="S346" s="9">
        <v>0</v>
      </c>
      <c r="T346" s="1">
        <v>-30658.240000000002</v>
      </c>
      <c r="U346" s="1" t="s">
        <v>2381</v>
      </c>
      <c r="V346" s="1" t="s">
        <v>15</v>
      </c>
      <c r="W346" s="1" t="s">
        <v>17</v>
      </c>
      <c r="X346" s="1" t="s">
        <v>111</v>
      </c>
      <c r="Y346" s="1"/>
      <c r="Z346" s="1" t="s">
        <v>2413</v>
      </c>
      <c r="AA346" s="1" t="s">
        <v>17</v>
      </c>
      <c r="AB346" s="1">
        <v>0</v>
      </c>
      <c r="AC346" s="1" t="s">
        <v>17</v>
      </c>
      <c r="AD346" t="s">
        <v>112</v>
      </c>
      <c r="AE346" t="s">
        <v>231</v>
      </c>
      <c r="AF346" t="s">
        <v>2413</v>
      </c>
      <c r="AG346" t="s">
        <v>114</v>
      </c>
      <c r="AH346" t="s">
        <v>17</v>
      </c>
      <c r="AI346" t="s">
        <v>17</v>
      </c>
      <c r="AJ346" t="s">
        <v>17</v>
      </c>
      <c r="AK346" t="s">
        <v>233</v>
      </c>
      <c r="AL346" t="s">
        <v>17</v>
      </c>
      <c r="AM346" t="s">
        <v>117</v>
      </c>
      <c r="AN346" t="s">
        <v>2415</v>
      </c>
      <c r="AO346" t="s">
        <v>587</v>
      </c>
      <c r="AP346" t="s">
        <v>119</v>
      </c>
      <c r="AQ346" t="s">
        <v>119</v>
      </c>
      <c r="AR346" t="s">
        <v>2415</v>
      </c>
      <c r="AS346" t="s">
        <v>588</v>
      </c>
      <c r="AT346" t="s">
        <v>2415</v>
      </c>
    </row>
    <row r="347" spans="1:46">
      <c r="A347" s="1" t="s">
        <v>2468</v>
      </c>
      <c r="B347" s="1"/>
      <c r="C347" s="1" t="s">
        <v>2469</v>
      </c>
      <c r="D347" s="1" t="s">
        <v>42</v>
      </c>
      <c r="E347" s="1" t="s">
        <v>42</v>
      </c>
      <c r="F347" s="1" t="s">
        <v>103</v>
      </c>
      <c r="G347" s="1" t="s">
        <v>2470</v>
      </c>
      <c r="H347" s="1" t="s">
        <v>2471</v>
      </c>
      <c r="I347" s="1" t="s">
        <v>127</v>
      </c>
      <c r="J347" s="1" t="s">
        <v>128</v>
      </c>
      <c r="K347" s="1" t="s">
        <v>1161</v>
      </c>
      <c r="L347" s="9">
        <v>11519</v>
      </c>
      <c r="M347" s="1"/>
      <c r="N347" s="1"/>
      <c r="O347" s="1"/>
      <c r="P347" s="1"/>
      <c r="Q347" s="1"/>
      <c r="R347" s="1"/>
      <c r="S347" s="9">
        <v>0</v>
      </c>
      <c r="T347" s="1">
        <v>11519</v>
      </c>
      <c r="U347" s="1" t="s">
        <v>2421</v>
      </c>
      <c r="V347" s="1" t="s">
        <v>15</v>
      </c>
      <c r="W347" s="1" t="s">
        <v>17</v>
      </c>
      <c r="X347" s="1" t="s">
        <v>111</v>
      </c>
      <c r="Y347" s="1"/>
      <c r="Z347" s="1" t="s">
        <v>2443</v>
      </c>
      <c r="AA347" s="1" t="s">
        <v>17</v>
      </c>
      <c r="AB347" s="1">
        <v>0</v>
      </c>
      <c r="AC347" s="1" t="s">
        <v>17</v>
      </c>
      <c r="AD347" t="s">
        <v>112</v>
      </c>
      <c r="AE347" t="s">
        <v>113</v>
      </c>
      <c r="AF347" t="s">
        <v>2472</v>
      </c>
      <c r="AG347" t="s">
        <v>114</v>
      </c>
      <c r="AH347" t="s">
        <v>2471</v>
      </c>
      <c r="AI347" t="s">
        <v>1915</v>
      </c>
      <c r="AJ347" t="s">
        <v>149</v>
      </c>
      <c r="AK347" t="s">
        <v>161</v>
      </c>
      <c r="AL347" t="s">
        <v>137</v>
      </c>
      <c r="AM347" t="s">
        <v>17</v>
      </c>
      <c r="AN347" t="s">
        <v>157</v>
      </c>
      <c r="AO347" t="s">
        <v>2444</v>
      </c>
      <c r="AP347" t="s">
        <v>119</v>
      </c>
      <c r="AQ347" t="s">
        <v>119</v>
      </c>
      <c r="AR347" t="s">
        <v>157</v>
      </c>
      <c r="AS347" t="s">
        <v>2445</v>
      </c>
      <c r="AT347" t="s">
        <v>1159</v>
      </c>
    </row>
    <row r="348" spans="1:46">
      <c r="A348" s="1" t="s">
        <v>2473</v>
      </c>
      <c r="B348" s="1"/>
      <c r="C348" s="1" t="s">
        <v>2469</v>
      </c>
      <c r="D348" s="1" t="s">
        <v>42</v>
      </c>
      <c r="E348" s="1" t="s">
        <v>42</v>
      </c>
      <c r="F348" s="1" t="s">
        <v>103</v>
      </c>
      <c r="G348" s="1" t="s">
        <v>2470</v>
      </c>
      <c r="H348" s="1" t="s">
        <v>2471</v>
      </c>
      <c r="I348" s="1" t="s">
        <v>127</v>
      </c>
      <c r="J348" s="1" t="s">
        <v>128</v>
      </c>
      <c r="K348" s="1" t="s">
        <v>1161</v>
      </c>
      <c r="L348" s="9">
        <v>-11519</v>
      </c>
      <c r="M348" s="1"/>
      <c r="N348" s="1"/>
      <c r="O348" s="1"/>
      <c r="P348" s="1"/>
      <c r="Q348" s="1"/>
      <c r="R348" s="1"/>
      <c r="S348" s="9">
        <v>0</v>
      </c>
      <c r="T348" s="1">
        <v>-11519</v>
      </c>
      <c r="U348" s="1" t="s">
        <v>2421</v>
      </c>
      <c r="V348" s="1" t="s">
        <v>15</v>
      </c>
      <c r="W348" s="1" t="s">
        <v>17</v>
      </c>
      <c r="X348" s="1" t="s">
        <v>111</v>
      </c>
      <c r="Y348" s="1"/>
      <c r="Z348" s="1" t="s">
        <v>2443</v>
      </c>
      <c r="AA348" s="1" t="s">
        <v>17</v>
      </c>
      <c r="AB348" s="1">
        <v>0</v>
      </c>
      <c r="AC348" s="1" t="s">
        <v>17</v>
      </c>
      <c r="AD348" t="s">
        <v>112</v>
      </c>
      <c r="AE348" t="s">
        <v>113</v>
      </c>
      <c r="AF348" t="s">
        <v>2474</v>
      </c>
      <c r="AG348" t="s">
        <v>114</v>
      </c>
      <c r="AH348" t="s">
        <v>2471</v>
      </c>
      <c r="AI348" t="s">
        <v>1915</v>
      </c>
      <c r="AJ348" t="s">
        <v>149</v>
      </c>
      <c r="AK348" t="s">
        <v>161</v>
      </c>
      <c r="AL348" t="s">
        <v>137</v>
      </c>
      <c r="AM348" t="s">
        <v>117</v>
      </c>
      <c r="AN348" t="s">
        <v>157</v>
      </c>
      <c r="AO348" t="s">
        <v>1917</v>
      </c>
      <c r="AP348" t="s">
        <v>119</v>
      </c>
      <c r="AQ348" t="s">
        <v>119</v>
      </c>
      <c r="AR348" t="s">
        <v>157</v>
      </c>
      <c r="AS348" t="s">
        <v>1918</v>
      </c>
      <c r="AT348" t="s">
        <v>1159</v>
      </c>
    </row>
    <row r="349" spans="1:46">
      <c r="A349" s="1" t="s">
        <v>2475</v>
      </c>
      <c r="B349" s="1"/>
      <c r="C349" s="1" t="s">
        <v>2378</v>
      </c>
      <c r="D349" s="1" t="s">
        <v>42</v>
      </c>
      <c r="E349" s="1" t="s">
        <v>42</v>
      </c>
      <c r="F349" s="1" t="s">
        <v>103</v>
      </c>
      <c r="G349" s="1" t="s">
        <v>157</v>
      </c>
      <c r="H349" s="1"/>
      <c r="I349" s="1" t="s">
        <v>2379</v>
      </c>
      <c r="J349" s="1" t="s">
        <v>2380</v>
      </c>
      <c r="K349" s="1"/>
      <c r="L349" s="9">
        <v>-11519</v>
      </c>
      <c r="M349" s="1"/>
      <c r="N349" s="1"/>
      <c r="O349" s="1"/>
      <c r="P349" s="1"/>
      <c r="Q349" s="1"/>
      <c r="R349" s="1"/>
      <c r="S349" s="9">
        <v>0</v>
      </c>
      <c r="T349" s="1">
        <v>-11519</v>
      </c>
      <c r="U349" s="1" t="s">
        <v>2381</v>
      </c>
      <c r="V349" s="1" t="s">
        <v>15</v>
      </c>
      <c r="W349" s="1" t="s">
        <v>17</v>
      </c>
      <c r="X349" s="1" t="s">
        <v>111</v>
      </c>
      <c r="Y349" s="1"/>
      <c r="Z349" s="1" t="s">
        <v>2443</v>
      </c>
      <c r="AA349" s="1" t="s">
        <v>17</v>
      </c>
      <c r="AB349" s="1">
        <v>0</v>
      </c>
      <c r="AC349" s="1" t="s">
        <v>17</v>
      </c>
      <c r="AD349" t="s">
        <v>112</v>
      </c>
      <c r="AE349" t="s">
        <v>113</v>
      </c>
      <c r="AF349" t="s">
        <v>2443</v>
      </c>
      <c r="AG349" t="s">
        <v>114</v>
      </c>
      <c r="AH349" t="s">
        <v>17</v>
      </c>
      <c r="AI349" t="s">
        <v>17</v>
      </c>
      <c r="AJ349" t="s">
        <v>17</v>
      </c>
      <c r="AK349" t="s">
        <v>161</v>
      </c>
      <c r="AL349" t="s">
        <v>17</v>
      </c>
      <c r="AM349" t="s">
        <v>17</v>
      </c>
      <c r="AN349" t="s">
        <v>157</v>
      </c>
      <c r="AO349" t="s">
        <v>1917</v>
      </c>
      <c r="AP349" t="s">
        <v>119</v>
      </c>
      <c r="AQ349" t="s">
        <v>119</v>
      </c>
      <c r="AR349" t="s">
        <v>157</v>
      </c>
      <c r="AS349" t="s">
        <v>1918</v>
      </c>
      <c r="AT349" t="s">
        <v>157</v>
      </c>
    </row>
    <row r="350" spans="1:46">
      <c r="A350" s="1" t="s">
        <v>2476</v>
      </c>
      <c r="B350" s="1"/>
      <c r="C350" s="1" t="s">
        <v>17</v>
      </c>
      <c r="D350" s="1" t="s">
        <v>44</v>
      </c>
      <c r="E350" s="1" t="s">
        <v>2477</v>
      </c>
      <c r="F350" s="1" t="s">
        <v>103</v>
      </c>
      <c r="G350" s="1" t="s">
        <v>2478</v>
      </c>
      <c r="H350" s="1" t="s">
        <v>2479</v>
      </c>
      <c r="I350" s="1" t="s">
        <v>127</v>
      </c>
      <c r="J350" s="1" t="s">
        <v>128</v>
      </c>
      <c r="K350" s="1" t="s">
        <v>129</v>
      </c>
      <c r="L350" s="9">
        <v>-18431.189999999999</v>
      </c>
      <c r="M350" s="1"/>
      <c r="N350" s="1"/>
      <c r="O350" s="1"/>
      <c r="P350" s="1"/>
      <c r="Q350" s="1"/>
      <c r="R350" s="1"/>
      <c r="S350" s="9">
        <v>0</v>
      </c>
      <c r="T350" s="1">
        <v>-18431.189999999999</v>
      </c>
      <c r="U350" s="1" t="s">
        <v>2480</v>
      </c>
      <c r="V350" s="1" t="s">
        <v>15</v>
      </c>
      <c r="W350" s="1" t="s">
        <v>17</v>
      </c>
      <c r="X350" s="1" t="s">
        <v>111</v>
      </c>
      <c r="Y350" s="1"/>
      <c r="Z350" s="1" t="s">
        <v>306</v>
      </c>
      <c r="AA350" s="1" t="s">
        <v>17</v>
      </c>
      <c r="AB350" s="1">
        <v>0</v>
      </c>
      <c r="AC350" s="1" t="s">
        <v>17</v>
      </c>
      <c r="AD350" t="s">
        <v>112</v>
      </c>
      <c r="AE350" t="s">
        <v>113</v>
      </c>
      <c r="AF350" t="s">
        <v>2481</v>
      </c>
      <c r="AG350" t="s">
        <v>114</v>
      </c>
      <c r="AH350" t="s">
        <v>2479</v>
      </c>
      <c r="AI350" t="s">
        <v>2479</v>
      </c>
      <c r="AJ350" t="s">
        <v>149</v>
      </c>
      <c r="AK350" t="s">
        <v>308</v>
      </c>
      <c r="AL350" t="s">
        <v>137</v>
      </c>
      <c r="AM350" t="s">
        <v>117</v>
      </c>
      <c r="AN350" t="s">
        <v>646</v>
      </c>
      <c r="AO350" t="s">
        <v>376</v>
      </c>
      <c r="AP350" t="s">
        <v>119</v>
      </c>
      <c r="AQ350" t="s">
        <v>119</v>
      </c>
      <c r="AR350" t="s">
        <v>646</v>
      </c>
      <c r="AS350" t="s">
        <v>377</v>
      </c>
      <c r="AT350" t="s">
        <v>2482</v>
      </c>
    </row>
    <row r="351" spans="1:46">
      <c r="A351" s="1" t="s">
        <v>2483</v>
      </c>
      <c r="B351" s="1"/>
      <c r="C351" s="1" t="s">
        <v>2433</v>
      </c>
      <c r="D351" s="1" t="s">
        <v>42</v>
      </c>
      <c r="E351" s="1" t="s">
        <v>2402</v>
      </c>
      <c r="F351" s="1" t="s">
        <v>103</v>
      </c>
      <c r="G351" s="1" t="s">
        <v>2251</v>
      </c>
      <c r="H351" s="1" t="s">
        <v>2252</v>
      </c>
      <c r="I351" s="1" t="s">
        <v>127</v>
      </c>
      <c r="J351" s="1" t="s">
        <v>1344</v>
      </c>
      <c r="K351" s="1" t="s">
        <v>253</v>
      </c>
      <c r="L351" s="9">
        <v>-34443.199999999997</v>
      </c>
      <c r="M351" s="1"/>
      <c r="N351" s="1"/>
      <c r="O351" s="1"/>
      <c r="P351" s="1"/>
      <c r="Q351" s="1"/>
      <c r="R351" s="1"/>
      <c r="S351" s="9">
        <v>0</v>
      </c>
      <c r="T351" s="1">
        <v>-34443.199999999997</v>
      </c>
      <c r="U351" s="1" t="s">
        <v>2404</v>
      </c>
      <c r="V351" s="1" t="s">
        <v>15</v>
      </c>
      <c r="W351" s="1" t="s">
        <v>17</v>
      </c>
      <c r="X351" s="1" t="s">
        <v>111</v>
      </c>
      <c r="Y351" s="1"/>
      <c r="Z351" s="1" t="s">
        <v>2434</v>
      </c>
      <c r="AA351" s="1" t="s">
        <v>17</v>
      </c>
      <c r="AB351" s="1">
        <v>0</v>
      </c>
      <c r="AC351" s="1" t="s">
        <v>17</v>
      </c>
      <c r="AD351" t="s">
        <v>112</v>
      </c>
      <c r="AE351" t="s">
        <v>231</v>
      </c>
      <c r="AF351" t="s">
        <v>2484</v>
      </c>
      <c r="AG351" t="s">
        <v>114</v>
      </c>
      <c r="AH351" t="s">
        <v>2252</v>
      </c>
      <c r="AI351" t="s">
        <v>2252</v>
      </c>
      <c r="AJ351" t="s">
        <v>135</v>
      </c>
      <c r="AK351" t="s">
        <v>233</v>
      </c>
      <c r="AL351" t="s">
        <v>137</v>
      </c>
      <c r="AM351" t="s">
        <v>117</v>
      </c>
      <c r="AN351" t="s">
        <v>2259</v>
      </c>
      <c r="AO351" t="s">
        <v>2254</v>
      </c>
      <c r="AP351" t="s">
        <v>119</v>
      </c>
      <c r="AQ351" t="s">
        <v>119</v>
      </c>
      <c r="AR351" t="s">
        <v>2259</v>
      </c>
      <c r="AS351" t="s">
        <v>2255</v>
      </c>
      <c r="AT351" t="s">
        <v>1298</v>
      </c>
    </row>
    <row r="352" spans="1:46">
      <c r="A352" s="1" t="s">
        <v>2485</v>
      </c>
      <c r="B352" s="1"/>
      <c r="C352" s="1" t="s">
        <v>2378</v>
      </c>
      <c r="D352" s="1" t="s">
        <v>42</v>
      </c>
      <c r="E352" s="1" t="s">
        <v>42</v>
      </c>
      <c r="F352" s="1" t="s">
        <v>103</v>
      </c>
      <c r="G352" s="1" t="s">
        <v>664</v>
      </c>
      <c r="H352" s="1"/>
      <c r="I352" s="1" t="s">
        <v>2379</v>
      </c>
      <c r="J352" s="1" t="s">
        <v>2380</v>
      </c>
      <c r="K352" s="1"/>
      <c r="L352" s="9">
        <v>-15289.51</v>
      </c>
      <c r="M352" s="1"/>
      <c r="N352" s="1"/>
      <c r="O352" s="1"/>
      <c r="P352" s="1"/>
      <c r="Q352" s="1"/>
      <c r="R352" s="1"/>
      <c r="S352" s="9">
        <v>0</v>
      </c>
      <c r="T352" s="1">
        <v>-15289.51</v>
      </c>
      <c r="U352" s="1" t="s">
        <v>2381</v>
      </c>
      <c r="V352" s="1" t="s">
        <v>15</v>
      </c>
      <c r="W352" s="1" t="s">
        <v>17</v>
      </c>
      <c r="X352" s="1" t="s">
        <v>111</v>
      </c>
      <c r="Y352" s="1"/>
      <c r="Z352" s="1" t="s">
        <v>2389</v>
      </c>
      <c r="AA352" s="1" t="s">
        <v>17</v>
      </c>
      <c r="AB352" s="1">
        <v>0</v>
      </c>
      <c r="AC352" s="1" t="s">
        <v>17</v>
      </c>
      <c r="AD352" t="s">
        <v>112</v>
      </c>
      <c r="AE352" t="s">
        <v>113</v>
      </c>
      <c r="AF352" t="s">
        <v>2389</v>
      </c>
      <c r="AG352" t="s">
        <v>114</v>
      </c>
      <c r="AH352" t="s">
        <v>17</v>
      </c>
      <c r="AI352" t="s">
        <v>17</v>
      </c>
      <c r="AJ352" t="s">
        <v>17</v>
      </c>
      <c r="AK352" t="s">
        <v>663</v>
      </c>
      <c r="AL352" t="s">
        <v>17</v>
      </c>
      <c r="AM352" t="s">
        <v>17</v>
      </c>
      <c r="AN352" t="s">
        <v>664</v>
      </c>
      <c r="AO352" t="s">
        <v>429</v>
      </c>
      <c r="AP352" t="s">
        <v>119</v>
      </c>
      <c r="AQ352" t="s">
        <v>119</v>
      </c>
      <c r="AR352" t="s">
        <v>1213</v>
      </c>
      <c r="AS352" t="s">
        <v>430</v>
      </c>
      <c r="AT352" t="s">
        <v>664</v>
      </c>
    </row>
    <row r="353" spans="1:46">
      <c r="A353" s="1" t="s">
        <v>2486</v>
      </c>
      <c r="B353" s="1"/>
      <c r="C353" s="1" t="s">
        <v>2460</v>
      </c>
      <c r="D353" s="1" t="s">
        <v>42</v>
      </c>
      <c r="E353" s="1" t="s">
        <v>42</v>
      </c>
      <c r="F353" s="1" t="s">
        <v>103</v>
      </c>
      <c r="G353" s="1" t="s">
        <v>1911</v>
      </c>
      <c r="H353" s="1" t="s">
        <v>2487</v>
      </c>
      <c r="I353" s="1" t="s">
        <v>127</v>
      </c>
      <c r="J353" s="1" t="s">
        <v>128</v>
      </c>
      <c r="K353" s="1" t="s">
        <v>129</v>
      </c>
      <c r="L353" s="9">
        <v>15289.51</v>
      </c>
      <c r="M353" s="1"/>
      <c r="N353" s="1"/>
      <c r="O353" s="1"/>
      <c r="P353" s="1"/>
      <c r="Q353" s="1"/>
      <c r="R353" s="1"/>
      <c r="S353" s="9">
        <v>0</v>
      </c>
      <c r="T353" s="1">
        <v>15289.51</v>
      </c>
      <c r="U353" s="1" t="s">
        <v>2421</v>
      </c>
      <c r="V353" s="1" t="s">
        <v>15</v>
      </c>
      <c r="W353" s="1" t="s">
        <v>17</v>
      </c>
      <c r="X353" s="1" t="s">
        <v>111</v>
      </c>
      <c r="Y353" s="1"/>
      <c r="Z353" s="1" t="s">
        <v>2389</v>
      </c>
      <c r="AA353" s="1" t="s">
        <v>17</v>
      </c>
      <c r="AB353" s="1">
        <v>0</v>
      </c>
      <c r="AC353" s="1" t="s">
        <v>17</v>
      </c>
      <c r="AD353" t="s">
        <v>112</v>
      </c>
      <c r="AE353" t="s">
        <v>113</v>
      </c>
      <c r="AF353" t="s">
        <v>2488</v>
      </c>
      <c r="AG353" t="s">
        <v>114</v>
      </c>
      <c r="AH353" t="s">
        <v>2487</v>
      </c>
      <c r="AI353" t="s">
        <v>1909</v>
      </c>
      <c r="AJ353" t="s">
        <v>135</v>
      </c>
      <c r="AK353" t="s">
        <v>663</v>
      </c>
      <c r="AL353" t="s">
        <v>137</v>
      </c>
      <c r="AM353" t="s">
        <v>17</v>
      </c>
      <c r="AN353" t="s">
        <v>664</v>
      </c>
      <c r="AO353" t="s">
        <v>967</v>
      </c>
      <c r="AP353" t="s">
        <v>119</v>
      </c>
      <c r="AQ353" t="s">
        <v>119</v>
      </c>
      <c r="AR353" t="s">
        <v>1213</v>
      </c>
      <c r="AS353" t="s">
        <v>968</v>
      </c>
      <c r="AT353" t="s">
        <v>1911</v>
      </c>
    </row>
    <row r="354" spans="1:46">
      <c r="A354" s="1" t="s">
        <v>2489</v>
      </c>
      <c r="B354" s="1"/>
      <c r="C354" s="1" t="s">
        <v>17</v>
      </c>
      <c r="D354" s="1" t="s">
        <v>44</v>
      </c>
      <c r="E354" s="1" t="s">
        <v>2477</v>
      </c>
      <c r="F354" s="1" t="s">
        <v>103</v>
      </c>
      <c r="G354" s="1" t="s">
        <v>2482</v>
      </c>
      <c r="H354" s="1"/>
      <c r="I354" s="1" t="s">
        <v>2490</v>
      </c>
      <c r="J354" s="1" t="s">
        <v>2491</v>
      </c>
      <c r="K354" s="1"/>
      <c r="L354" s="9">
        <v>-121473.53</v>
      </c>
      <c r="M354" s="1"/>
      <c r="N354" s="1"/>
      <c r="O354" s="1"/>
      <c r="P354" s="1"/>
      <c r="Q354" s="1"/>
      <c r="R354" s="1"/>
      <c r="S354" s="9">
        <v>0</v>
      </c>
      <c r="T354" s="1">
        <v>-121473.53</v>
      </c>
      <c r="U354" s="1" t="s">
        <v>17</v>
      </c>
      <c r="V354" s="1" t="s">
        <v>15</v>
      </c>
      <c r="W354" s="1" t="s">
        <v>17</v>
      </c>
      <c r="X354" s="1" t="s">
        <v>111</v>
      </c>
      <c r="Y354" s="1"/>
      <c r="Z354" s="1"/>
      <c r="AA354" s="1" t="s">
        <v>17</v>
      </c>
      <c r="AB354" s="1">
        <v>0</v>
      </c>
      <c r="AC354" s="1" t="s">
        <v>17</v>
      </c>
      <c r="AD354" t="s">
        <v>17</v>
      </c>
      <c r="AE354" t="s">
        <v>17</v>
      </c>
      <c r="AF354" t="s">
        <v>17</v>
      </c>
      <c r="AG354" t="s">
        <v>17</v>
      </c>
      <c r="AH354" t="s">
        <v>17</v>
      </c>
      <c r="AI354" t="s">
        <v>17</v>
      </c>
      <c r="AJ354" t="s">
        <v>17</v>
      </c>
      <c r="AK354" t="s">
        <v>17</v>
      </c>
      <c r="AL354" t="s">
        <v>17</v>
      </c>
      <c r="AM354" t="s">
        <v>17</v>
      </c>
      <c r="AN354" t="s">
        <v>2482</v>
      </c>
      <c r="AO354" t="s">
        <v>2492</v>
      </c>
      <c r="AP354" t="s">
        <v>17</v>
      </c>
    </row>
    <row r="355" spans="1:46">
      <c r="A355" s="1" t="s">
        <v>17</v>
      </c>
      <c r="B355" s="1" t="s">
        <v>2493</v>
      </c>
      <c r="C355" s="1" t="s">
        <v>17</v>
      </c>
      <c r="D355" s="1" t="s">
        <v>33</v>
      </c>
      <c r="E355" s="1" t="s">
        <v>2391</v>
      </c>
      <c r="F355" s="1" t="s">
        <v>17</v>
      </c>
      <c r="G355" s="1" t="s">
        <v>17</v>
      </c>
      <c r="H355" s="1" t="s">
        <v>17</v>
      </c>
      <c r="I355" s="1" t="s">
        <v>17</v>
      </c>
      <c r="J355" s="1" t="s">
        <v>17</v>
      </c>
      <c r="K355" s="1" t="s">
        <v>17</v>
      </c>
      <c r="L355" s="9">
        <v>0</v>
      </c>
      <c r="M355" s="1" t="s">
        <v>103</v>
      </c>
      <c r="N355" s="1" t="s">
        <v>1196</v>
      </c>
      <c r="O355" s="1"/>
      <c r="P355" s="1" t="s">
        <v>2379</v>
      </c>
      <c r="Q355" s="1" t="s">
        <v>2380</v>
      </c>
      <c r="R355" s="1"/>
      <c r="S355" s="9">
        <v>24247.29</v>
      </c>
      <c r="T355" s="1">
        <v>24247.29</v>
      </c>
      <c r="U355" s="1" t="s">
        <v>2494</v>
      </c>
      <c r="V355" s="1" t="s">
        <v>15</v>
      </c>
      <c r="W355" s="1" t="s">
        <v>17</v>
      </c>
      <c r="X355" s="1" t="s">
        <v>17</v>
      </c>
      <c r="Y355" s="1" t="s">
        <v>17</v>
      </c>
      <c r="Z355" s="1" t="s">
        <v>17</v>
      </c>
      <c r="AA355" s="1" t="s">
        <v>17</v>
      </c>
      <c r="AB355" s="1">
        <v>0</v>
      </c>
      <c r="AC355" s="1" t="s">
        <v>17</v>
      </c>
    </row>
    <row r="356" spans="1:46">
      <c r="A356" s="1" t="s">
        <v>17</v>
      </c>
      <c r="B356" s="1" t="s">
        <v>2495</v>
      </c>
      <c r="C356" s="1" t="s">
        <v>17</v>
      </c>
      <c r="D356" s="1" t="s">
        <v>33</v>
      </c>
      <c r="E356" s="1" t="s">
        <v>2391</v>
      </c>
      <c r="F356" s="1" t="s">
        <v>17</v>
      </c>
      <c r="G356" s="1" t="s">
        <v>17</v>
      </c>
      <c r="H356" s="1" t="s">
        <v>17</v>
      </c>
      <c r="I356" s="1" t="s">
        <v>17</v>
      </c>
      <c r="J356" s="1" t="s">
        <v>17</v>
      </c>
      <c r="K356" s="1" t="s">
        <v>17</v>
      </c>
      <c r="L356" s="9">
        <v>0</v>
      </c>
      <c r="M356" s="1" t="s">
        <v>103</v>
      </c>
      <c r="N356" s="1" t="s">
        <v>204</v>
      </c>
      <c r="O356" s="1"/>
      <c r="P356" s="1" t="s">
        <v>2379</v>
      </c>
      <c r="Q356" s="1" t="s">
        <v>2380</v>
      </c>
      <c r="R356" s="1"/>
      <c r="S356" s="9">
        <v>55663.4</v>
      </c>
      <c r="T356" s="1">
        <v>55663.4</v>
      </c>
      <c r="U356" s="1" t="s">
        <v>2494</v>
      </c>
      <c r="V356" s="1" t="s">
        <v>15</v>
      </c>
      <c r="W356" s="1" t="s">
        <v>17</v>
      </c>
      <c r="X356" s="1" t="s">
        <v>17</v>
      </c>
      <c r="Y356" s="1" t="s">
        <v>17</v>
      </c>
      <c r="Z356" s="1" t="s">
        <v>17</v>
      </c>
      <c r="AA356" s="1" t="s">
        <v>17</v>
      </c>
      <c r="AB356" s="1">
        <v>0</v>
      </c>
      <c r="AC356" s="1" t="s">
        <v>17</v>
      </c>
    </row>
    <row r="357" spans="1:46">
      <c r="A357" s="1" t="s">
        <v>17</v>
      </c>
      <c r="B357" s="1" t="s">
        <v>2496</v>
      </c>
      <c r="C357" s="1" t="s">
        <v>17</v>
      </c>
      <c r="D357" s="1" t="s">
        <v>33</v>
      </c>
      <c r="E357" s="1" t="s">
        <v>2391</v>
      </c>
      <c r="F357" s="1" t="s">
        <v>17</v>
      </c>
      <c r="G357" s="1" t="s">
        <v>17</v>
      </c>
      <c r="H357" s="1" t="s">
        <v>17</v>
      </c>
      <c r="I357" s="1" t="s">
        <v>17</v>
      </c>
      <c r="J357" s="1" t="s">
        <v>17</v>
      </c>
      <c r="K357" s="1" t="s">
        <v>17</v>
      </c>
      <c r="L357" s="9">
        <v>0</v>
      </c>
      <c r="M357" s="1" t="s">
        <v>103</v>
      </c>
      <c r="N357" s="1" t="s">
        <v>1986</v>
      </c>
      <c r="O357" s="1"/>
      <c r="P357" s="1" t="s">
        <v>2379</v>
      </c>
      <c r="Q357" s="1" t="s">
        <v>2380</v>
      </c>
      <c r="R357" s="1"/>
      <c r="S357" s="9">
        <v>95505.13</v>
      </c>
      <c r="T357" s="1">
        <v>95505.13</v>
      </c>
      <c r="U357" s="1" t="s">
        <v>2494</v>
      </c>
      <c r="V357" s="1" t="s">
        <v>15</v>
      </c>
      <c r="W357" s="1" t="s">
        <v>17</v>
      </c>
      <c r="X357" s="1" t="s">
        <v>17</v>
      </c>
      <c r="Y357" s="1" t="s">
        <v>17</v>
      </c>
      <c r="Z357" s="1" t="s">
        <v>17</v>
      </c>
      <c r="AA357" s="1" t="s">
        <v>17</v>
      </c>
      <c r="AB357" s="1">
        <v>0</v>
      </c>
      <c r="AC357" s="1" t="s">
        <v>17</v>
      </c>
    </row>
    <row r="358" spans="1:46">
      <c r="A358" s="1" t="s">
        <v>17</v>
      </c>
      <c r="B358" s="1" t="s">
        <v>2497</v>
      </c>
      <c r="C358" s="1" t="s">
        <v>17</v>
      </c>
      <c r="D358" s="1" t="s">
        <v>33</v>
      </c>
      <c r="E358" s="1" t="s">
        <v>2391</v>
      </c>
      <c r="F358" s="1" t="s">
        <v>17</v>
      </c>
      <c r="G358" s="1" t="s">
        <v>17</v>
      </c>
      <c r="H358" s="1" t="s">
        <v>17</v>
      </c>
      <c r="I358" s="1" t="s">
        <v>17</v>
      </c>
      <c r="J358" s="1" t="s">
        <v>17</v>
      </c>
      <c r="K358" s="1" t="s">
        <v>17</v>
      </c>
      <c r="L358" s="9">
        <v>0</v>
      </c>
      <c r="M358" s="1" t="s">
        <v>103</v>
      </c>
      <c r="N358" s="1" t="s">
        <v>1418</v>
      </c>
      <c r="O358" s="1"/>
      <c r="P358" s="1" t="s">
        <v>2379</v>
      </c>
      <c r="Q358" s="1" t="s">
        <v>2380</v>
      </c>
      <c r="R358" s="1"/>
      <c r="S358" s="9">
        <v>8120</v>
      </c>
      <c r="T358" s="1">
        <v>8120</v>
      </c>
      <c r="U358" s="1" t="s">
        <v>2494</v>
      </c>
      <c r="V358" s="1" t="s">
        <v>15</v>
      </c>
      <c r="W358" s="1" t="s">
        <v>17</v>
      </c>
      <c r="X358" s="1" t="s">
        <v>17</v>
      </c>
      <c r="Y358" s="1" t="s">
        <v>17</v>
      </c>
      <c r="Z358" s="1" t="s">
        <v>17</v>
      </c>
      <c r="AA358" s="1" t="s">
        <v>17</v>
      </c>
      <c r="AB358" s="1">
        <v>0</v>
      </c>
      <c r="AC358" s="1" t="s">
        <v>17</v>
      </c>
    </row>
    <row r="359" spans="1:46">
      <c r="A359" s="1" t="s">
        <v>17</v>
      </c>
      <c r="B359" s="1" t="s">
        <v>2498</v>
      </c>
      <c r="C359" s="1" t="s">
        <v>17</v>
      </c>
      <c r="D359" s="1" t="s">
        <v>33</v>
      </c>
      <c r="E359" s="1" t="s">
        <v>2391</v>
      </c>
      <c r="F359" s="1" t="s">
        <v>17</v>
      </c>
      <c r="G359" s="1" t="s">
        <v>17</v>
      </c>
      <c r="H359" s="1" t="s">
        <v>17</v>
      </c>
      <c r="I359" s="1" t="s">
        <v>17</v>
      </c>
      <c r="J359" s="1" t="s">
        <v>17</v>
      </c>
      <c r="K359" s="1" t="s">
        <v>17</v>
      </c>
      <c r="L359" s="9">
        <v>0</v>
      </c>
      <c r="M359" s="1" t="s">
        <v>103</v>
      </c>
      <c r="N359" s="1" t="s">
        <v>298</v>
      </c>
      <c r="O359" s="1"/>
      <c r="P359" s="1" t="s">
        <v>2379</v>
      </c>
      <c r="Q359" s="1" t="s">
        <v>2380</v>
      </c>
      <c r="R359" s="1"/>
      <c r="S359" s="9">
        <v>-68999.12</v>
      </c>
      <c r="T359" s="1">
        <v>-68999.12</v>
      </c>
      <c r="U359" s="1" t="s">
        <v>2494</v>
      </c>
      <c r="V359" s="1" t="s">
        <v>15</v>
      </c>
      <c r="W359" s="1" t="s">
        <v>17</v>
      </c>
      <c r="X359" s="1" t="s">
        <v>17</v>
      </c>
      <c r="Y359" s="1" t="s">
        <v>17</v>
      </c>
      <c r="Z359" s="1" t="s">
        <v>17</v>
      </c>
      <c r="AA359" s="1" t="s">
        <v>17</v>
      </c>
      <c r="AB359" s="1">
        <v>0</v>
      </c>
      <c r="AC359" s="1" t="s">
        <v>17</v>
      </c>
    </row>
    <row r="360" spans="1:46">
      <c r="A360" s="1" t="s">
        <v>17</v>
      </c>
      <c r="B360" s="1" t="s">
        <v>2499</v>
      </c>
      <c r="C360" s="1" t="s">
        <v>17</v>
      </c>
      <c r="D360" s="1" t="s">
        <v>33</v>
      </c>
      <c r="E360" s="1" t="s">
        <v>2391</v>
      </c>
      <c r="F360" s="1" t="s">
        <v>17</v>
      </c>
      <c r="G360" s="1" t="s">
        <v>17</v>
      </c>
      <c r="H360" s="1" t="s">
        <v>17</v>
      </c>
      <c r="I360" s="1" t="s">
        <v>17</v>
      </c>
      <c r="J360" s="1" t="s">
        <v>17</v>
      </c>
      <c r="K360" s="1" t="s">
        <v>17</v>
      </c>
      <c r="L360" s="9">
        <v>0</v>
      </c>
      <c r="M360" s="1" t="s">
        <v>103</v>
      </c>
      <c r="N360" s="1" t="s">
        <v>752</v>
      </c>
      <c r="O360" s="1"/>
      <c r="P360" s="1" t="s">
        <v>2379</v>
      </c>
      <c r="Q360" s="1" t="s">
        <v>2380</v>
      </c>
      <c r="R360" s="1"/>
      <c r="S360" s="9">
        <v>-38420.120000000003</v>
      </c>
      <c r="T360" s="1">
        <v>-38420.120000000003</v>
      </c>
      <c r="U360" s="1" t="s">
        <v>2494</v>
      </c>
      <c r="V360" s="1" t="s">
        <v>15</v>
      </c>
      <c r="W360" s="1" t="s">
        <v>17</v>
      </c>
      <c r="X360" s="1" t="s">
        <v>17</v>
      </c>
      <c r="Y360" s="1" t="s">
        <v>17</v>
      </c>
      <c r="Z360" s="1" t="s">
        <v>17</v>
      </c>
      <c r="AA360" s="1" t="s">
        <v>17</v>
      </c>
      <c r="AB360" s="1">
        <v>0</v>
      </c>
      <c r="AC360" s="1" t="s">
        <v>17</v>
      </c>
    </row>
    <row r="361" spans="1:46">
      <c r="A361" s="1" t="s">
        <v>17</v>
      </c>
      <c r="B361" s="1" t="s">
        <v>2500</v>
      </c>
      <c r="C361" s="1" t="s">
        <v>17</v>
      </c>
      <c r="D361" s="1" t="s">
        <v>33</v>
      </c>
      <c r="E361" s="1" t="s">
        <v>2391</v>
      </c>
      <c r="F361" s="1" t="s">
        <v>17</v>
      </c>
      <c r="G361" s="1" t="s">
        <v>17</v>
      </c>
      <c r="H361" s="1" t="s">
        <v>17</v>
      </c>
      <c r="I361" s="1" t="s">
        <v>17</v>
      </c>
      <c r="J361" s="1" t="s">
        <v>17</v>
      </c>
      <c r="K361" s="1" t="s">
        <v>17</v>
      </c>
      <c r="L361" s="9">
        <v>0</v>
      </c>
      <c r="M361" s="1" t="s">
        <v>103</v>
      </c>
      <c r="N361" s="1" t="s">
        <v>1094</v>
      </c>
      <c r="O361" s="1"/>
      <c r="P361" s="1" t="s">
        <v>2379</v>
      </c>
      <c r="Q361" s="1" t="s">
        <v>2380</v>
      </c>
      <c r="R361" s="1"/>
      <c r="S361" s="9">
        <v>8120</v>
      </c>
      <c r="T361" s="1">
        <v>8120</v>
      </c>
      <c r="U361" s="1" t="s">
        <v>2494</v>
      </c>
      <c r="V361" s="1" t="s">
        <v>15</v>
      </c>
      <c r="W361" s="1" t="s">
        <v>17</v>
      </c>
      <c r="X361" s="1" t="s">
        <v>17</v>
      </c>
      <c r="Y361" s="1" t="s">
        <v>17</v>
      </c>
      <c r="Z361" s="1" t="s">
        <v>17</v>
      </c>
      <c r="AA361" s="1" t="s">
        <v>17</v>
      </c>
      <c r="AB361" s="1">
        <v>0</v>
      </c>
      <c r="AC361" s="1" t="s">
        <v>17</v>
      </c>
    </row>
    <row r="362" spans="1:46">
      <c r="A362" s="1" t="s">
        <v>17</v>
      </c>
      <c r="B362" s="1" t="s">
        <v>2501</v>
      </c>
      <c r="C362" s="1" t="s">
        <v>17</v>
      </c>
      <c r="D362" s="1" t="s">
        <v>27</v>
      </c>
      <c r="E362" s="1" t="s">
        <v>2391</v>
      </c>
      <c r="F362" s="1" t="s">
        <v>17</v>
      </c>
      <c r="G362" s="1" t="s">
        <v>17</v>
      </c>
      <c r="H362" s="1" t="s">
        <v>17</v>
      </c>
      <c r="I362" s="1" t="s">
        <v>17</v>
      </c>
      <c r="J362" s="1" t="s">
        <v>17</v>
      </c>
      <c r="K362" s="1" t="s">
        <v>17</v>
      </c>
      <c r="L362" s="9">
        <v>0</v>
      </c>
      <c r="M362" s="1" t="s">
        <v>103</v>
      </c>
      <c r="N362" s="1" t="s">
        <v>2259</v>
      </c>
      <c r="O362" s="1" t="s">
        <v>2502</v>
      </c>
      <c r="P362" s="1" t="s">
        <v>127</v>
      </c>
      <c r="Q362" s="1" t="s">
        <v>131</v>
      </c>
      <c r="R362" s="1"/>
      <c r="S362" s="9">
        <v>29500</v>
      </c>
      <c r="T362" s="1">
        <v>29500</v>
      </c>
      <c r="U362" s="1" t="s">
        <v>2503</v>
      </c>
      <c r="V362" s="1" t="s">
        <v>15</v>
      </c>
      <c r="W362" s="1" t="s">
        <v>17</v>
      </c>
      <c r="X362" s="1" t="s">
        <v>17</v>
      </c>
      <c r="Y362" s="1" t="s">
        <v>17</v>
      </c>
      <c r="Z362" s="1" t="s">
        <v>17</v>
      </c>
      <c r="AA362" s="1" t="s">
        <v>17</v>
      </c>
      <c r="AB362" s="1">
        <v>0</v>
      </c>
      <c r="AC362" s="1" t="s">
        <v>17</v>
      </c>
    </row>
    <row r="363" spans="1:46">
      <c r="A363" s="1" t="s">
        <v>17</v>
      </c>
      <c r="B363" s="1" t="s">
        <v>2504</v>
      </c>
      <c r="C363" s="1" t="s">
        <v>17</v>
      </c>
      <c r="D363" s="1" t="s">
        <v>33</v>
      </c>
      <c r="E363" s="1" t="s">
        <v>2391</v>
      </c>
      <c r="F363" s="1" t="s">
        <v>17</v>
      </c>
      <c r="G363" s="1" t="s">
        <v>17</v>
      </c>
      <c r="H363" s="1" t="s">
        <v>17</v>
      </c>
      <c r="I363" s="1" t="s">
        <v>17</v>
      </c>
      <c r="J363" s="1" t="s">
        <v>17</v>
      </c>
      <c r="K363" s="1" t="s">
        <v>17</v>
      </c>
      <c r="L363" s="9">
        <v>0</v>
      </c>
      <c r="M363" s="1" t="s">
        <v>103</v>
      </c>
      <c r="N363" s="1" t="s">
        <v>964</v>
      </c>
      <c r="O363" s="1"/>
      <c r="P363" s="1" t="s">
        <v>2379</v>
      </c>
      <c r="Q363" s="1" t="s">
        <v>2380</v>
      </c>
      <c r="R363" s="1"/>
      <c r="S363" s="9">
        <v>328908.40000000002</v>
      </c>
      <c r="T363" s="1">
        <v>328908.40000000002</v>
      </c>
      <c r="U363" s="1" t="s">
        <v>2494</v>
      </c>
      <c r="V363" s="1" t="s">
        <v>15</v>
      </c>
      <c r="W363" s="1" t="s">
        <v>17</v>
      </c>
      <c r="X363" s="1" t="s">
        <v>17</v>
      </c>
      <c r="Y363" s="1" t="s">
        <v>17</v>
      </c>
      <c r="Z363" s="1" t="s">
        <v>17</v>
      </c>
      <c r="AA363" s="1" t="s">
        <v>17</v>
      </c>
      <c r="AB363" s="1">
        <v>0</v>
      </c>
      <c r="AC363" s="1" t="s">
        <v>17</v>
      </c>
    </row>
    <row r="364" spans="1:46">
      <c r="A364" s="1" t="s">
        <v>17</v>
      </c>
      <c r="B364" s="1" t="s">
        <v>2505</v>
      </c>
      <c r="C364" s="1" t="s">
        <v>17</v>
      </c>
      <c r="D364" s="1" t="s">
        <v>33</v>
      </c>
      <c r="E364" s="1" t="s">
        <v>2391</v>
      </c>
      <c r="F364" s="1" t="s">
        <v>17</v>
      </c>
      <c r="G364" s="1" t="s">
        <v>17</v>
      </c>
      <c r="H364" s="1" t="s">
        <v>17</v>
      </c>
      <c r="I364" s="1" t="s">
        <v>17</v>
      </c>
      <c r="J364" s="1" t="s">
        <v>17</v>
      </c>
      <c r="K364" s="1" t="s">
        <v>17</v>
      </c>
      <c r="L364" s="9">
        <v>0</v>
      </c>
      <c r="M364" s="1" t="s">
        <v>103</v>
      </c>
      <c r="N364" s="1" t="s">
        <v>258</v>
      </c>
      <c r="O364" s="1"/>
      <c r="P364" s="1" t="s">
        <v>2379</v>
      </c>
      <c r="Q364" s="1" t="s">
        <v>2380</v>
      </c>
      <c r="R364" s="1"/>
      <c r="S364" s="9">
        <v>-108283.19</v>
      </c>
      <c r="T364" s="1">
        <v>-108283.19</v>
      </c>
      <c r="U364" s="1" t="s">
        <v>2494</v>
      </c>
      <c r="V364" s="1" t="s">
        <v>15</v>
      </c>
      <c r="W364" s="1" t="s">
        <v>17</v>
      </c>
      <c r="X364" s="1" t="s">
        <v>17</v>
      </c>
      <c r="Y364" s="1" t="s">
        <v>17</v>
      </c>
      <c r="Z364" s="1" t="s">
        <v>17</v>
      </c>
      <c r="AA364" s="1" t="s">
        <v>17</v>
      </c>
      <c r="AB364" s="1">
        <v>0</v>
      </c>
      <c r="AC364" s="1" t="s">
        <v>17</v>
      </c>
    </row>
    <row r="365" spans="1:46">
      <c r="A365" s="1" t="s">
        <v>17</v>
      </c>
      <c r="B365" s="1" t="s">
        <v>2506</v>
      </c>
      <c r="C365" s="1" t="s">
        <v>17</v>
      </c>
      <c r="D365" s="1" t="s">
        <v>33</v>
      </c>
      <c r="E365" s="1" t="s">
        <v>2391</v>
      </c>
      <c r="F365" s="1" t="s">
        <v>17</v>
      </c>
      <c r="G365" s="1" t="s">
        <v>17</v>
      </c>
      <c r="H365" s="1" t="s">
        <v>17</v>
      </c>
      <c r="I365" s="1" t="s">
        <v>17</v>
      </c>
      <c r="J365" s="1" t="s">
        <v>17</v>
      </c>
      <c r="K365" s="1" t="s">
        <v>17</v>
      </c>
      <c r="L365" s="9">
        <v>0</v>
      </c>
      <c r="M365" s="1" t="s">
        <v>103</v>
      </c>
      <c r="N365" s="1" t="s">
        <v>1418</v>
      </c>
      <c r="O365" s="1"/>
      <c r="P365" s="1" t="s">
        <v>2379</v>
      </c>
      <c r="Q365" s="1" t="s">
        <v>2380</v>
      </c>
      <c r="R365" s="1"/>
      <c r="S365" s="9">
        <v>-8260</v>
      </c>
      <c r="T365" s="1">
        <v>-8260</v>
      </c>
      <c r="U365" s="1" t="s">
        <v>2494</v>
      </c>
      <c r="V365" s="1" t="s">
        <v>15</v>
      </c>
      <c r="W365" s="1" t="s">
        <v>17</v>
      </c>
      <c r="X365" s="1" t="s">
        <v>17</v>
      </c>
      <c r="Y365" s="1" t="s">
        <v>17</v>
      </c>
      <c r="Z365" s="1" t="s">
        <v>17</v>
      </c>
      <c r="AA365" s="1" t="s">
        <v>17</v>
      </c>
      <c r="AB365" s="1">
        <v>0</v>
      </c>
      <c r="AC365" s="1" t="s">
        <v>17</v>
      </c>
    </row>
    <row r="366" spans="1:46">
      <c r="A366" s="1" t="s">
        <v>17</v>
      </c>
      <c r="B366" s="1" t="s">
        <v>2507</v>
      </c>
      <c r="C366" s="1" t="s">
        <v>17</v>
      </c>
      <c r="D366" s="1" t="s">
        <v>33</v>
      </c>
      <c r="E366" s="1" t="s">
        <v>2391</v>
      </c>
      <c r="F366" s="1" t="s">
        <v>17</v>
      </c>
      <c r="G366" s="1" t="s">
        <v>17</v>
      </c>
      <c r="H366" s="1" t="s">
        <v>17</v>
      </c>
      <c r="I366" s="1" t="s">
        <v>17</v>
      </c>
      <c r="J366" s="1" t="s">
        <v>17</v>
      </c>
      <c r="K366" s="1" t="s">
        <v>17</v>
      </c>
      <c r="L366" s="9">
        <v>0</v>
      </c>
      <c r="M366" s="1" t="s">
        <v>103</v>
      </c>
      <c r="N366" s="1" t="s">
        <v>258</v>
      </c>
      <c r="O366" s="1"/>
      <c r="P366" s="1" t="s">
        <v>2379</v>
      </c>
      <c r="Q366" s="1" t="s">
        <v>2380</v>
      </c>
      <c r="R366" s="1"/>
      <c r="S366" s="9">
        <v>108280.51</v>
      </c>
      <c r="T366" s="1">
        <v>108280.51</v>
      </c>
      <c r="U366" s="1" t="s">
        <v>2494</v>
      </c>
      <c r="V366" s="1" t="s">
        <v>15</v>
      </c>
      <c r="W366" s="1" t="s">
        <v>17</v>
      </c>
      <c r="X366" s="1" t="s">
        <v>17</v>
      </c>
      <c r="Y366" s="1" t="s">
        <v>17</v>
      </c>
      <c r="Z366" s="1" t="s">
        <v>17</v>
      </c>
      <c r="AA366" s="1" t="s">
        <v>17</v>
      </c>
      <c r="AB366" s="1">
        <v>0</v>
      </c>
      <c r="AC366" s="1" t="s">
        <v>17</v>
      </c>
    </row>
    <row r="367" spans="1:46">
      <c r="A367" s="1" t="s">
        <v>17</v>
      </c>
      <c r="B367" s="1" t="s">
        <v>2508</v>
      </c>
      <c r="C367" s="1" t="s">
        <v>17</v>
      </c>
      <c r="D367" s="1" t="s">
        <v>33</v>
      </c>
      <c r="E367" s="1" t="s">
        <v>2391</v>
      </c>
      <c r="F367" s="1" t="s">
        <v>17</v>
      </c>
      <c r="G367" s="1" t="s">
        <v>17</v>
      </c>
      <c r="H367" s="1" t="s">
        <v>17</v>
      </c>
      <c r="I367" s="1" t="s">
        <v>17</v>
      </c>
      <c r="J367" s="1" t="s">
        <v>17</v>
      </c>
      <c r="K367" s="1" t="s">
        <v>17</v>
      </c>
      <c r="L367" s="9">
        <v>0</v>
      </c>
      <c r="M367" s="1" t="s">
        <v>103</v>
      </c>
      <c r="N367" s="1" t="s">
        <v>964</v>
      </c>
      <c r="O367" s="1"/>
      <c r="P367" s="1" t="s">
        <v>2379</v>
      </c>
      <c r="Q367" s="1" t="s">
        <v>2380</v>
      </c>
      <c r="R367" s="1"/>
      <c r="S367" s="9">
        <v>-334308.40000000002</v>
      </c>
      <c r="T367" s="1">
        <v>-334308.40000000002</v>
      </c>
      <c r="U367" s="1" t="s">
        <v>2494</v>
      </c>
      <c r="V367" s="1" t="s">
        <v>15</v>
      </c>
      <c r="W367" s="1" t="s">
        <v>17</v>
      </c>
      <c r="X367" s="1" t="s">
        <v>17</v>
      </c>
      <c r="Y367" s="1" t="s">
        <v>17</v>
      </c>
      <c r="Z367" s="1" t="s">
        <v>17</v>
      </c>
      <c r="AA367" s="1" t="s">
        <v>17</v>
      </c>
      <c r="AB367" s="1">
        <v>0</v>
      </c>
      <c r="AC367" s="1" t="s">
        <v>17</v>
      </c>
    </row>
    <row r="368" spans="1:46">
      <c r="A368" s="1" t="s">
        <v>17</v>
      </c>
      <c r="B368" s="1" t="s">
        <v>2509</v>
      </c>
      <c r="C368" s="1" t="s">
        <v>17</v>
      </c>
      <c r="D368" s="1" t="s">
        <v>33</v>
      </c>
      <c r="E368" s="1" t="s">
        <v>2391</v>
      </c>
      <c r="F368" s="1" t="s">
        <v>17</v>
      </c>
      <c r="G368" s="1" t="s">
        <v>17</v>
      </c>
      <c r="H368" s="1" t="s">
        <v>17</v>
      </c>
      <c r="I368" s="1" t="s">
        <v>17</v>
      </c>
      <c r="J368" s="1" t="s">
        <v>17</v>
      </c>
      <c r="K368" s="1" t="s">
        <v>17</v>
      </c>
      <c r="L368" s="9">
        <v>0</v>
      </c>
      <c r="M368" s="1" t="s">
        <v>103</v>
      </c>
      <c r="N368" s="1" t="s">
        <v>752</v>
      </c>
      <c r="O368" s="1"/>
      <c r="P368" s="1" t="s">
        <v>2379</v>
      </c>
      <c r="Q368" s="1" t="s">
        <v>2380</v>
      </c>
      <c r="R368" s="1"/>
      <c r="S368" s="9">
        <v>38279.5</v>
      </c>
      <c r="T368" s="1">
        <v>38279.5</v>
      </c>
      <c r="U368" s="1" t="s">
        <v>2494</v>
      </c>
      <c r="V368" s="1" t="s">
        <v>15</v>
      </c>
      <c r="W368" s="1" t="s">
        <v>17</v>
      </c>
      <c r="X368" s="1" t="s">
        <v>17</v>
      </c>
      <c r="Y368" s="1" t="s">
        <v>17</v>
      </c>
      <c r="Z368" s="1" t="s">
        <v>17</v>
      </c>
      <c r="AA368" s="1" t="s">
        <v>17</v>
      </c>
      <c r="AB368" s="1">
        <v>0</v>
      </c>
      <c r="AC368" s="1" t="s">
        <v>17</v>
      </c>
    </row>
    <row r="369" spans="1:29">
      <c r="A369" s="1" t="s">
        <v>17</v>
      </c>
      <c r="B369" s="1" t="s">
        <v>2510</v>
      </c>
      <c r="C369" s="1" t="s">
        <v>17</v>
      </c>
      <c r="D369" s="1" t="s">
        <v>33</v>
      </c>
      <c r="E369" s="1" t="s">
        <v>2391</v>
      </c>
      <c r="F369" s="1" t="s">
        <v>17</v>
      </c>
      <c r="G369" s="1" t="s">
        <v>17</v>
      </c>
      <c r="H369" s="1" t="s">
        <v>17</v>
      </c>
      <c r="I369" s="1" t="s">
        <v>17</v>
      </c>
      <c r="J369" s="1" t="s">
        <v>17</v>
      </c>
      <c r="K369" s="1" t="s">
        <v>17</v>
      </c>
      <c r="L369" s="9">
        <v>0</v>
      </c>
      <c r="M369" s="1" t="s">
        <v>103</v>
      </c>
      <c r="N369" s="1" t="s">
        <v>1117</v>
      </c>
      <c r="O369" s="1"/>
      <c r="P369" s="1" t="s">
        <v>2379</v>
      </c>
      <c r="Q369" s="1" t="s">
        <v>2380</v>
      </c>
      <c r="R369" s="1"/>
      <c r="S369" s="9">
        <v>61574</v>
      </c>
      <c r="T369" s="1">
        <v>61574</v>
      </c>
      <c r="U369" s="1" t="s">
        <v>2494</v>
      </c>
      <c r="V369" s="1" t="s">
        <v>15</v>
      </c>
      <c r="W369" s="1" t="s">
        <v>17</v>
      </c>
      <c r="X369" s="1" t="s">
        <v>17</v>
      </c>
      <c r="Y369" s="1" t="s">
        <v>17</v>
      </c>
      <c r="Z369" s="1" t="s">
        <v>17</v>
      </c>
      <c r="AA369" s="1" t="s">
        <v>17</v>
      </c>
      <c r="AB369" s="1">
        <v>0</v>
      </c>
      <c r="AC369" s="1" t="s">
        <v>17</v>
      </c>
    </row>
    <row r="370" spans="1:29">
      <c r="A370" s="1" t="s">
        <v>17</v>
      </c>
      <c r="B370" s="1" t="s">
        <v>2511</v>
      </c>
      <c r="C370" s="1" t="s">
        <v>17</v>
      </c>
      <c r="D370" s="1" t="s">
        <v>27</v>
      </c>
      <c r="E370" s="1" t="s">
        <v>2391</v>
      </c>
      <c r="F370" s="1" t="s">
        <v>17</v>
      </c>
      <c r="G370" s="1" t="s">
        <v>17</v>
      </c>
      <c r="H370" s="1" t="s">
        <v>17</v>
      </c>
      <c r="I370" s="1" t="s">
        <v>17</v>
      </c>
      <c r="J370" s="1" t="s">
        <v>17</v>
      </c>
      <c r="K370" s="1" t="s">
        <v>17</v>
      </c>
      <c r="L370" s="9">
        <v>0</v>
      </c>
      <c r="M370" s="1" t="s">
        <v>103</v>
      </c>
      <c r="N370" s="1" t="s">
        <v>2512</v>
      </c>
      <c r="O370" s="1" t="s">
        <v>2513</v>
      </c>
      <c r="P370" s="1" t="s">
        <v>127</v>
      </c>
      <c r="Q370" s="1" t="s">
        <v>131</v>
      </c>
      <c r="R370" s="1"/>
      <c r="S370" s="9">
        <v>34947.879999999997</v>
      </c>
      <c r="T370" s="1">
        <v>34947.879999999997</v>
      </c>
      <c r="U370" s="1" t="s">
        <v>2503</v>
      </c>
      <c r="V370" s="1" t="s">
        <v>15</v>
      </c>
      <c r="W370" s="1" t="s">
        <v>17</v>
      </c>
      <c r="X370" s="1" t="s">
        <v>17</v>
      </c>
      <c r="Y370" s="1" t="s">
        <v>17</v>
      </c>
      <c r="Z370" s="1" t="s">
        <v>17</v>
      </c>
      <c r="AA370" s="1" t="s">
        <v>17</v>
      </c>
      <c r="AB370" s="1">
        <v>0</v>
      </c>
      <c r="AC370" s="1" t="s">
        <v>17</v>
      </c>
    </row>
    <row r="371" spans="1:29">
      <c r="A371" s="1" t="s">
        <v>17</v>
      </c>
      <c r="B371" s="1" t="s">
        <v>2514</v>
      </c>
      <c r="C371" s="1" t="s">
        <v>17</v>
      </c>
      <c r="D371" s="1" t="s">
        <v>33</v>
      </c>
      <c r="E371" s="1" t="s">
        <v>2391</v>
      </c>
      <c r="F371" s="1" t="s">
        <v>17</v>
      </c>
      <c r="G371" s="1" t="s">
        <v>17</v>
      </c>
      <c r="H371" s="1" t="s">
        <v>17</v>
      </c>
      <c r="I371" s="1" t="s">
        <v>17</v>
      </c>
      <c r="J371" s="1" t="s">
        <v>17</v>
      </c>
      <c r="K371" s="1" t="s">
        <v>17</v>
      </c>
      <c r="L371" s="9">
        <v>0</v>
      </c>
      <c r="M371" s="1" t="s">
        <v>103</v>
      </c>
      <c r="N371" s="1" t="s">
        <v>1337</v>
      </c>
      <c r="O371" s="1"/>
      <c r="P371" s="1" t="s">
        <v>2379</v>
      </c>
      <c r="Q371" s="1" t="s">
        <v>2380</v>
      </c>
      <c r="R371" s="1"/>
      <c r="S371" s="9">
        <v>8120</v>
      </c>
      <c r="T371" s="1">
        <v>8120</v>
      </c>
      <c r="U371" s="1" t="s">
        <v>2494</v>
      </c>
      <c r="V371" s="1" t="s">
        <v>15</v>
      </c>
      <c r="W371" s="1" t="s">
        <v>17</v>
      </c>
      <c r="X371" s="1" t="s">
        <v>17</v>
      </c>
      <c r="Y371" s="1" t="s">
        <v>17</v>
      </c>
      <c r="Z371" s="1" t="s">
        <v>17</v>
      </c>
      <c r="AA371" s="1" t="s">
        <v>17</v>
      </c>
      <c r="AB371" s="1">
        <v>0</v>
      </c>
      <c r="AC371" s="1" t="s">
        <v>17</v>
      </c>
    </row>
    <row r="372" spans="1:29">
      <c r="A372" s="1" t="s">
        <v>17</v>
      </c>
      <c r="B372" s="1" t="s">
        <v>2515</v>
      </c>
      <c r="C372" s="1" t="s">
        <v>17</v>
      </c>
      <c r="D372" s="1" t="s">
        <v>27</v>
      </c>
      <c r="E372" s="1" t="s">
        <v>2391</v>
      </c>
      <c r="F372" s="1" t="s">
        <v>17</v>
      </c>
      <c r="G372" s="1" t="s">
        <v>17</v>
      </c>
      <c r="H372" s="1" t="s">
        <v>17</v>
      </c>
      <c r="I372" s="1" t="s">
        <v>17</v>
      </c>
      <c r="J372" s="1" t="s">
        <v>17</v>
      </c>
      <c r="K372" s="1" t="s">
        <v>17</v>
      </c>
      <c r="L372" s="9">
        <v>0</v>
      </c>
      <c r="M372" s="1" t="s">
        <v>103</v>
      </c>
      <c r="N372" s="1" t="s">
        <v>2482</v>
      </c>
      <c r="O372" s="1"/>
      <c r="P372" s="1" t="s">
        <v>127</v>
      </c>
      <c r="Q372" s="1" t="s">
        <v>131</v>
      </c>
      <c r="R372" s="1"/>
      <c r="S372" s="9">
        <v>139909.44</v>
      </c>
      <c r="T372" s="1">
        <v>139909.44</v>
      </c>
      <c r="U372" s="1" t="s">
        <v>2503</v>
      </c>
      <c r="V372" s="1" t="s">
        <v>15</v>
      </c>
      <c r="W372" s="1" t="s">
        <v>17</v>
      </c>
      <c r="X372" s="1" t="s">
        <v>17</v>
      </c>
      <c r="Y372" s="1" t="s">
        <v>17</v>
      </c>
      <c r="Z372" s="1" t="s">
        <v>17</v>
      </c>
      <c r="AA372" s="1" t="s">
        <v>17</v>
      </c>
      <c r="AB372" s="1">
        <v>0</v>
      </c>
      <c r="AC372" s="1" t="s">
        <v>17</v>
      </c>
    </row>
    <row r="373" spans="1:29">
      <c r="A373" s="1" t="s">
        <v>17</v>
      </c>
      <c r="B373" s="1" t="s">
        <v>2516</v>
      </c>
      <c r="C373" s="1" t="s">
        <v>17</v>
      </c>
      <c r="D373" s="1" t="s">
        <v>33</v>
      </c>
      <c r="E373" s="1" t="s">
        <v>2391</v>
      </c>
      <c r="F373" s="1" t="s">
        <v>17</v>
      </c>
      <c r="G373" s="1" t="s">
        <v>17</v>
      </c>
      <c r="H373" s="1" t="s">
        <v>17</v>
      </c>
      <c r="I373" s="1" t="s">
        <v>17</v>
      </c>
      <c r="J373" s="1" t="s">
        <v>17</v>
      </c>
      <c r="K373" s="1" t="s">
        <v>17</v>
      </c>
      <c r="L373" s="9">
        <v>0</v>
      </c>
      <c r="M373" s="1" t="s">
        <v>103</v>
      </c>
      <c r="N373" s="1" t="s">
        <v>204</v>
      </c>
      <c r="O373" s="1"/>
      <c r="P373" s="1" t="s">
        <v>2379</v>
      </c>
      <c r="Q373" s="1" t="s">
        <v>2380</v>
      </c>
      <c r="R373" s="1"/>
      <c r="S373" s="9">
        <v>-55804.07</v>
      </c>
      <c r="T373" s="1">
        <v>-55804.07</v>
      </c>
      <c r="U373" s="1" t="s">
        <v>2494</v>
      </c>
      <c r="V373" s="1" t="s">
        <v>15</v>
      </c>
      <c r="W373" s="1" t="s">
        <v>17</v>
      </c>
      <c r="X373" s="1" t="s">
        <v>17</v>
      </c>
      <c r="Y373" s="1" t="s">
        <v>17</v>
      </c>
      <c r="Z373" s="1" t="s">
        <v>17</v>
      </c>
      <c r="AA373" s="1" t="s">
        <v>17</v>
      </c>
      <c r="AB373" s="1">
        <v>0</v>
      </c>
      <c r="AC373" s="1" t="s">
        <v>17</v>
      </c>
    </row>
    <row r="374" spans="1:29">
      <c r="A374" s="1" t="s">
        <v>17</v>
      </c>
      <c r="B374" s="1" t="s">
        <v>2517</v>
      </c>
      <c r="C374" s="1" t="s">
        <v>17</v>
      </c>
      <c r="D374" s="1" t="s">
        <v>33</v>
      </c>
      <c r="E374" s="1" t="s">
        <v>2391</v>
      </c>
      <c r="F374" s="1" t="s">
        <v>17</v>
      </c>
      <c r="G374" s="1" t="s">
        <v>17</v>
      </c>
      <c r="H374" s="1" t="s">
        <v>17</v>
      </c>
      <c r="I374" s="1" t="s">
        <v>17</v>
      </c>
      <c r="J374" s="1" t="s">
        <v>17</v>
      </c>
      <c r="K374" s="1" t="s">
        <v>17</v>
      </c>
      <c r="L374" s="9">
        <v>0</v>
      </c>
      <c r="M374" s="1" t="s">
        <v>103</v>
      </c>
      <c r="N374" s="1" t="s">
        <v>2518</v>
      </c>
      <c r="O374" s="1"/>
      <c r="P374" s="1" t="s">
        <v>2379</v>
      </c>
      <c r="Q374" s="1" t="s">
        <v>2380</v>
      </c>
      <c r="R374" s="1"/>
      <c r="S374" s="9">
        <v>-8260</v>
      </c>
      <c r="T374" s="1">
        <v>-8260</v>
      </c>
      <c r="U374" s="1" t="s">
        <v>2494</v>
      </c>
      <c r="V374" s="1" t="s">
        <v>15</v>
      </c>
      <c r="W374" s="1" t="s">
        <v>17</v>
      </c>
      <c r="X374" s="1" t="s">
        <v>17</v>
      </c>
      <c r="Y374" s="1" t="s">
        <v>17</v>
      </c>
      <c r="Z374" s="1" t="s">
        <v>17</v>
      </c>
      <c r="AA374" s="1" t="s">
        <v>17</v>
      </c>
      <c r="AB374" s="1">
        <v>0</v>
      </c>
      <c r="AC374" s="1" t="s">
        <v>17</v>
      </c>
    </row>
    <row r="375" spans="1:29">
      <c r="A375" s="1" t="s">
        <v>17</v>
      </c>
      <c r="B375" s="1" t="s">
        <v>2519</v>
      </c>
      <c r="C375" s="1" t="s">
        <v>17</v>
      </c>
      <c r="D375" s="1" t="s">
        <v>33</v>
      </c>
      <c r="E375" s="1" t="s">
        <v>2391</v>
      </c>
      <c r="F375" s="1" t="s">
        <v>17</v>
      </c>
      <c r="G375" s="1" t="s">
        <v>17</v>
      </c>
      <c r="H375" s="1" t="s">
        <v>17</v>
      </c>
      <c r="I375" s="1" t="s">
        <v>17</v>
      </c>
      <c r="J375" s="1" t="s">
        <v>17</v>
      </c>
      <c r="K375" s="1" t="s">
        <v>17</v>
      </c>
      <c r="L375" s="9">
        <v>0</v>
      </c>
      <c r="M375" s="1" t="s">
        <v>103</v>
      </c>
      <c r="N375" s="1" t="s">
        <v>625</v>
      </c>
      <c r="O375" s="1"/>
      <c r="P375" s="1" t="s">
        <v>2379</v>
      </c>
      <c r="Q375" s="1" t="s">
        <v>2380</v>
      </c>
      <c r="R375" s="1"/>
      <c r="S375" s="9">
        <v>8120</v>
      </c>
      <c r="T375" s="1">
        <v>8120</v>
      </c>
      <c r="U375" s="1" t="s">
        <v>2494</v>
      </c>
      <c r="V375" s="1" t="s">
        <v>15</v>
      </c>
      <c r="W375" s="1" t="s">
        <v>17</v>
      </c>
      <c r="X375" s="1" t="s">
        <v>17</v>
      </c>
      <c r="Y375" s="1" t="s">
        <v>17</v>
      </c>
      <c r="Z375" s="1" t="s">
        <v>17</v>
      </c>
      <c r="AA375" s="1" t="s">
        <v>17</v>
      </c>
      <c r="AB375" s="1">
        <v>0</v>
      </c>
      <c r="AC375" s="1" t="s">
        <v>17</v>
      </c>
    </row>
    <row r="376" spans="1:29">
      <c r="A376" s="1" t="s">
        <v>17</v>
      </c>
      <c r="B376" s="1" t="s">
        <v>2520</v>
      </c>
      <c r="C376" s="1" t="s">
        <v>17</v>
      </c>
      <c r="D376" s="1" t="s">
        <v>33</v>
      </c>
      <c r="E376" s="1" t="s">
        <v>2391</v>
      </c>
      <c r="F376" s="1" t="s">
        <v>17</v>
      </c>
      <c r="G376" s="1" t="s">
        <v>17</v>
      </c>
      <c r="H376" s="1" t="s">
        <v>17</v>
      </c>
      <c r="I376" s="1" t="s">
        <v>17</v>
      </c>
      <c r="J376" s="1" t="s">
        <v>17</v>
      </c>
      <c r="K376" s="1" t="s">
        <v>17</v>
      </c>
      <c r="L376" s="9">
        <v>0</v>
      </c>
      <c r="M376" s="1" t="s">
        <v>103</v>
      </c>
      <c r="N376" s="1" t="s">
        <v>1337</v>
      </c>
      <c r="O376" s="1"/>
      <c r="P376" s="1" t="s">
        <v>2379</v>
      </c>
      <c r="Q376" s="1" t="s">
        <v>2380</v>
      </c>
      <c r="R376" s="1"/>
      <c r="S376" s="9">
        <v>-8260</v>
      </c>
      <c r="T376" s="1">
        <v>-8260</v>
      </c>
      <c r="U376" s="1" t="s">
        <v>2494</v>
      </c>
      <c r="V376" s="1" t="s">
        <v>15</v>
      </c>
      <c r="W376" s="1" t="s">
        <v>17</v>
      </c>
      <c r="X376" s="1" t="s">
        <v>17</v>
      </c>
      <c r="Y376" s="1" t="s">
        <v>17</v>
      </c>
      <c r="Z376" s="1" t="s">
        <v>17</v>
      </c>
      <c r="AA376" s="1" t="s">
        <v>17</v>
      </c>
      <c r="AB376" s="1">
        <v>0</v>
      </c>
      <c r="AC376" s="1" t="s">
        <v>17</v>
      </c>
    </row>
    <row r="377" spans="1:29">
      <c r="A377" s="1" t="s">
        <v>17</v>
      </c>
      <c r="B377" s="1" t="s">
        <v>2521</v>
      </c>
      <c r="C377" s="1" t="s">
        <v>17</v>
      </c>
      <c r="D377" s="1" t="s">
        <v>33</v>
      </c>
      <c r="E377" s="1" t="s">
        <v>2391</v>
      </c>
      <c r="F377" s="1" t="s">
        <v>17</v>
      </c>
      <c r="G377" s="1" t="s">
        <v>17</v>
      </c>
      <c r="H377" s="1" t="s">
        <v>17</v>
      </c>
      <c r="I377" s="1" t="s">
        <v>17</v>
      </c>
      <c r="J377" s="1" t="s">
        <v>17</v>
      </c>
      <c r="K377" s="1" t="s">
        <v>17</v>
      </c>
      <c r="L377" s="9">
        <v>0</v>
      </c>
      <c r="M377" s="1" t="s">
        <v>103</v>
      </c>
      <c r="N377" s="1" t="s">
        <v>2518</v>
      </c>
      <c r="O377" s="1"/>
      <c r="P377" s="1" t="s">
        <v>2379</v>
      </c>
      <c r="Q377" s="1" t="s">
        <v>2380</v>
      </c>
      <c r="R377" s="1"/>
      <c r="S377" s="9">
        <v>8120</v>
      </c>
      <c r="T377" s="1">
        <v>8120</v>
      </c>
      <c r="U377" s="1" t="s">
        <v>2494</v>
      </c>
      <c r="V377" s="1" t="s">
        <v>15</v>
      </c>
      <c r="W377" s="1" t="s">
        <v>17</v>
      </c>
      <c r="X377" s="1" t="s">
        <v>17</v>
      </c>
      <c r="Y377" s="1" t="s">
        <v>17</v>
      </c>
      <c r="Z377" s="1" t="s">
        <v>17</v>
      </c>
      <c r="AA377" s="1" t="s">
        <v>17</v>
      </c>
      <c r="AB377" s="1">
        <v>0</v>
      </c>
      <c r="AC377" s="1" t="s">
        <v>17</v>
      </c>
    </row>
    <row r="378" spans="1:29">
      <c r="A378" s="1" t="s">
        <v>17</v>
      </c>
      <c r="B378" s="1" t="s">
        <v>2522</v>
      </c>
      <c r="C378" s="1" t="s">
        <v>17</v>
      </c>
      <c r="D378" s="1" t="s">
        <v>33</v>
      </c>
      <c r="E378" s="1" t="s">
        <v>2391</v>
      </c>
      <c r="F378" s="1" t="s">
        <v>17</v>
      </c>
      <c r="G378" s="1" t="s">
        <v>17</v>
      </c>
      <c r="H378" s="1" t="s">
        <v>17</v>
      </c>
      <c r="I378" s="1" t="s">
        <v>17</v>
      </c>
      <c r="J378" s="1" t="s">
        <v>17</v>
      </c>
      <c r="K378" s="1" t="s">
        <v>17</v>
      </c>
      <c r="L378" s="9">
        <v>0</v>
      </c>
      <c r="M378" s="1" t="s">
        <v>103</v>
      </c>
      <c r="N378" s="1" t="s">
        <v>625</v>
      </c>
      <c r="O378" s="1"/>
      <c r="P378" s="1" t="s">
        <v>2379</v>
      </c>
      <c r="Q378" s="1" t="s">
        <v>2380</v>
      </c>
      <c r="R378" s="1"/>
      <c r="S378" s="9">
        <v>-8260</v>
      </c>
      <c r="T378" s="1">
        <v>-8260</v>
      </c>
      <c r="U378" s="1" t="s">
        <v>2494</v>
      </c>
      <c r="V378" s="1" t="s">
        <v>15</v>
      </c>
      <c r="W378" s="1" t="s">
        <v>17</v>
      </c>
      <c r="X378" s="1" t="s">
        <v>17</v>
      </c>
      <c r="Y378" s="1" t="s">
        <v>17</v>
      </c>
      <c r="Z378" s="1" t="s">
        <v>17</v>
      </c>
      <c r="AA378" s="1" t="s">
        <v>17</v>
      </c>
      <c r="AB378" s="1">
        <v>0</v>
      </c>
      <c r="AC378" s="1" t="s">
        <v>17</v>
      </c>
    </row>
    <row r="379" spans="1:29">
      <c r="A379" s="1" t="s">
        <v>17</v>
      </c>
      <c r="B379" s="1" t="s">
        <v>2523</v>
      </c>
      <c r="C379" s="1" t="s">
        <v>17</v>
      </c>
      <c r="D379" s="1" t="s">
        <v>33</v>
      </c>
      <c r="E379" s="1" t="s">
        <v>2391</v>
      </c>
      <c r="F379" s="1" t="s">
        <v>17</v>
      </c>
      <c r="G379" s="1" t="s">
        <v>17</v>
      </c>
      <c r="H379" s="1" t="s">
        <v>17</v>
      </c>
      <c r="I379" s="1" t="s">
        <v>17</v>
      </c>
      <c r="J379" s="1" t="s">
        <v>17</v>
      </c>
      <c r="K379" s="1" t="s">
        <v>17</v>
      </c>
      <c r="L379" s="9">
        <v>0</v>
      </c>
      <c r="M379" s="1" t="s">
        <v>103</v>
      </c>
      <c r="N379" s="1" t="s">
        <v>454</v>
      </c>
      <c r="O379" s="1"/>
      <c r="P379" s="1" t="s">
        <v>2379</v>
      </c>
      <c r="Q379" s="1" t="s">
        <v>2380</v>
      </c>
      <c r="R379" s="1"/>
      <c r="S379" s="9">
        <v>-8260</v>
      </c>
      <c r="T379" s="1">
        <v>-8260</v>
      </c>
      <c r="U379" s="1" t="s">
        <v>2494</v>
      </c>
      <c r="V379" s="1" t="s">
        <v>15</v>
      </c>
      <c r="W379" s="1" t="s">
        <v>17</v>
      </c>
      <c r="X379" s="1" t="s">
        <v>17</v>
      </c>
      <c r="Y379" s="1" t="s">
        <v>17</v>
      </c>
      <c r="Z379" s="1" t="s">
        <v>17</v>
      </c>
      <c r="AA379" s="1" t="s">
        <v>17</v>
      </c>
      <c r="AB379" s="1">
        <v>0</v>
      </c>
      <c r="AC379" s="1" t="s">
        <v>17</v>
      </c>
    </row>
    <row r="380" spans="1:29">
      <c r="A380" s="1" t="s">
        <v>17</v>
      </c>
      <c r="B380" s="1" t="s">
        <v>2524</v>
      </c>
      <c r="C380" s="1" t="s">
        <v>17</v>
      </c>
      <c r="D380" s="1" t="s">
        <v>33</v>
      </c>
      <c r="E380" s="1" t="s">
        <v>2391</v>
      </c>
      <c r="F380" s="1" t="s">
        <v>17</v>
      </c>
      <c r="G380" s="1" t="s">
        <v>17</v>
      </c>
      <c r="H380" s="1" t="s">
        <v>17</v>
      </c>
      <c r="I380" s="1" t="s">
        <v>17</v>
      </c>
      <c r="J380" s="1" t="s">
        <v>17</v>
      </c>
      <c r="K380" s="1" t="s">
        <v>17</v>
      </c>
      <c r="L380" s="9">
        <v>0</v>
      </c>
      <c r="M380" s="1" t="s">
        <v>103</v>
      </c>
      <c r="N380" s="1" t="s">
        <v>454</v>
      </c>
      <c r="O380" s="1"/>
      <c r="P380" s="1" t="s">
        <v>2379</v>
      </c>
      <c r="Q380" s="1" t="s">
        <v>2380</v>
      </c>
      <c r="R380" s="1"/>
      <c r="S380" s="9">
        <v>8120</v>
      </c>
      <c r="T380" s="1">
        <v>8120</v>
      </c>
      <c r="U380" s="1" t="s">
        <v>2494</v>
      </c>
      <c r="V380" s="1" t="s">
        <v>15</v>
      </c>
      <c r="W380" s="1" t="s">
        <v>17</v>
      </c>
      <c r="X380" s="1" t="s">
        <v>17</v>
      </c>
      <c r="Y380" s="1" t="s">
        <v>17</v>
      </c>
      <c r="Z380" s="1" t="s">
        <v>17</v>
      </c>
      <c r="AA380" s="1" t="s">
        <v>17</v>
      </c>
      <c r="AB380" s="1">
        <v>0</v>
      </c>
      <c r="AC380" s="1" t="s">
        <v>17</v>
      </c>
    </row>
    <row r="381" spans="1:29">
      <c r="A381" s="1" t="s">
        <v>17</v>
      </c>
      <c r="B381" s="1" t="s">
        <v>2525</v>
      </c>
      <c r="C381" s="1" t="s">
        <v>17</v>
      </c>
      <c r="D381" s="1" t="s">
        <v>33</v>
      </c>
      <c r="E381" s="1" t="s">
        <v>2391</v>
      </c>
      <c r="F381" s="1" t="s">
        <v>17</v>
      </c>
      <c r="G381" s="1" t="s">
        <v>17</v>
      </c>
      <c r="H381" s="1" t="s">
        <v>17</v>
      </c>
      <c r="I381" s="1" t="s">
        <v>17</v>
      </c>
      <c r="J381" s="1" t="s">
        <v>17</v>
      </c>
      <c r="K381" s="1" t="s">
        <v>17</v>
      </c>
      <c r="L381" s="9">
        <v>0</v>
      </c>
      <c r="M381" s="1" t="s">
        <v>103</v>
      </c>
      <c r="N381" s="1" t="s">
        <v>298</v>
      </c>
      <c r="O381" s="1"/>
      <c r="P381" s="1" t="s">
        <v>2379</v>
      </c>
      <c r="Q381" s="1" t="s">
        <v>2380</v>
      </c>
      <c r="R381" s="1"/>
      <c r="S381" s="9">
        <v>68858.83</v>
      </c>
      <c r="T381" s="1">
        <v>68858.83</v>
      </c>
      <c r="U381" s="1" t="s">
        <v>2494</v>
      </c>
      <c r="V381" s="1" t="s">
        <v>15</v>
      </c>
      <c r="W381" s="1" t="s">
        <v>17</v>
      </c>
      <c r="X381" s="1" t="s">
        <v>17</v>
      </c>
      <c r="Y381" s="1" t="s">
        <v>17</v>
      </c>
      <c r="Z381" s="1" t="s">
        <v>17</v>
      </c>
      <c r="AA381" s="1" t="s">
        <v>17</v>
      </c>
      <c r="AB381" s="1">
        <v>0</v>
      </c>
      <c r="AC381" s="1" t="s">
        <v>17</v>
      </c>
    </row>
    <row r="382" spans="1:29">
      <c r="A382" s="1" t="s">
        <v>17</v>
      </c>
      <c r="B382" s="1" t="s">
        <v>2526</v>
      </c>
      <c r="C382" s="1" t="s">
        <v>17</v>
      </c>
      <c r="D382" s="1" t="s">
        <v>33</v>
      </c>
      <c r="E382" s="1" t="s">
        <v>2391</v>
      </c>
      <c r="F382" s="1" t="s">
        <v>17</v>
      </c>
      <c r="G382" s="1" t="s">
        <v>17</v>
      </c>
      <c r="H382" s="1" t="s">
        <v>17</v>
      </c>
      <c r="I382" s="1" t="s">
        <v>17</v>
      </c>
      <c r="J382" s="1" t="s">
        <v>17</v>
      </c>
      <c r="K382" s="1" t="s">
        <v>17</v>
      </c>
      <c r="L382" s="9">
        <v>0</v>
      </c>
      <c r="M382" s="1" t="s">
        <v>103</v>
      </c>
      <c r="N382" s="1" t="s">
        <v>1094</v>
      </c>
      <c r="O382" s="1"/>
      <c r="P382" s="1" t="s">
        <v>2379</v>
      </c>
      <c r="Q382" s="1" t="s">
        <v>2380</v>
      </c>
      <c r="R382" s="1"/>
      <c r="S382" s="9">
        <v>-8260</v>
      </c>
      <c r="T382" s="1">
        <v>-8260</v>
      </c>
      <c r="U382" s="1" t="s">
        <v>2494</v>
      </c>
      <c r="V382" s="1" t="s">
        <v>15</v>
      </c>
      <c r="W382" s="1" t="s">
        <v>17</v>
      </c>
      <c r="X382" s="1" t="s">
        <v>17</v>
      </c>
      <c r="Y382" s="1" t="s">
        <v>17</v>
      </c>
      <c r="Z382" s="1" t="s">
        <v>17</v>
      </c>
      <c r="AA382" s="1" t="s">
        <v>17</v>
      </c>
      <c r="AB382" s="1">
        <v>0</v>
      </c>
      <c r="AC382" s="1" t="s">
        <v>17</v>
      </c>
    </row>
    <row r="383" spans="1:29">
      <c r="A383" s="1" t="s">
        <v>17</v>
      </c>
      <c r="B383" s="1" t="s">
        <v>2527</v>
      </c>
      <c r="C383" s="1" t="s">
        <v>17</v>
      </c>
      <c r="D383" s="1" t="s">
        <v>33</v>
      </c>
      <c r="E383" s="1" t="s">
        <v>2391</v>
      </c>
      <c r="F383" s="1" t="s">
        <v>17</v>
      </c>
      <c r="G383" s="1" t="s">
        <v>17</v>
      </c>
      <c r="H383" s="1" t="s">
        <v>17</v>
      </c>
      <c r="I383" s="1" t="s">
        <v>17</v>
      </c>
      <c r="J383" s="1" t="s">
        <v>17</v>
      </c>
      <c r="K383" s="1" t="s">
        <v>17</v>
      </c>
      <c r="L383" s="9">
        <v>0</v>
      </c>
      <c r="M383" s="1" t="s">
        <v>103</v>
      </c>
      <c r="N383" s="1" t="s">
        <v>1117</v>
      </c>
      <c r="O383" s="1"/>
      <c r="P383" s="1" t="s">
        <v>2379</v>
      </c>
      <c r="Q383" s="1" t="s">
        <v>2380</v>
      </c>
      <c r="R383" s="1"/>
      <c r="S383" s="9">
        <v>-61576.9</v>
      </c>
      <c r="T383" s="1">
        <v>-61576.9</v>
      </c>
      <c r="U383" s="1" t="s">
        <v>2494</v>
      </c>
      <c r="V383" s="1" t="s">
        <v>15</v>
      </c>
      <c r="W383" s="1" t="s">
        <v>17</v>
      </c>
      <c r="X383" s="1" t="s">
        <v>17</v>
      </c>
      <c r="Y383" s="1" t="s">
        <v>17</v>
      </c>
      <c r="Z383" s="1" t="s">
        <v>17</v>
      </c>
      <c r="AA383" s="1" t="s">
        <v>17</v>
      </c>
      <c r="AB383" s="1">
        <v>0</v>
      </c>
      <c r="AC383" s="1" t="s">
        <v>17</v>
      </c>
    </row>
    <row r="384" spans="1:29">
      <c r="A384" s="1" t="s">
        <v>17</v>
      </c>
      <c r="B384" s="1" t="s">
        <v>2528</v>
      </c>
      <c r="C384" s="1" t="s">
        <v>17</v>
      </c>
      <c r="D384" s="1" t="s">
        <v>33</v>
      </c>
      <c r="E384" s="1" t="s">
        <v>2391</v>
      </c>
      <c r="F384" s="1" t="s">
        <v>17</v>
      </c>
      <c r="G384" s="1" t="s">
        <v>17</v>
      </c>
      <c r="H384" s="1" t="s">
        <v>17</v>
      </c>
      <c r="I384" s="1" t="s">
        <v>17</v>
      </c>
      <c r="J384" s="1" t="s">
        <v>17</v>
      </c>
      <c r="K384" s="1" t="s">
        <v>17</v>
      </c>
      <c r="L384" s="9">
        <v>0</v>
      </c>
      <c r="M384" s="1" t="s">
        <v>103</v>
      </c>
      <c r="N384" s="1" t="s">
        <v>1196</v>
      </c>
      <c r="O384" s="1"/>
      <c r="P384" s="1" t="s">
        <v>2379</v>
      </c>
      <c r="Q384" s="1" t="s">
        <v>2380</v>
      </c>
      <c r="R384" s="1"/>
      <c r="S384" s="9">
        <v>-24387.29</v>
      </c>
      <c r="T384" s="1">
        <v>-24387.29</v>
      </c>
      <c r="U384" s="1" t="s">
        <v>2494</v>
      </c>
      <c r="V384" s="1" t="s">
        <v>15</v>
      </c>
      <c r="W384" s="1" t="s">
        <v>17</v>
      </c>
      <c r="X384" s="1" t="s">
        <v>17</v>
      </c>
      <c r="Y384" s="1" t="s">
        <v>17</v>
      </c>
      <c r="Z384" s="1" t="s">
        <v>17</v>
      </c>
      <c r="AA384" s="1" t="s">
        <v>17</v>
      </c>
      <c r="AB384" s="1">
        <v>0</v>
      </c>
      <c r="AC384" s="1" t="s">
        <v>17</v>
      </c>
    </row>
    <row r="385" spans="1:29">
      <c r="A385" s="1" t="s">
        <v>17</v>
      </c>
      <c r="B385" s="1" t="s">
        <v>2529</v>
      </c>
      <c r="C385" s="1" t="s">
        <v>17</v>
      </c>
      <c r="D385" s="1" t="s">
        <v>33</v>
      </c>
      <c r="E385" s="1" t="s">
        <v>2391</v>
      </c>
      <c r="F385" s="1" t="s">
        <v>17</v>
      </c>
      <c r="G385" s="1" t="s">
        <v>17</v>
      </c>
      <c r="H385" s="1" t="s">
        <v>17</v>
      </c>
      <c r="I385" s="1" t="s">
        <v>17</v>
      </c>
      <c r="J385" s="1" t="s">
        <v>17</v>
      </c>
      <c r="K385" s="1" t="s">
        <v>17</v>
      </c>
      <c r="L385" s="9">
        <v>0</v>
      </c>
      <c r="M385" s="1" t="s">
        <v>103</v>
      </c>
      <c r="N385" s="1" t="s">
        <v>1986</v>
      </c>
      <c r="O385" s="1"/>
      <c r="P385" s="1" t="s">
        <v>2379</v>
      </c>
      <c r="Q385" s="1" t="s">
        <v>2380</v>
      </c>
      <c r="R385" s="1"/>
      <c r="S385" s="9">
        <v>-95507.05</v>
      </c>
      <c r="T385" s="1">
        <v>-95507.05</v>
      </c>
      <c r="U385" s="1" t="s">
        <v>2494</v>
      </c>
      <c r="V385" s="1" t="s">
        <v>15</v>
      </c>
      <c r="W385" s="1" t="s">
        <v>17</v>
      </c>
      <c r="X385" s="1" t="s">
        <v>17</v>
      </c>
      <c r="Y385" s="1" t="s">
        <v>17</v>
      </c>
      <c r="Z385" s="1" t="s">
        <v>17</v>
      </c>
      <c r="AA385" s="1" t="s">
        <v>17</v>
      </c>
      <c r="AB385" s="1">
        <v>0</v>
      </c>
      <c r="AC385" s="1" t="s">
        <v>17</v>
      </c>
    </row>
    <row r="386" spans="1:29">
      <c r="A386" s="1" t="s">
        <v>17</v>
      </c>
      <c r="B386" s="1" t="s">
        <v>2530</v>
      </c>
      <c r="C386" s="1" t="s">
        <v>17</v>
      </c>
      <c r="D386" s="1" t="s">
        <v>45</v>
      </c>
      <c r="E386" s="1" t="s">
        <v>2477</v>
      </c>
      <c r="F386" s="1" t="s">
        <v>17</v>
      </c>
      <c r="G386" s="1" t="s">
        <v>17</v>
      </c>
      <c r="H386" s="1" t="s">
        <v>17</v>
      </c>
      <c r="I386" s="1" t="s">
        <v>17</v>
      </c>
      <c r="J386" s="1" t="s">
        <v>17</v>
      </c>
      <c r="K386" s="1" t="s">
        <v>17</v>
      </c>
      <c r="L386" s="9">
        <v>0</v>
      </c>
      <c r="M386" s="1" t="s">
        <v>103</v>
      </c>
      <c r="N386" s="1" t="s">
        <v>2482</v>
      </c>
      <c r="O386" s="1"/>
      <c r="P386" s="1" t="s">
        <v>2490</v>
      </c>
      <c r="Q386" s="1" t="s">
        <v>2531</v>
      </c>
      <c r="R386" s="1"/>
      <c r="S386" s="9">
        <v>0</v>
      </c>
      <c r="T386" s="1">
        <v>0</v>
      </c>
      <c r="U386" s="1" t="s">
        <v>17</v>
      </c>
      <c r="V386" s="1" t="s">
        <v>15</v>
      </c>
      <c r="W386" s="1" t="s">
        <v>17</v>
      </c>
      <c r="X386" s="1" t="s">
        <v>17</v>
      </c>
      <c r="Y386" s="1" t="s">
        <v>17</v>
      </c>
      <c r="Z386" s="1" t="s">
        <v>17</v>
      </c>
      <c r="AA386" s="1" t="s">
        <v>17</v>
      </c>
      <c r="AB386" s="1">
        <v>0</v>
      </c>
      <c r="AC386" s="1" t="s">
        <v>17</v>
      </c>
    </row>
    <row r="387" spans="1:29">
      <c r="A387" s="1" t="s">
        <v>17</v>
      </c>
      <c r="B387" s="1" t="s">
        <v>2532</v>
      </c>
      <c r="C387" s="1" t="s">
        <v>17</v>
      </c>
      <c r="D387" s="1" t="s">
        <v>25</v>
      </c>
      <c r="E387" s="1" t="s">
        <v>2373</v>
      </c>
      <c r="F387" s="1" t="s">
        <v>17</v>
      </c>
      <c r="G387" s="1" t="s">
        <v>17</v>
      </c>
      <c r="H387" s="1" t="s">
        <v>17</v>
      </c>
      <c r="I387" s="1" t="s">
        <v>17</v>
      </c>
      <c r="J387" s="1" t="s">
        <v>17</v>
      </c>
      <c r="K387" s="1" t="s">
        <v>17</v>
      </c>
      <c r="L387" s="9">
        <v>0</v>
      </c>
      <c r="M387" s="1" t="s">
        <v>103</v>
      </c>
      <c r="N387" s="1" t="s">
        <v>477</v>
      </c>
      <c r="O387" s="1"/>
      <c r="P387" s="1" t="s">
        <v>2374</v>
      </c>
      <c r="Q387" s="1" t="s">
        <v>2375</v>
      </c>
      <c r="R387" s="1"/>
      <c r="S387" s="9">
        <v>-217234.42</v>
      </c>
      <c r="T387" s="1">
        <v>-217234.42</v>
      </c>
      <c r="U387" s="1" t="s">
        <v>17</v>
      </c>
      <c r="V387" s="1" t="s">
        <v>15</v>
      </c>
      <c r="W387" s="1" t="s">
        <v>17</v>
      </c>
      <c r="X387" s="1" t="s">
        <v>17</v>
      </c>
      <c r="Y387" s="1" t="s">
        <v>17</v>
      </c>
      <c r="Z387" s="1" t="s">
        <v>17</v>
      </c>
      <c r="AA387" s="1" t="s">
        <v>17</v>
      </c>
      <c r="AB387" s="1">
        <v>0</v>
      </c>
      <c r="AC387" s="1" t="s">
        <v>17</v>
      </c>
    </row>
    <row r="388" spans="1:29">
      <c r="A388" s="1" t="s">
        <v>17</v>
      </c>
      <c r="B388" s="1" t="s">
        <v>2533</v>
      </c>
      <c r="C388" s="1" t="s">
        <v>2534</v>
      </c>
      <c r="D388" s="1" t="s">
        <v>42</v>
      </c>
      <c r="E388" s="1" t="s">
        <v>42</v>
      </c>
      <c r="F388" s="1" t="s">
        <v>17</v>
      </c>
      <c r="G388" s="1" t="s">
        <v>17</v>
      </c>
      <c r="H388" s="1" t="s">
        <v>17</v>
      </c>
      <c r="I388" s="1" t="s">
        <v>17</v>
      </c>
      <c r="J388" s="1" t="s">
        <v>17</v>
      </c>
      <c r="K388" s="1" t="s">
        <v>17</v>
      </c>
      <c r="L388" s="9">
        <v>0</v>
      </c>
      <c r="M388" s="1" t="s">
        <v>103</v>
      </c>
      <c r="N388" s="1" t="s">
        <v>395</v>
      </c>
      <c r="O388" s="1"/>
      <c r="P388" s="1" t="s">
        <v>2379</v>
      </c>
      <c r="Q388" s="1" t="s">
        <v>2380</v>
      </c>
      <c r="R388" s="1"/>
      <c r="S388" s="9">
        <v>28903</v>
      </c>
      <c r="T388" s="1">
        <v>28903</v>
      </c>
      <c r="U388" s="1" t="s">
        <v>2535</v>
      </c>
      <c r="V388" s="1" t="s">
        <v>15</v>
      </c>
      <c r="W388" s="1" t="s">
        <v>17</v>
      </c>
      <c r="X388" s="1" t="s">
        <v>17</v>
      </c>
      <c r="Y388" s="1" t="s">
        <v>17</v>
      </c>
      <c r="Z388" s="1" t="s">
        <v>17</v>
      </c>
      <c r="AA388" s="1" t="s">
        <v>17</v>
      </c>
      <c r="AB388" s="1">
        <v>0</v>
      </c>
      <c r="AC388" s="1" t="s">
        <v>17</v>
      </c>
    </row>
    <row r="389" spans="1:29">
      <c r="A389" s="1" t="s">
        <v>17</v>
      </c>
      <c r="B389" s="1" t="s">
        <v>2536</v>
      </c>
      <c r="C389" s="1" t="s">
        <v>2537</v>
      </c>
      <c r="D389" s="1" t="s">
        <v>42</v>
      </c>
      <c r="E389" s="1" t="s">
        <v>42</v>
      </c>
      <c r="F389" s="1" t="s">
        <v>17</v>
      </c>
      <c r="G389" s="1" t="s">
        <v>17</v>
      </c>
      <c r="H389" s="1" t="s">
        <v>17</v>
      </c>
      <c r="I389" s="1" t="s">
        <v>17</v>
      </c>
      <c r="J389" s="1" t="s">
        <v>17</v>
      </c>
      <c r="K389" s="1" t="s">
        <v>17</v>
      </c>
      <c r="L389" s="9">
        <v>0</v>
      </c>
      <c r="M389" s="1" t="s">
        <v>103</v>
      </c>
      <c r="N389" s="1" t="s">
        <v>1335</v>
      </c>
      <c r="O389" s="1"/>
      <c r="P389" s="1" t="s">
        <v>2379</v>
      </c>
      <c r="Q389" s="1" t="s">
        <v>2380</v>
      </c>
      <c r="R389" s="1"/>
      <c r="S389" s="9">
        <v>18012</v>
      </c>
      <c r="T389" s="1">
        <v>18012</v>
      </c>
      <c r="U389" s="1" t="s">
        <v>2535</v>
      </c>
      <c r="V389" s="1" t="s">
        <v>15</v>
      </c>
      <c r="W389" s="1" t="s">
        <v>17</v>
      </c>
      <c r="X389" s="1" t="s">
        <v>17</v>
      </c>
      <c r="Y389" s="1" t="s">
        <v>17</v>
      </c>
      <c r="Z389" s="1" t="s">
        <v>17</v>
      </c>
      <c r="AA389" s="1" t="s">
        <v>17</v>
      </c>
      <c r="AB389" s="1">
        <v>0</v>
      </c>
      <c r="AC389" s="1" t="s">
        <v>17</v>
      </c>
    </row>
    <row r="390" spans="1:29">
      <c r="A390" s="1" t="s">
        <v>17</v>
      </c>
      <c r="B390" s="1" t="s">
        <v>2538</v>
      </c>
      <c r="C390" s="1" t="s">
        <v>2539</v>
      </c>
      <c r="D390" s="1" t="s">
        <v>42</v>
      </c>
      <c r="E390" s="1" t="s">
        <v>42</v>
      </c>
      <c r="F390" s="1" t="s">
        <v>17</v>
      </c>
      <c r="G390" s="1" t="s">
        <v>17</v>
      </c>
      <c r="H390" s="1" t="s">
        <v>17</v>
      </c>
      <c r="I390" s="1" t="s">
        <v>17</v>
      </c>
      <c r="J390" s="1" t="s">
        <v>17</v>
      </c>
      <c r="K390" s="1" t="s">
        <v>17</v>
      </c>
      <c r="L390" s="9">
        <v>0</v>
      </c>
      <c r="M390" s="1" t="s">
        <v>103</v>
      </c>
      <c r="N390" s="1" t="s">
        <v>1154</v>
      </c>
      <c r="O390" s="1"/>
      <c r="P390" s="1" t="s">
        <v>2379</v>
      </c>
      <c r="Q390" s="1" t="s">
        <v>2380</v>
      </c>
      <c r="R390" s="1"/>
      <c r="S390" s="9">
        <v>-14451.72</v>
      </c>
      <c r="T390" s="1">
        <v>-14451.72</v>
      </c>
      <c r="U390" s="1" t="s">
        <v>2535</v>
      </c>
      <c r="V390" s="1" t="s">
        <v>15</v>
      </c>
      <c r="W390" s="1" t="s">
        <v>17</v>
      </c>
      <c r="X390" s="1" t="s">
        <v>17</v>
      </c>
      <c r="Y390" s="1" t="s">
        <v>17</v>
      </c>
      <c r="Z390" s="1" t="s">
        <v>17</v>
      </c>
      <c r="AA390" s="1" t="s">
        <v>17</v>
      </c>
      <c r="AB390" s="1">
        <v>0</v>
      </c>
      <c r="AC390" s="1" t="s">
        <v>17</v>
      </c>
    </row>
    <row r="391" spans="1:29">
      <c r="A391" s="1" t="s">
        <v>17</v>
      </c>
      <c r="B391" s="1" t="s">
        <v>2540</v>
      </c>
      <c r="C391" s="1" t="s">
        <v>2541</v>
      </c>
      <c r="D391" s="1" t="s">
        <v>42</v>
      </c>
      <c r="E391" s="1" t="s">
        <v>42</v>
      </c>
      <c r="F391" s="1" t="s">
        <v>17</v>
      </c>
      <c r="G391" s="1" t="s">
        <v>17</v>
      </c>
      <c r="H391" s="1" t="s">
        <v>17</v>
      </c>
      <c r="I391" s="1" t="s">
        <v>17</v>
      </c>
      <c r="J391" s="1" t="s">
        <v>17</v>
      </c>
      <c r="K391" s="1" t="s">
        <v>17</v>
      </c>
      <c r="L391" s="9">
        <v>0</v>
      </c>
      <c r="M391" s="1" t="s">
        <v>103</v>
      </c>
      <c r="N391" s="1" t="s">
        <v>517</v>
      </c>
      <c r="O391" s="1"/>
      <c r="P391" s="1" t="s">
        <v>2379</v>
      </c>
      <c r="Q391" s="1" t="s">
        <v>2380</v>
      </c>
      <c r="R391" s="1"/>
      <c r="S391" s="9">
        <v>-29531.78</v>
      </c>
      <c r="T391" s="1">
        <v>-29531.78</v>
      </c>
      <c r="U391" s="1" t="s">
        <v>2535</v>
      </c>
      <c r="V391" s="1" t="s">
        <v>15</v>
      </c>
      <c r="W391" s="1" t="s">
        <v>17</v>
      </c>
      <c r="X391" s="1" t="s">
        <v>17</v>
      </c>
      <c r="Y391" s="1" t="s">
        <v>17</v>
      </c>
      <c r="Z391" s="1" t="s">
        <v>17</v>
      </c>
      <c r="AA391" s="1" t="s">
        <v>17</v>
      </c>
      <c r="AB391" s="1">
        <v>0</v>
      </c>
      <c r="AC391" s="1" t="s">
        <v>17</v>
      </c>
    </row>
    <row r="392" spans="1:29">
      <c r="A392" s="1" t="s">
        <v>17</v>
      </c>
      <c r="B392" s="1" t="s">
        <v>2542</v>
      </c>
      <c r="C392" s="1" t="s">
        <v>2543</v>
      </c>
      <c r="D392" s="1" t="s">
        <v>42</v>
      </c>
      <c r="E392" s="1" t="s">
        <v>42</v>
      </c>
      <c r="F392" s="1" t="s">
        <v>17</v>
      </c>
      <c r="G392" s="1" t="s">
        <v>17</v>
      </c>
      <c r="H392" s="1" t="s">
        <v>17</v>
      </c>
      <c r="I392" s="1" t="s">
        <v>17</v>
      </c>
      <c r="J392" s="1" t="s">
        <v>17</v>
      </c>
      <c r="K392" s="1" t="s">
        <v>17</v>
      </c>
      <c r="L392" s="9">
        <v>0</v>
      </c>
      <c r="M392" s="1" t="s">
        <v>103</v>
      </c>
      <c r="N392" s="1" t="s">
        <v>901</v>
      </c>
      <c r="O392" s="1"/>
      <c r="P392" s="1" t="s">
        <v>2379</v>
      </c>
      <c r="Q392" s="1" t="s">
        <v>2380</v>
      </c>
      <c r="R392" s="1"/>
      <c r="S392" s="9">
        <v>25342</v>
      </c>
      <c r="T392" s="1">
        <v>25342</v>
      </c>
      <c r="U392" s="1" t="s">
        <v>2535</v>
      </c>
      <c r="V392" s="1" t="s">
        <v>15</v>
      </c>
      <c r="W392" s="1" t="s">
        <v>17</v>
      </c>
      <c r="X392" s="1" t="s">
        <v>17</v>
      </c>
      <c r="Y392" s="1" t="s">
        <v>17</v>
      </c>
      <c r="Z392" s="1" t="s">
        <v>17</v>
      </c>
      <c r="AA392" s="1" t="s">
        <v>17</v>
      </c>
      <c r="AB392" s="1">
        <v>0</v>
      </c>
      <c r="AC392" s="1" t="s">
        <v>17</v>
      </c>
    </row>
    <row r="393" spans="1:29">
      <c r="A393" s="1" t="s">
        <v>17</v>
      </c>
      <c r="B393" s="1" t="s">
        <v>2544</v>
      </c>
      <c r="C393" s="1" t="s">
        <v>2545</v>
      </c>
      <c r="D393" s="1" t="s">
        <v>42</v>
      </c>
      <c r="E393" s="1" t="s">
        <v>42</v>
      </c>
      <c r="F393" s="1" t="s">
        <v>17</v>
      </c>
      <c r="G393" s="1" t="s">
        <v>17</v>
      </c>
      <c r="H393" s="1" t="s">
        <v>17</v>
      </c>
      <c r="I393" s="1" t="s">
        <v>17</v>
      </c>
      <c r="J393" s="1" t="s">
        <v>17</v>
      </c>
      <c r="K393" s="1" t="s">
        <v>17</v>
      </c>
      <c r="L393" s="9">
        <v>0</v>
      </c>
      <c r="M393" s="1" t="s">
        <v>103</v>
      </c>
      <c r="N393" s="1" t="s">
        <v>278</v>
      </c>
      <c r="O393" s="1"/>
      <c r="P393" s="1" t="s">
        <v>2379</v>
      </c>
      <c r="Q393" s="1" t="s">
        <v>2380</v>
      </c>
      <c r="R393" s="1"/>
      <c r="S393" s="9">
        <v>-68069.73</v>
      </c>
      <c r="T393" s="1">
        <v>-68069.73</v>
      </c>
      <c r="U393" s="1" t="s">
        <v>2535</v>
      </c>
      <c r="V393" s="1" t="s">
        <v>15</v>
      </c>
      <c r="W393" s="1" t="s">
        <v>17</v>
      </c>
      <c r="X393" s="1" t="s">
        <v>17</v>
      </c>
      <c r="Y393" s="1" t="s">
        <v>17</v>
      </c>
      <c r="Z393" s="1" t="s">
        <v>17</v>
      </c>
      <c r="AA393" s="1" t="s">
        <v>17</v>
      </c>
      <c r="AB393" s="1">
        <v>0</v>
      </c>
      <c r="AC393" s="1" t="s">
        <v>17</v>
      </c>
    </row>
    <row r="394" spans="1:29">
      <c r="A394" s="1" t="s">
        <v>17</v>
      </c>
      <c r="B394" s="1" t="s">
        <v>2546</v>
      </c>
      <c r="C394" s="1" t="s">
        <v>2547</v>
      </c>
      <c r="D394" s="1" t="s">
        <v>42</v>
      </c>
      <c r="E394" s="1" t="s">
        <v>42</v>
      </c>
      <c r="F394" s="1" t="s">
        <v>17</v>
      </c>
      <c r="G394" s="1" t="s">
        <v>17</v>
      </c>
      <c r="H394" s="1" t="s">
        <v>17</v>
      </c>
      <c r="I394" s="1" t="s">
        <v>17</v>
      </c>
      <c r="J394" s="1" t="s">
        <v>17</v>
      </c>
      <c r="K394" s="1" t="s">
        <v>17</v>
      </c>
      <c r="L394" s="9">
        <v>0</v>
      </c>
      <c r="M394" s="1" t="s">
        <v>103</v>
      </c>
      <c r="N394" s="1" t="s">
        <v>921</v>
      </c>
      <c r="O394" s="1"/>
      <c r="P394" s="1" t="s">
        <v>2379</v>
      </c>
      <c r="Q394" s="1" t="s">
        <v>2380</v>
      </c>
      <c r="R394" s="1"/>
      <c r="S394" s="9">
        <v>-69745.289999999994</v>
      </c>
      <c r="T394" s="1">
        <v>-69745.289999999994</v>
      </c>
      <c r="U394" s="1" t="s">
        <v>2535</v>
      </c>
      <c r="V394" s="1" t="s">
        <v>15</v>
      </c>
      <c r="W394" s="1" t="s">
        <v>17</v>
      </c>
      <c r="X394" s="1" t="s">
        <v>17</v>
      </c>
      <c r="Y394" s="1" t="s">
        <v>17</v>
      </c>
      <c r="Z394" s="1" t="s">
        <v>17</v>
      </c>
      <c r="AA394" s="1" t="s">
        <v>17</v>
      </c>
      <c r="AB394" s="1">
        <v>0</v>
      </c>
      <c r="AC394" s="1" t="s">
        <v>17</v>
      </c>
    </row>
    <row r="395" spans="1:29">
      <c r="A395" s="1" t="s">
        <v>17</v>
      </c>
      <c r="B395" s="1" t="s">
        <v>2548</v>
      </c>
      <c r="C395" s="1" t="s">
        <v>2549</v>
      </c>
      <c r="D395" s="1" t="s">
        <v>42</v>
      </c>
      <c r="E395" s="1" t="s">
        <v>42</v>
      </c>
      <c r="F395" s="1" t="s">
        <v>17</v>
      </c>
      <c r="G395" s="1" t="s">
        <v>17</v>
      </c>
      <c r="H395" s="1" t="s">
        <v>17</v>
      </c>
      <c r="I395" s="1" t="s">
        <v>17</v>
      </c>
      <c r="J395" s="1" t="s">
        <v>17</v>
      </c>
      <c r="K395" s="1" t="s">
        <v>17</v>
      </c>
      <c r="L395" s="9">
        <v>0</v>
      </c>
      <c r="M395" s="1" t="s">
        <v>103</v>
      </c>
      <c r="N395" s="1" t="s">
        <v>1473</v>
      </c>
      <c r="O395" s="1"/>
      <c r="P395" s="1" t="s">
        <v>2379</v>
      </c>
      <c r="Q395" s="1" t="s">
        <v>2380</v>
      </c>
      <c r="R395" s="1"/>
      <c r="S395" s="9">
        <v>32464.02</v>
      </c>
      <c r="T395" s="1">
        <v>32464.02</v>
      </c>
      <c r="U395" s="1" t="s">
        <v>2535</v>
      </c>
      <c r="V395" s="1" t="s">
        <v>15</v>
      </c>
      <c r="W395" s="1" t="s">
        <v>17</v>
      </c>
      <c r="X395" s="1" t="s">
        <v>17</v>
      </c>
      <c r="Y395" s="1" t="s">
        <v>17</v>
      </c>
      <c r="Z395" s="1" t="s">
        <v>17</v>
      </c>
      <c r="AA395" s="1" t="s">
        <v>17</v>
      </c>
      <c r="AB395" s="1">
        <v>0</v>
      </c>
      <c r="AC395" s="1" t="s">
        <v>17</v>
      </c>
    </row>
    <row r="396" spans="1:29">
      <c r="A396" s="1" t="s">
        <v>17</v>
      </c>
      <c r="B396" s="1" t="s">
        <v>2550</v>
      </c>
      <c r="C396" s="1" t="s">
        <v>2551</v>
      </c>
      <c r="D396" s="1" t="s">
        <v>42</v>
      </c>
      <c r="E396" s="1" t="s">
        <v>42</v>
      </c>
      <c r="F396" s="1" t="s">
        <v>17</v>
      </c>
      <c r="G396" s="1" t="s">
        <v>17</v>
      </c>
      <c r="H396" s="1" t="s">
        <v>17</v>
      </c>
      <c r="I396" s="1" t="s">
        <v>17</v>
      </c>
      <c r="J396" s="1" t="s">
        <v>17</v>
      </c>
      <c r="K396" s="1" t="s">
        <v>17</v>
      </c>
      <c r="L396" s="9">
        <v>0</v>
      </c>
      <c r="M396" s="1" t="s">
        <v>103</v>
      </c>
      <c r="N396" s="1" t="s">
        <v>895</v>
      </c>
      <c r="O396" s="1"/>
      <c r="P396" s="1" t="s">
        <v>2379</v>
      </c>
      <c r="Q396" s="1" t="s">
        <v>2380</v>
      </c>
      <c r="R396" s="1"/>
      <c r="S396" s="9">
        <v>17383.97</v>
      </c>
      <c r="T396" s="1">
        <v>17383.97</v>
      </c>
      <c r="U396" s="1" t="s">
        <v>2535</v>
      </c>
      <c r="V396" s="1" t="s">
        <v>15</v>
      </c>
      <c r="W396" s="1" t="s">
        <v>17</v>
      </c>
      <c r="X396" s="1" t="s">
        <v>17</v>
      </c>
      <c r="Y396" s="1" t="s">
        <v>17</v>
      </c>
      <c r="Z396" s="1" t="s">
        <v>17</v>
      </c>
      <c r="AA396" s="1" t="s">
        <v>17</v>
      </c>
      <c r="AB396" s="1">
        <v>0</v>
      </c>
      <c r="AC396" s="1" t="s">
        <v>17</v>
      </c>
    </row>
    <row r="397" spans="1:29">
      <c r="A397" s="1" t="s">
        <v>17</v>
      </c>
      <c r="B397" s="1" t="s">
        <v>2552</v>
      </c>
      <c r="C397" s="1" t="s">
        <v>2553</v>
      </c>
      <c r="D397" s="1" t="s">
        <v>42</v>
      </c>
      <c r="E397" s="1" t="s">
        <v>42</v>
      </c>
      <c r="F397" s="1" t="s">
        <v>17</v>
      </c>
      <c r="G397" s="1" t="s">
        <v>17</v>
      </c>
      <c r="H397" s="1" t="s">
        <v>17</v>
      </c>
      <c r="I397" s="1" t="s">
        <v>17</v>
      </c>
      <c r="J397" s="1" t="s">
        <v>17</v>
      </c>
      <c r="K397" s="1" t="s">
        <v>17</v>
      </c>
      <c r="L397" s="9">
        <v>0</v>
      </c>
      <c r="M397" s="1" t="s">
        <v>103</v>
      </c>
      <c r="N397" s="1" t="s">
        <v>1110</v>
      </c>
      <c r="O397" s="1"/>
      <c r="P397" s="1" t="s">
        <v>2379</v>
      </c>
      <c r="Q397" s="1" t="s">
        <v>2380</v>
      </c>
      <c r="R397" s="1"/>
      <c r="S397" s="9">
        <v>31206</v>
      </c>
      <c r="T397" s="1">
        <v>31206</v>
      </c>
      <c r="U397" s="1" t="s">
        <v>2535</v>
      </c>
      <c r="V397" s="1" t="s">
        <v>15</v>
      </c>
      <c r="W397" s="1" t="s">
        <v>17</v>
      </c>
      <c r="X397" s="1" t="s">
        <v>17</v>
      </c>
      <c r="Y397" s="1" t="s">
        <v>17</v>
      </c>
      <c r="Z397" s="1" t="s">
        <v>17</v>
      </c>
      <c r="AA397" s="1" t="s">
        <v>17</v>
      </c>
      <c r="AB397" s="1">
        <v>0</v>
      </c>
      <c r="AC397" s="1" t="s">
        <v>17</v>
      </c>
    </row>
    <row r="398" spans="1:29">
      <c r="A398" s="1" t="s">
        <v>17</v>
      </c>
      <c r="B398" s="1" t="s">
        <v>2554</v>
      </c>
      <c r="C398" s="1" t="s">
        <v>2555</v>
      </c>
      <c r="D398" s="1" t="s">
        <v>42</v>
      </c>
      <c r="E398" s="1" t="s">
        <v>42</v>
      </c>
      <c r="F398" s="1" t="s">
        <v>17</v>
      </c>
      <c r="G398" s="1" t="s">
        <v>17</v>
      </c>
      <c r="H398" s="1" t="s">
        <v>17</v>
      </c>
      <c r="I398" s="1" t="s">
        <v>17</v>
      </c>
      <c r="J398" s="1" t="s">
        <v>17</v>
      </c>
      <c r="K398" s="1" t="s">
        <v>17</v>
      </c>
      <c r="L398" s="9">
        <v>0</v>
      </c>
      <c r="M398" s="1" t="s">
        <v>103</v>
      </c>
      <c r="N398" s="1" t="s">
        <v>462</v>
      </c>
      <c r="O398" s="1"/>
      <c r="P398" s="1" t="s">
        <v>2379</v>
      </c>
      <c r="Q398" s="1" t="s">
        <v>2380</v>
      </c>
      <c r="R398" s="1"/>
      <c r="S398" s="9">
        <v>-17802.84</v>
      </c>
      <c r="T398" s="1">
        <v>-17802.84</v>
      </c>
      <c r="U398" s="1" t="s">
        <v>2535</v>
      </c>
      <c r="V398" s="1" t="s">
        <v>15</v>
      </c>
      <c r="W398" s="1" t="s">
        <v>17</v>
      </c>
      <c r="X398" s="1" t="s">
        <v>17</v>
      </c>
      <c r="Y398" s="1" t="s">
        <v>17</v>
      </c>
      <c r="Z398" s="1" t="s">
        <v>17</v>
      </c>
      <c r="AA398" s="1" t="s">
        <v>17</v>
      </c>
      <c r="AB398" s="1">
        <v>0</v>
      </c>
      <c r="AC398" s="1" t="s">
        <v>17</v>
      </c>
    </row>
    <row r="399" spans="1:29">
      <c r="A399" s="1" t="s">
        <v>17</v>
      </c>
      <c r="B399" s="1" t="s">
        <v>2556</v>
      </c>
      <c r="C399" s="1" t="s">
        <v>2557</v>
      </c>
      <c r="D399" s="1" t="s">
        <v>42</v>
      </c>
      <c r="E399" s="1" t="s">
        <v>42</v>
      </c>
      <c r="F399" s="1" t="s">
        <v>17</v>
      </c>
      <c r="G399" s="1" t="s">
        <v>17</v>
      </c>
      <c r="H399" s="1" t="s">
        <v>17</v>
      </c>
      <c r="I399" s="1" t="s">
        <v>17</v>
      </c>
      <c r="J399" s="1" t="s">
        <v>17</v>
      </c>
      <c r="K399" s="1" t="s">
        <v>17</v>
      </c>
      <c r="L399" s="9">
        <v>0</v>
      </c>
      <c r="M399" s="1" t="s">
        <v>103</v>
      </c>
      <c r="N399" s="1" t="s">
        <v>2318</v>
      </c>
      <c r="O399" s="1"/>
      <c r="P399" s="1" t="s">
        <v>2379</v>
      </c>
      <c r="Q399" s="1" t="s">
        <v>2380</v>
      </c>
      <c r="R399" s="1"/>
      <c r="S399" s="9">
        <v>55503</v>
      </c>
      <c r="T399" s="1">
        <v>55503</v>
      </c>
      <c r="U399" s="1" t="s">
        <v>2535</v>
      </c>
      <c r="V399" s="1" t="s">
        <v>15</v>
      </c>
      <c r="W399" s="1" t="s">
        <v>17</v>
      </c>
      <c r="X399" s="1" t="s">
        <v>17</v>
      </c>
      <c r="Y399" s="1" t="s">
        <v>17</v>
      </c>
      <c r="Z399" s="1" t="s">
        <v>17</v>
      </c>
      <c r="AA399" s="1" t="s">
        <v>17</v>
      </c>
      <c r="AB399" s="1">
        <v>0</v>
      </c>
      <c r="AC399" s="1" t="s">
        <v>17</v>
      </c>
    </row>
    <row r="400" spans="1:29">
      <c r="A400" s="1" t="s">
        <v>17</v>
      </c>
      <c r="B400" s="1" t="s">
        <v>2558</v>
      </c>
      <c r="C400" s="1" t="s">
        <v>2559</v>
      </c>
      <c r="D400" s="1" t="s">
        <v>42</v>
      </c>
      <c r="E400" s="1" t="s">
        <v>42</v>
      </c>
      <c r="F400" s="1" t="s">
        <v>17</v>
      </c>
      <c r="G400" s="1" t="s">
        <v>17</v>
      </c>
      <c r="H400" s="1" t="s">
        <v>17</v>
      </c>
      <c r="I400" s="1" t="s">
        <v>17</v>
      </c>
      <c r="J400" s="1" t="s">
        <v>17</v>
      </c>
      <c r="K400" s="1" t="s">
        <v>17</v>
      </c>
      <c r="L400" s="9">
        <v>0</v>
      </c>
      <c r="M400" s="1" t="s">
        <v>103</v>
      </c>
      <c r="N400" s="1" t="s">
        <v>1986</v>
      </c>
      <c r="O400" s="1"/>
      <c r="P400" s="1" t="s">
        <v>2379</v>
      </c>
      <c r="Q400" s="1" t="s">
        <v>2380</v>
      </c>
      <c r="R400" s="1"/>
      <c r="S400" s="9">
        <v>15498.94</v>
      </c>
      <c r="T400" s="1">
        <v>15498.94</v>
      </c>
      <c r="U400" s="1" t="s">
        <v>2535</v>
      </c>
      <c r="V400" s="1" t="s">
        <v>15</v>
      </c>
      <c r="W400" s="1" t="s">
        <v>17</v>
      </c>
      <c r="X400" s="1" t="s">
        <v>17</v>
      </c>
      <c r="Y400" s="1" t="s">
        <v>17</v>
      </c>
      <c r="Z400" s="1" t="s">
        <v>17</v>
      </c>
      <c r="AA400" s="1" t="s">
        <v>17</v>
      </c>
      <c r="AB400" s="1">
        <v>0</v>
      </c>
      <c r="AC400" s="1" t="s">
        <v>17</v>
      </c>
    </row>
    <row r="401" spans="1:29">
      <c r="A401" s="1" t="s">
        <v>17</v>
      </c>
      <c r="B401" s="1" t="s">
        <v>2560</v>
      </c>
      <c r="C401" s="1" t="s">
        <v>2561</v>
      </c>
      <c r="D401" s="1" t="s">
        <v>42</v>
      </c>
      <c r="E401" s="1" t="s">
        <v>42</v>
      </c>
      <c r="F401" s="1" t="s">
        <v>17</v>
      </c>
      <c r="G401" s="1" t="s">
        <v>17</v>
      </c>
      <c r="H401" s="1" t="s">
        <v>17</v>
      </c>
      <c r="I401" s="1" t="s">
        <v>17</v>
      </c>
      <c r="J401" s="1" t="s">
        <v>17</v>
      </c>
      <c r="K401" s="1" t="s">
        <v>17</v>
      </c>
      <c r="L401" s="9">
        <v>0</v>
      </c>
      <c r="M401" s="1" t="s">
        <v>103</v>
      </c>
      <c r="N401" s="1" t="s">
        <v>212</v>
      </c>
      <c r="O401" s="1"/>
      <c r="P401" s="1" t="s">
        <v>2379</v>
      </c>
      <c r="Q401" s="1" t="s">
        <v>2380</v>
      </c>
      <c r="R401" s="1"/>
      <c r="S401" s="9">
        <v>15708</v>
      </c>
      <c r="T401" s="1">
        <v>15708</v>
      </c>
      <c r="U401" s="1" t="s">
        <v>2535</v>
      </c>
      <c r="V401" s="1" t="s">
        <v>15</v>
      </c>
      <c r="W401" s="1" t="s">
        <v>17</v>
      </c>
      <c r="X401" s="1" t="s">
        <v>17</v>
      </c>
      <c r="Y401" s="1" t="s">
        <v>17</v>
      </c>
      <c r="Z401" s="1" t="s">
        <v>17</v>
      </c>
      <c r="AA401" s="1" t="s">
        <v>17</v>
      </c>
      <c r="AB401" s="1">
        <v>0</v>
      </c>
      <c r="AC401" s="1" t="s">
        <v>17</v>
      </c>
    </row>
    <row r="402" spans="1:29">
      <c r="A402" s="1" t="s">
        <v>17</v>
      </c>
      <c r="B402" s="1" t="s">
        <v>2562</v>
      </c>
      <c r="C402" s="1" t="s">
        <v>2551</v>
      </c>
      <c r="D402" s="1" t="s">
        <v>42</v>
      </c>
      <c r="E402" s="1" t="s">
        <v>42</v>
      </c>
      <c r="F402" s="1" t="s">
        <v>17</v>
      </c>
      <c r="G402" s="1" t="s">
        <v>17</v>
      </c>
      <c r="H402" s="1" t="s">
        <v>17</v>
      </c>
      <c r="I402" s="1" t="s">
        <v>17</v>
      </c>
      <c r="J402" s="1" t="s">
        <v>17</v>
      </c>
      <c r="K402" s="1" t="s">
        <v>17</v>
      </c>
      <c r="L402" s="9">
        <v>0</v>
      </c>
      <c r="M402" s="1" t="s">
        <v>103</v>
      </c>
      <c r="N402" s="1" t="s">
        <v>534</v>
      </c>
      <c r="O402" s="1"/>
      <c r="P402" s="1" t="s">
        <v>2379</v>
      </c>
      <c r="Q402" s="1" t="s">
        <v>2380</v>
      </c>
      <c r="R402" s="1"/>
      <c r="S402" s="9">
        <v>-17383.97</v>
      </c>
      <c r="T402" s="1">
        <v>-17383.97</v>
      </c>
      <c r="U402" s="1" t="s">
        <v>2535</v>
      </c>
      <c r="V402" s="1" t="s">
        <v>15</v>
      </c>
      <c r="W402" s="1" t="s">
        <v>17</v>
      </c>
      <c r="X402" s="1" t="s">
        <v>17</v>
      </c>
      <c r="Y402" s="1" t="s">
        <v>17</v>
      </c>
      <c r="Z402" s="1" t="s">
        <v>17</v>
      </c>
      <c r="AA402" s="1" t="s">
        <v>17</v>
      </c>
      <c r="AB402" s="1">
        <v>0</v>
      </c>
      <c r="AC402" s="1" t="s">
        <v>17</v>
      </c>
    </row>
    <row r="403" spans="1:29">
      <c r="A403" s="1" t="s">
        <v>17</v>
      </c>
      <c r="B403" s="1" t="s">
        <v>2563</v>
      </c>
      <c r="C403" s="1" t="s">
        <v>2534</v>
      </c>
      <c r="D403" s="1" t="s">
        <v>42</v>
      </c>
      <c r="E403" s="1" t="s">
        <v>42</v>
      </c>
      <c r="F403" s="1" t="s">
        <v>17</v>
      </c>
      <c r="G403" s="1" t="s">
        <v>17</v>
      </c>
      <c r="H403" s="1" t="s">
        <v>17</v>
      </c>
      <c r="I403" s="1" t="s">
        <v>17</v>
      </c>
      <c r="J403" s="1" t="s">
        <v>17</v>
      </c>
      <c r="K403" s="1" t="s">
        <v>17</v>
      </c>
      <c r="L403" s="9">
        <v>0</v>
      </c>
      <c r="M403" s="1" t="s">
        <v>103</v>
      </c>
      <c r="N403" s="1" t="s">
        <v>395</v>
      </c>
      <c r="O403" s="1"/>
      <c r="P403" s="1" t="s">
        <v>2379</v>
      </c>
      <c r="Q403" s="1" t="s">
        <v>2380</v>
      </c>
      <c r="R403" s="1"/>
      <c r="S403" s="9">
        <v>-28903.45</v>
      </c>
      <c r="T403" s="1">
        <v>-28903.45</v>
      </c>
      <c r="U403" s="1" t="s">
        <v>2535</v>
      </c>
      <c r="V403" s="1" t="s">
        <v>15</v>
      </c>
      <c r="W403" s="1" t="s">
        <v>17</v>
      </c>
      <c r="X403" s="1" t="s">
        <v>17</v>
      </c>
      <c r="Y403" s="1" t="s">
        <v>17</v>
      </c>
      <c r="Z403" s="1" t="s">
        <v>17</v>
      </c>
      <c r="AA403" s="1" t="s">
        <v>17</v>
      </c>
      <c r="AB403" s="1">
        <v>0</v>
      </c>
      <c r="AC403" s="1" t="s">
        <v>17</v>
      </c>
    </row>
    <row r="404" spans="1:29">
      <c r="A404" s="1" t="s">
        <v>17</v>
      </c>
      <c r="B404" s="1" t="s">
        <v>2564</v>
      </c>
      <c r="C404" s="1" t="s">
        <v>2565</v>
      </c>
      <c r="D404" s="1" t="s">
        <v>42</v>
      </c>
      <c r="E404" s="1" t="s">
        <v>42</v>
      </c>
      <c r="F404" s="1" t="s">
        <v>17</v>
      </c>
      <c r="G404" s="1" t="s">
        <v>17</v>
      </c>
      <c r="H404" s="1" t="s">
        <v>17</v>
      </c>
      <c r="I404" s="1" t="s">
        <v>17</v>
      </c>
      <c r="J404" s="1" t="s">
        <v>17</v>
      </c>
      <c r="K404" s="1" t="s">
        <v>17</v>
      </c>
      <c r="L404" s="9">
        <v>0</v>
      </c>
      <c r="M404" s="1" t="s">
        <v>103</v>
      </c>
      <c r="N404" s="1" t="s">
        <v>2566</v>
      </c>
      <c r="O404" s="1"/>
      <c r="P404" s="1" t="s">
        <v>2379</v>
      </c>
      <c r="Q404" s="1" t="s">
        <v>2380</v>
      </c>
      <c r="R404" s="1"/>
      <c r="S404" s="9">
        <v>32672</v>
      </c>
      <c r="T404" s="1">
        <v>32672</v>
      </c>
      <c r="U404" s="1" t="s">
        <v>2535</v>
      </c>
      <c r="V404" s="1" t="s">
        <v>15</v>
      </c>
      <c r="W404" s="1" t="s">
        <v>17</v>
      </c>
      <c r="X404" s="1" t="s">
        <v>17</v>
      </c>
      <c r="Y404" s="1" t="s">
        <v>17</v>
      </c>
      <c r="Z404" s="1" t="s">
        <v>17</v>
      </c>
      <c r="AA404" s="1" t="s">
        <v>17</v>
      </c>
      <c r="AB404" s="1">
        <v>0</v>
      </c>
      <c r="AC404" s="1" t="s">
        <v>17</v>
      </c>
    </row>
    <row r="405" spans="1:29">
      <c r="A405" s="1" t="s">
        <v>17</v>
      </c>
      <c r="B405" s="1" t="s">
        <v>2567</v>
      </c>
      <c r="C405" s="1" t="s">
        <v>2568</v>
      </c>
      <c r="D405" s="1" t="s">
        <v>42</v>
      </c>
      <c r="E405" s="1" t="s">
        <v>42</v>
      </c>
      <c r="F405" s="1" t="s">
        <v>17</v>
      </c>
      <c r="G405" s="1" t="s">
        <v>17</v>
      </c>
      <c r="H405" s="1" t="s">
        <v>17</v>
      </c>
      <c r="I405" s="1" t="s">
        <v>17</v>
      </c>
      <c r="J405" s="1" t="s">
        <v>17</v>
      </c>
      <c r="K405" s="1" t="s">
        <v>17</v>
      </c>
      <c r="L405" s="9">
        <v>0</v>
      </c>
      <c r="M405" s="1" t="s">
        <v>103</v>
      </c>
      <c r="N405" s="1" t="s">
        <v>166</v>
      </c>
      <c r="O405" s="1"/>
      <c r="P405" s="1" t="s">
        <v>2379</v>
      </c>
      <c r="Q405" s="1" t="s">
        <v>2380</v>
      </c>
      <c r="R405" s="1"/>
      <c r="S405" s="9">
        <v>16336.73</v>
      </c>
      <c r="T405" s="1">
        <v>16336.73</v>
      </c>
      <c r="U405" s="1" t="s">
        <v>2535</v>
      </c>
      <c r="V405" s="1" t="s">
        <v>15</v>
      </c>
      <c r="W405" s="1" t="s">
        <v>17</v>
      </c>
      <c r="X405" s="1" t="s">
        <v>17</v>
      </c>
      <c r="Y405" s="1" t="s">
        <v>17</v>
      </c>
      <c r="Z405" s="1" t="s">
        <v>17</v>
      </c>
      <c r="AA405" s="1" t="s">
        <v>17</v>
      </c>
      <c r="AB405" s="1">
        <v>0</v>
      </c>
      <c r="AC405" s="1" t="s">
        <v>17</v>
      </c>
    </row>
    <row r="406" spans="1:29">
      <c r="A406" s="1" t="s">
        <v>17</v>
      </c>
      <c r="B406" s="1" t="s">
        <v>2569</v>
      </c>
      <c r="C406" s="1" t="s">
        <v>2570</v>
      </c>
      <c r="D406" s="1" t="s">
        <v>42</v>
      </c>
      <c r="E406" s="1" t="s">
        <v>42</v>
      </c>
      <c r="F406" s="1" t="s">
        <v>17</v>
      </c>
      <c r="G406" s="1" t="s">
        <v>17</v>
      </c>
      <c r="H406" s="1" t="s">
        <v>17</v>
      </c>
      <c r="I406" s="1" t="s">
        <v>17</v>
      </c>
      <c r="J406" s="1" t="s">
        <v>17</v>
      </c>
      <c r="K406" s="1" t="s">
        <v>17</v>
      </c>
      <c r="L406" s="9">
        <v>0</v>
      </c>
      <c r="M406" s="1" t="s">
        <v>103</v>
      </c>
      <c r="N406" s="1" t="s">
        <v>822</v>
      </c>
      <c r="O406" s="1"/>
      <c r="P406" s="1" t="s">
        <v>2379</v>
      </c>
      <c r="Q406" s="1" t="s">
        <v>2380</v>
      </c>
      <c r="R406" s="1"/>
      <c r="S406" s="9">
        <v>-55712.45</v>
      </c>
      <c r="T406" s="1">
        <v>-55712.45</v>
      </c>
      <c r="U406" s="1" t="s">
        <v>2535</v>
      </c>
      <c r="V406" s="1" t="s">
        <v>15</v>
      </c>
      <c r="W406" s="1" t="s">
        <v>17</v>
      </c>
      <c r="X406" s="1" t="s">
        <v>17</v>
      </c>
      <c r="Y406" s="1" t="s">
        <v>17</v>
      </c>
      <c r="Z406" s="1" t="s">
        <v>17</v>
      </c>
      <c r="AA406" s="1" t="s">
        <v>17</v>
      </c>
      <c r="AB406" s="1">
        <v>0</v>
      </c>
      <c r="AC406" s="1" t="s">
        <v>17</v>
      </c>
    </row>
    <row r="407" spans="1:29">
      <c r="A407" s="1" t="s">
        <v>17</v>
      </c>
      <c r="B407" s="1" t="s">
        <v>2571</v>
      </c>
      <c r="C407" s="1" t="s">
        <v>2572</v>
      </c>
      <c r="D407" s="1" t="s">
        <v>42</v>
      </c>
      <c r="E407" s="1" t="s">
        <v>42</v>
      </c>
      <c r="F407" s="1" t="s">
        <v>17</v>
      </c>
      <c r="G407" s="1" t="s">
        <v>17</v>
      </c>
      <c r="H407" s="1" t="s">
        <v>17</v>
      </c>
      <c r="I407" s="1" t="s">
        <v>17</v>
      </c>
      <c r="J407" s="1" t="s">
        <v>17</v>
      </c>
      <c r="K407" s="1" t="s">
        <v>17</v>
      </c>
      <c r="L407" s="9">
        <v>0</v>
      </c>
      <c r="M407" s="1" t="s">
        <v>103</v>
      </c>
      <c r="N407" s="1" t="s">
        <v>1674</v>
      </c>
      <c r="O407" s="1"/>
      <c r="P407" s="1" t="s">
        <v>2379</v>
      </c>
      <c r="Q407" s="1" t="s">
        <v>2380</v>
      </c>
      <c r="R407" s="1"/>
      <c r="S407" s="9">
        <v>18431.189999999999</v>
      </c>
      <c r="T407" s="1">
        <v>18431.189999999999</v>
      </c>
      <c r="U407" s="1" t="s">
        <v>2535</v>
      </c>
      <c r="V407" s="1" t="s">
        <v>15</v>
      </c>
      <c r="W407" s="1" t="s">
        <v>17</v>
      </c>
      <c r="X407" s="1" t="s">
        <v>17</v>
      </c>
      <c r="Y407" s="1" t="s">
        <v>17</v>
      </c>
      <c r="Z407" s="1" t="s">
        <v>17</v>
      </c>
      <c r="AA407" s="1" t="s">
        <v>17</v>
      </c>
      <c r="AB407" s="1">
        <v>0</v>
      </c>
      <c r="AC407" s="1" t="s">
        <v>17</v>
      </c>
    </row>
    <row r="408" spans="1:29">
      <c r="A408" s="1" t="s">
        <v>17</v>
      </c>
      <c r="B408" s="1" t="s">
        <v>2573</v>
      </c>
      <c r="C408" s="1" t="s">
        <v>2547</v>
      </c>
      <c r="D408" s="1" t="s">
        <v>42</v>
      </c>
      <c r="E408" s="1" t="s">
        <v>42</v>
      </c>
      <c r="F408" s="1" t="s">
        <v>17</v>
      </c>
      <c r="G408" s="1" t="s">
        <v>17</v>
      </c>
      <c r="H408" s="1" t="s">
        <v>17</v>
      </c>
      <c r="I408" s="1" t="s">
        <v>17</v>
      </c>
      <c r="J408" s="1" t="s">
        <v>17</v>
      </c>
      <c r="K408" s="1" t="s">
        <v>17</v>
      </c>
      <c r="L408" s="9">
        <v>0</v>
      </c>
      <c r="M408" s="1" t="s">
        <v>103</v>
      </c>
      <c r="N408" s="1" t="s">
        <v>921</v>
      </c>
      <c r="O408" s="1"/>
      <c r="P408" s="1" t="s">
        <v>2379</v>
      </c>
      <c r="Q408" s="1" t="s">
        <v>2380</v>
      </c>
      <c r="R408" s="1"/>
      <c r="S408" s="9">
        <v>69744.91</v>
      </c>
      <c r="T408" s="1">
        <v>69744.91</v>
      </c>
      <c r="U408" s="1" t="s">
        <v>2535</v>
      </c>
      <c r="V408" s="1" t="s">
        <v>15</v>
      </c>
      <c r="W408" s="1" t="s">
        <v>17</v>
      </c>
      <c r="X408" s="1" t="s">
        <v>17</v>
      </c>
      <c r="Y408" s="1" t="s">
        <v>17</v>
      </c>
      <c r="Z408" s="1" t="s">
        <v>17</v>
      </c>
      <c r="AA408" s="1" t="s">
        <v>17</v>
      </c>
      <c r="AB408" s="1">
        <v>0</v>
      </c>
      <c r="AC408" s="1" t="s">
        <v>17</v>
      </c>
    </row>
    <row r="409" spans="1:29">
      <c r="A409" s="1" t="s">
        <v>17</v>
      </c>
      <c r="B409" s="1" t="s">
        <v>2574</v>
      </c>
      <c r="C409" s="1" t="s">
        <v>2575</v>
      </c>
      <c r="D409" s="1" t="s">
        <v>42</v>
      </c>
      <c r="E409" s="1" t="s">
        <v>42</v>
      </c>
      <c r="F409" s="1" t="s">
        <v>17</v>
      </c>
      <c r="G409" s="1" t="s">
        <v>17</v>
      </c>
      <c r="H409" s="1" t="s">
        <v>17</v>
      </c>
      <c r="I409" s="1" t="s">
        <v>17</v>
      </c>
      <c r="J409" s="1" t="s">
        <v>17</v>
      </c>
      <c r="K409" s="1" t="s">
        <v>17</v>
      </c>
      <c r="L409" s="9">
        <v>0</v>
      </c>
      <c r="M409" s="1" t="s">
        <v>103</v>
      </c>
      <c r="N409" s="1" t="s">
        <v>1159</v>
      </c>
      <c r="O409" s="1"/>
      <c r="P409" s="1" t="s">
        <v>2379</v>
      </c>
      <c r="Q409" s="1" t="s">
        <v>2380</v>
      </c>
      <c r="R409" s="1"/>
      <c r="S409" s="9">
        <v>-30788.45</v>
      </c>
      <c r="T409" s="1">
        <v>-30788.45</v>
      </c>
      <c r="U409" s="1" t="s">
        <v>2535</v>
      </c>
      <c r="V409" s="1" t="s">
        <v>15</v>
      </c>
      <c r="W409" s="1" t="s">
        <v>17</v>
      </c>
      <c r="X409" s="1" t="s">
        <v>17</v>
      </c>
      <c r="Y409" s="1" t="s">
        <v>17</v>
      </c>
      <c r="Z409" s="1" t="s">
        <v>17</v>
      </c>
      <c r="AA409" s="1" t="s">
        <v>17</v>
      </c>
      <c r="AB409" s="1">
        <v>0</v>
      </c>
      <c r="AC409" s="1" t="s">
        <v>17</v>
      </c>
    </row>
    <row r="410" spans="1:29">
      <c r="A410" s="1" t="s">
        <v>17</v>
      </c>
      <c r="B410" s="1" t="s">
        <v>2576</v>
      </c>
      <c r="C410" s="1" t="s">
        <v>2577</v>
      </c>
      <c r="D410" s="1" t="s">
        <v>42</v>
      </c>
      <c r="E410" s="1" t="s">
        <v>42</v>
      </c>
      <c r="F410" s="1" t="s">
        <v>17</v>
      </c>
      <c r="G410" s="1" t="s">
        <v>17</v>
      </c>
      <c r="H410" s="1" t="s">
        <v>17</v>
      </c>
      <c r="I410" s="1" t="s">
        <v>17</v>
      </c>
      <c r="J410" s="1" t="s">
        <v>17</v>
      </c>
      <c r="K410" s="1" t="s">
        <v>17</v>
      </c>
      <c r="L410" s="9">
        <v>0</v>
      </c>
      <c r="M410" s="1" t="s">
        <v>103</v>
      </c>
      <c r="N410" s="1" t="s">
        <v>726</v>
      </c>
      <c r="O410" s="1"/>
      <c r="P410" s="1" t="s">
        <v>2379</v>
      </c>
      <c r="Q410" s="1" t="s">
        <v>2380</v>
      </c>
      <c r="R410" s="1"/>
      <c r="S410" s="9">
        <v>-13613.94</v>
      </c>
      <c r="T410" s="1">
        <v>-13613.94</v>
      </c>
      <c r="U410" s="1" t="s">
        <v>2535</v>
      </c>
      <c r="V410" s="1" t="s">
        <v>15</v>
      </c>
      <c r="W410" s="1" t="s">
        <v>17</v>
      </c>
      <c r="X410" s="1" t="s">
        <v>17</v>
      </c>
      <c r="Y410" s="1" t="s">
        <v>17</v>
      </c>
      <c r="Z410" s="1" t="s">
        <v>17</v>
      </c>
      <c r="AA410" s="1" t="s">
        <v>17</v>
      </c>
      <c r="AB410" s="1">
        <v>0</v>
      </c>
      <c r="AC410" s="1" t="s">
        <v>17</v>
      </c>
    </row>
    <row r="411" spans="1:29">
      <c r="A411" s="1" t="s">
        <v>17</v>
      </c>
      <c r="B411" s="1" t="s">
        <v>2578</v>
      </c>
      <c r="C411" s="1" t="s">
        <v>2579</v>
      </c>
      <c r="D411" s="1" t="s">
        <v>42</v>
      </c>
      <c r="E411" s="1" t="s">
        <v>42</v>
      </c>
      <c r="F411" s="1" t="s">
        <v>17</v>
      </c>
      <c r="G411" s="1" t="s">
        <v>17</v>
      </c>
      <c r="H411" s="1" t="s">
        <v>17</v>
      </c>
      <c r="I411" s="1" t="s">
        <v>17</v>
      </c>
      <c r="J411" s="1" t="s">
        <v>17</v>
      </c>
      <c r="K411" s="1" t="s">
        <v>17</v>
      </c>
      <c r="L411" s="9">
        <v>0</v>
      </c>
      <c r="M411" s="1" t="s">
        <v>103</v>
      </c>
      <c r="N411" s="1" t="s">
        <v>2580</v>
      </c>
      <c r="O411" s="1"/>
      <c r="P411" s="1" t="s">
        <v>2379</v>
      </c>
      <c r="Q411" s="1" t="s">
        <v>2380</v>
      </c>
      <c r="R411" s="1"/>
      <c r="S411" s="9">
        <v>10262.030000000001</v>
      </c>
      <c r="T411" s="1">
        <v>10262.030000000001</v>
      </c>
      <c r="U411" s="1" t="s">
        <v>2535</v>
      </c>
      <c r="V411" s="1" t="s">
        <v>15</v>
      </c>
      <c r="W411" s="1" t="s">
        <v>17</v>
      </c>
      <c r="X411" s="1" t="s">
        <v>17</v>
      </c>
      <c r="Y411" s="1" t="s">
        <v>17</v>
      </c>
      <c r="Z411" s="1" t="s">
        <v>17</v>
      </c>
      <c r="AA411" s="1" t="s">
        <v>17</v>
      </c>
      <c r="AB411" s="1">
        <v>0</v>
      </c>
      <c r="AC411" s="1" t="s">
        <v>17</v>
      </c>
    </row>
    <row r="412" spans="1:29">
      <c r="A412" s="1" t="s">
        <v>17</v>
      </c>
      <c r="B412" s="1" t="s">
        <v>2581</v>
      </c>
      <c r="C412" s="1" t="s">
        <v>2582</v>
      </c>
      <c r="D412" s="1" t="s">
        <v>42</v>
      </c>
      <c r="E412" s="1" t="s">
        <v>42</v>
      </c>
      <c r="F412" s="1" t="s">
        <v>17</v>
      </c>
      <c r="G412" s="1" t="s">
        <v>17</v>
      </c>
      <c r="H412" s="1" t="s">
        <v>17</v>
      </c>
      <c r="I412" s="1" t="s">
        <v>17</v>
      </c>
      <c r="J412" s="1" t="s">
        <v>17</v>
      </c>
      <c r="K412" s="1" t="s">
        <v>17</v>
      </c>
      <c r="L412" s="9">
        <v>0</v>
      </c>
      <c r="M412" s="1" t="s">
        <v>103</v>
      </c>
      <c r="N412" s="1" t="s">
        <v>1079</v>
      </c>
      <c r="O412" s="1"/>
      <c r="P412" s="1" t="s">
        <v>2379</v>
      </c>
      <c r="Q412" s="1" t="s">
        <v>2380</v>
      </c>
      <c r="R412" s="1"/>
      <c r="S412" s="9">
        <v>-9843.93</v>
      </c>
      <c r="T412" s="1">
        <v>-9843.93</v>
      </c>
      <c r="U412" s="1" t="s">
        <v>2535</v>
      </c>
      <c r="V412" s="1" t="s">
        <v>15</v>
      </c>
      <c r="W412" s="1" t="s">
        <v>17</v>
      </c>
      <c r="X412" s="1" t="s">
        <v>17</v>
      </c>
      <c r="Y412" s="1" t="s">
        <v>17</v>
      </c>
      <c r="Z412" s="1" t="s">
        <v>17</v>
      </c>
      <c r="AA412" s="1" t="s">
        <v>17</v>
      </c>
      <c r="AB412" s="1">
        <v>0</v>
      </c>
      <c r="AC412" s="1" t="s">
        <v>17</v>
      </c>
    </row>
    <row r="413" spans="1:29">
      <c r="A413" s="1" t="s">
        <v>17</v>
      </c>
      <c r="B413" s="1" t="s">
        <v>2583</v>
      </c>
      <c r="C413" s="1" t="s">
        <v>2584</v>
      </c>
      <c r="D413" s="1" t="s">
        <v>42</v>
      </c>
      <c r="E413" s="1" t="s">
        <v>42</v>
      </c>
      <c r="F413" s="1" t="s">
        <v>17</v>
      </c>
      <c r="G413" s="1" t="s">
        <v>17</v>
      </c>
      <c r="H413" s="1" t="s">
        <v>17</v>
      </c>
      <c r="I413" s="1" t="s">
        <v>17</v>
      </c>
      <c r="J413" s="1" t="s">
        <v>17</v>
      </c>
      <c r="K413" s="1" t="s">
        <v>17</v>
      </c>
      <c r="L413" s="9">
        <v>0</v>
      </c>
      <c r="M413" s="1" t="s">
        <v>103</v>
      </c>
      <c r="N413" s="1" t="s">
        <v>314</v>
      </c>
      <c r="O413" s="1"/>
      <c r="P413" s="1" t="s">
        <v>2379</v>
      </c>
      <c r="Q413" s="1" t="s">
        <v>2380</v>
      </c>
      <c r="R413" s="1"/>
      <c r="S413" s="9">
        <v>-70792.53</v>
      </c>
      <c r="T413" s="1">
        <v>-70792.53</v>
      </c>
      <c r="U413" s="1" t="s">
        <v>2535</v>
      </c>
      <c r="V413" s="1" t="s">
        <v>15</v>
      </c>
      <c r="W413" s="1" t="s">
        <v>17</v>
      </c>
      <c r="X413" s="1" t="s">
        <v>17</v>
      </c>
      <c r="Y413" s="1" t="s">
        <v>17</v>
      </c>
      <c r="Z413" s="1" t="s">
        <v>17</v>
      </c>
      <c r="AA413" s="1" t="s">
        <v>17</v>
      </c>
      <c r="AB413" s="1">
        <v>0</v>
      </c>
      <c r="AC413" s="1" t="s">
        <v>17</v>
      </c>
    </row>
    <row r="414" spans="1:29">
      <c r="A414" s="1" t="s">
        <v>17</v>
      </c>
      <c r="B414" s="1" t="s">
        <v>2585</v>
      </c>
      <c r="C414" s="1" t="s">
        <v>2541</v>
      </c>
      <c r="D414" s="1" t="s">
        <v>42</v>
      </c>
      <c r="E414" s="1" t="s">
        <v>42</v>
      </c>
      <c r="F414" s="1" t="s">
        <v>17</v>
      </c>
      <c r="G414" s="1" t="s">
        <v>17</v>
      </c>
      <c r="H414" s="1" t="s">
        <v>17</v>
      </c>
      <c r="I414" s="1" t="s">
        <v>17</v>
      </c>
      <c r="J414" s="1" t="s">
        <v>17</v>
      </c>
      <c r="K414" s="1" t="s">
        <v>17</v>
      </c>
      <c r="L414" s="9">
        <v>0</v>
      </c>
      <c r="M414" s="1" t="s">
        <v>103</v>
      </c>
      <c r="N414" s="1" t="s">
        <v>517</v>
      </c>
      <c r="O414" s="1"/>
      <c r="P414" s="1" t="s">
        <v>2379</v>
      </c>
      <c r="Q414" s="1" t="s">
        <v>2380</v>
      </c>
      <c r="R414" s="1"/>
      <c r="S414" s="9">
        <v>29531</v>
      </c>
      <c r="T414" s="1">
        <v>29531</v>
      </c>
      <c r="U414" s="1" t="s">
        <v>2535</v>
      </c>
      <c r="V414" s="1" t="s">
        <v>15</v>
      </c>
      <c r="W414" s="1" t="s">
        <v>17</v>
      </c>
      <c r="X414" s="1" t="s">
        <v>17</v>
      </c>
      <c r="Y414" s="1" t="s">
        <v>17</v>
      </c>
      <c r="Z414" s="1" t="s">
        <v>17</v>
      </c>
      <c r="AA414" s="1" t="s">
        <v>17</v>
      </c>
      <c r="AB414" s="1">
        <v>0</v>
      </c>
      <c r="AC414" s="1" t="s">
        <v>17</v>
      </c>
    </row>
    <row r="415" spans="1:29">
      <c r="A415" s="1" t="s">
        <v>17</v>
      </c>
      <c r="B415" s="1" t="s">
        <v>2586</v>
      </c>
      <c r="C415" s="1" t="s">
        <v>2587</v>
      </c>
      <c r="D415" s="1" t="s">
        <v>42</v>
      </c>
      <c r="E415" s="1" t="s">
        <v>42</v>
      </c>
      <c r="F415" s="1" t="s">
        <v>17</v>
      </c>
      <c r="G415" s="1" t="s">
        <v>17</v>
      </c>
      <c r="H415" s="1" t="s">
        <v>17</v>
      </c>
      <c r="I415" s="1" t="s">
        <v>17</v>
      </c>
      <c r="J415" s="1" t="s">
        <v>17</v>
      </c>
      <c r="K415" s="1" t="s">
        <v>17</v>
      </c>
      <c r="L415" s="9">
        <v>0</v>
      </c>
      <c r="M415" s="1" t="s">
        <v>103</v>
      </c>
      <c r="N415" s="1" t="s">
        <v>1678</v>
      </c>
      <c r="O415" s="1"/>
      <c r="P415" s="1" t="s">
        <v>2379</v>
      </c>
      <c r="Q415" s="1" t="s">
        <v>2380</v>
      </c>
      <c r="R415" s="1"/>
      <c r="S415" s="9">
        <v>-15498.94</v>
      </c>
      <c r="T415" s="1">
        <v>-15498.94</v>
      </c>
      <c r="U415" s="1" t="s">
        <v>2535</v>
      </c>
      <c r="V415" s="1" t="s">
        <v>15</v>
      </c>
      <c r="W415" s="1" t="s">
        <v>17</v>
      </c>
      <c r="X415" s="1" t="s">
        <v>17</v>
      </c>
      <c r="Y415" s="1" t="s">
        <v>17</v>
      </c>
      <c r="Z415" s="1" t="s">
        <v>17</v>
      </c>
      <c r="AA415" s="1" t="s">
        <v>17</v>
      </c>
      <c r="AB415" s="1">
        <v>0</v>
      </c>
      <c r="AC415" s="1" t="s">
        <v>17</v>
      </c>
    </row>
    <row r="416" spans="1:29">
      <c r="A416" s="1" t="s">
        <v>17</v>
      </c>
      <c r="B416" s="1" t="s">
        <v>2588</v>
      </c>
      <c r="C416" s="1" t="s">
        <v>2589</v>
      </c>
      <c r="D416" s="1" t="s">
        <v>42</v>
      </c>
      <c r="E416" s="1" t="s">
        <v>42</v>
      </c>
      <c r="F416" s="1" t="s">
        <v>17</v>
      </c>
      <c r="G416" s="1" t="s">
        <v>17</v>
      </c>
      <c r="H416" s="1" t="s">
        <v>17</v>
      </c>
      <c r="I416" s="1" t="s">
        <v>17</v>
      </c>
      <c r="J416" s="1" t="s">
        <v>17</v>
      </c>
      <c r="K416" s="1" t="s">
        <v>17</v>
      </c>
      <c r="L416" s="9">
        <v>0</v>
      </c>
      <c r="M416" s="1" t="s">
        <v>103</v>
      </c>
      <c r="N416" s="1" t="s">
        <v>2147</v>
      </c>
      <c r="O416" s="1"/>
      <c r="P416" s="1" t="s">
        <v>2379</v>
      </c>
      <c r="Q416" s="1" t="s">
        <v>2380</v>
      </c>
      <c r="R416" s="1"/>
      <c r="S416" s="9">
        <v>57806.85</v>
      </c>
      <c r="T416" s="1">
        <v>57806.85</v>
      </c>
      <c r="U416" s="1" t="s">
        <v>2535</v>
      </c>
      <c r="V416" s="1" t="s">
        <v>15</v>
      </c>
      <c r="W416" s="1" t="s">
        <v>17</v>
      </c>
      <c r="X416" s="1" t="s">
        <v>17</v>
      </c>
      <c r="Y416" s="1" t="s">
        <v>17</v>
      </c>
      <c r="Z416" s="1" t="s">
        <v>17</v>
      </c>
      <c r="AA416" s="1" t="s">
        <v>17</v>
      </c>
      <c r="AB416" s="1">
        <v>0</v>
      </c>
      <c r="AC416" s="1" t="s">
        <v>17</v>
      </c>
    </row>
    <row r="417" spans="1:29">
      <c r="A417" s="1" t="s">
        <v>17</v>
      </c>
      <c r="B417" s="1" t="s">
        <v>2590</v>
      </c>
      <c r="C417" s="1" t="s">
        <v>2591</v>
      </c>
      <c r="D417" s="1" t="s">
        <v>42</v>
      </c>
      <c r="E417" s="1" t="s">
        <v>42</v>
      </c>
      <c r="F417" s="1" t="s">
        <v>17</v>
      </c>
      <c r="G417" s="1" t="s">
        <v>17</v>
      </c>
      <c r="H417" s="1" t="s">
        <v>17</v>
      </c>
      <c r="I417" s="1" t="s">
        <v>17</v>
      </c>
      <c r="J417" s="1" t="s">
        <v>17</v>
      </c>
      <c r="K417" s="1" t="s">
        <v>17</v>
      </c>
      <c r="L417" s="9">
        <v>0</v>
      </c>
      <c r="M417" s="1" t="s">
        <v>103</v>
      </c>
      <c r="N417" s="1" t="s">
        <v>1464</v>
      </c>
      <c r="O417" s="1"/>
      <c r="P417" s="1" t="s">
        <v>2379</v>
      </c>
      <c r="Q417" s="1" t="s">
        <v>2380</v>
      </c>
      <c r="R417" s="1"/>
      <c r="S417" s="9">
        <v>40841</v>
      </c>
      <c r="T417" s="1">
        <v>40841</v>
      </c>
      <c r="U417" s="1" t="s">
        <v>2535</v>
      </c>
      <c r="V417" s="1" t="s">
        <v>15</v>
      </c>
      <c r="W417" s="1" t="s">
        <v>17</v>
      </c>
      <c r="X417" s="1" t="s">
        <v>17</v>
      </c>
      <c r="Y417" s="1" t="s">
        <v>17</v>
      </c>
      <c r="Z417" s="1" t="s">
        <v>17</v>
      </c>
      <c r="AA417" s="1" t="s">
        <v>17</v>
      </c>
      <c r="AB417" s="1">
        <v>0</v>
      </c>
      <c r="AC417" s="1" t="s">
        <v>17</v>
      </c>
    </row>
    <row r="418" spans="1:29">
      <c r="A418" s="1" t="s">
        <v>17</v>
      </c>
      <c r="B418" s="1" t="s">
        <v>2592</v>
      </c>
      <c r="C418" s="1" t="s">
        <v>2559</v>
      </c>
      <c r="D418" s="1" t="s">
        <v>42</v>
      </c>
      <c r="E418" s="1" t="s">
        <v>42</v>
      </c>
      <c r="F418" s="1" t="s">
        <v>17</v>
      </c>
      <c r="G418" s="1" t="s">
        <v>17</v>
      </c>
      <c r="H418" s="1" t="s">
        <v>17</v>
      </c>
      <c r="I418" s="1" t="s">
        <v>17</v>
      </c>
      <c r="J418" s="1" t="s">
        <v>17</v>
      </c>
      <c r="K418" s="1" t="s">
        <v>17</v>
      </c>
      <c r="L418" s="9">
        <v>0</v>
      </c>
      <c r="M418" s="1" t="s">
        <v>103</v>
      </c>
      <c r="N418" s="1" t="s">
        <v>1213</v>
      </c>
      <c r="O418" s="1"/>
      <c r="P418" s="1" t="s">
        <v>2379</v>
      </c>
      <c r="Q418" s="1" t="s">
        <v>2380</v>
      </c>
      <c r="R418" s="1"/>
      <c r="S418" s="9">
        <v>-15498.94</v>
      </c>
      <c r="T418" s="1">
        <v>-15498.94</v>
      </c>
      <c r="U418" s="1" t="s">
        <v>2535</v>
      </c>
      <c r="V418" s="1" t="s">
        <v>15</v>
      </c>
      <c r="W418" s="1" t="s">
        <v>17</v>
      </c>
      <c r="X418" s="1" t="s">
        <v>17</v>
      </c>
      <c r="Y418" s="1" t="s">
        <v>17</v>
      </c>
      <c r="Z418" s="1" t="s">
        <v>17</v>
      </c>
      <c r="AA418" s="1" t="s">
        <v>17</v>
      </c>
      <c r="AB418" s="1">
        <v>0</v>
      </c>
      <c r="AC418" s="1" t="s">
        <v>17</v>
      </c>
    </row>
    <row r="419" spans="1:29">
      <c r="A419" s="1" t="s">
        <v>17</v>
      </c>
      <c r="B419" s="1" t="s">
        <v>2593</v>
      </c>
      <c r="C419" s="1" t="s">
        <v>2594</v>
      </c>
      <c r="D419" s="1" t="s">
        <v>42</v>
      </c>
      <c r="E419" s="1" t="s">
        <v>42</v>
      </c>
      <c r="F419" s="1" t="s">
        <v>17</v>
      </c>
      <c r="G419" s="1" t="s">
        <v>17</v>
      </c>
      <c r="H419" s="1" t="s">
        <v>17</v>
      </c>
      <c r="I419" s="1" t="s">
        <v>17</v>
      </c>
      <c r="J419" s="1" t="s">
        <v>17</v>
      </c>
      <c r="K419" s="1" t="s">
        <v>17</v>
      </c>
      <c r="L419" s="9">
        <v>0</v>
      </c>
      <c r="M419" s="1" t="s">
        <v>103</v>
      </c>
      <c r="N419" s="1" t="s">
        <v>895</v>
      </c>
      <c r="O419" s="1"/>
      <c r="P419" s="1" t="s">
        <v>2379</v>
      </c>
      <c r="Q419" s="1" t="s">
        <v>2380</v>
      </c>
      <c r="R419" s="1"/>
      <c r="S419" s="9">
        <v>-17383.97</v>
      </c>
      <c r="T419" s="1">
        <v>-17383.97</v>
      </c>
      <c r="U419" s="1" t="s">
        <v>2535</v>
      </c>
      <c r="V419" s="1" t="s">
        <v>15</v>
      </c>
      <c r="W419" s="1" t="s">
        <v>17</v>
      </c>
      <c r="X419" s="1" t="s">
        <v>17</v>
      </c>
      <c r="Y419" s="1" t="s">
        <v>17</v>
      </c>
      <c r="Z419" s="1" t="s">
        <v>17</v>
      </c>
      <c r="AA419" s="1" t="s">
        <v>17</v>
      </c>
      <c r="AB419" s="1">
        <v>0</v>
      </c>
      <c r="AC419" s="1" t="s">
        <v>17</v>
      </c>
    </row>
    <row r="420" spans="1:29">
      <c r="A420" s="1" t="s">
        <v>17</v>
      </c>
      <c r="B420" s="1" t="s">
        <v>2595</v>
      </c>
      <c r="C420" s="1" t="s">
        <v>2596</v>
      </c>
      <c r="D420" s="1" t="s">
        <v>42</v>
      </c>
      <c r="E420" s="1" t="s">
        <v>42</v>
      </c>
      <c r="F420" s="1" t="s">
        <v>17</v>
      </c>
      <c r="G420" s="1" t="s">
        <v>17</v>
      </c>
      <c r="H420" s="1" t="s">
        <v>17</v>
      </c>
      <c r="I420" s="1" t="s">
        <v>17</v>
      </c>
      <c r="J420" s="1" t="s">
        <v>17</v>
      </c>
      <c r="K420" s="1" t="s">
        <v>17</v>
      </c>
      <c r="L420" s="9">
        <v>0</v>
      </c>
      <c r="M420" s="1" t="s">
        <v>103</v>
      </c>
      <c r="N420" s="1" t="s">
        <v>1106</v>
      </c>
      <c r="O420" s="1"/>
      <c r="P420" s="1" t="s">
        <v>2379</v>
      </c>
      <c r="Q420" s="1" t="s">
        <v>2380</v>
      </c>
      <c r="R420" s="1"/>
      <c r="S420" s="9">
        <v>31207</v>
      </c>
      <c r="T420" s="1">
        <v>31207</v>
      </c>
      <c r="U420" s="1" t="s">
        <v>2535</v>
      </c>
      <c r="V420" s="1" t="s">
        <v>15</v>
      </c>
      <c r="W420" s="1" t="s">
        <v>17</v>
      </c>
      <c r="X420" s="1" t="s">
        <v>17</v>
      </c>
      <c r="Y420" s="1" t="s">
        <v>17</v>
      </c>
      <c r="Z420" s="1" t="s">
        <v>17</v>
      </c>
      <c r="AA420" s="1" t="s">
        <v>17</v>
      </c>
      <c r="AB420" s="1">
        <v>0</v>
      </c>
      <c r="AC420" s="1" t="s">
        <v>17</v>
      </c>
    </row>
    <row r="421" spans="1:29">
      <c r="A421" s="1" t="s">
        <v>17</v>
      </c>
      <c r="B421" s="1" t="s">
        <v>2597</v>
      </c>
      <c r="C421" s="1" t="s">
        <v>2594</v>
      </c>
      <c r="D421" s="1" t="s">
        <v>42</v>
      </c>
      <c r="E421" s="1" t="s">
        <v>42</v>
      </c>
      <c r="F421" s="1" t="s">
        <v>17</v>
      </c>
      <c r="G421" s="1" t="s">
        <v>17</v>
      </c>
      <c r="H421" s="1" t="s">
        <v>17</v>
      </c>
      <c r="I421" s="1" t="s">
        <v>17</v>
      </c>
      <c r="J421" s="1" t="s">
        <v>17</v>
      </c>
      <c r="K421" s="1" t="s">
        <v>17</v>
      </c>
      <c r="L421" s="9">
        <v>0</v>
      </c>
      <c r="M421" s="1" t="s">
        <v>103</v>
      </c>
      <c r="N421" s="1" t="s">
        <v>534</v>
      </c>
      <c r="O421" s="1"/>
      <c r="P421" s="1" t="s">
        <v>2379</v>
      </c>
      <c r="Q421" s="1" t="s">
        <v>2380</v>
      </c>
      <c r="R421" s="1"/>
      <c r="S421" s="9">
        <v>17383.97</v>
      </c>
      <c r="T421" s="1">
        <v>17383.97</v>
      </c>
      <c r="U421" s="1" t="s">
        <v>2535</v>
      </c>
      <c r="V421" s="1" t="s">
        <v>15</v>
      </c>
      <c r="W421" s="1" t="s">
        <v>17</v>
      </c>
      <c r="X421" s="1" t="s">
        <v>17</v>
      </c>
      <c r="Y421" s="1" t="s">
        <v>17</v>
      </c>
      <c r="Z421" s="1" t="s">
        <v>17</v>
      </c>
      <c r="AA421" s="1" t="s">
        <v>17</v>
      </c>
      <c r="AB421" s="1">
        <v>0</v>
      </c>
      <c r="AC421" s="1" t="s">
        <v>17</v>
      </c>
    </row>
    <row r="422" spans="1:29">
      <c r="A422" s="1" t="s">
        <v>17</v>
      </c>
      <c r="B422" s="1" t="s">
        <v>2598</v>
      </c>
      <c r="C422" s="1" t="s">
        <v>2599</v>
      </c>
      <c r="D422" s="1" t="s">
        <v>42</v>
      </c>
      <c r="E422" s="1" t="s">
        <v>42</v>
      </c>
      <c r="F422" s="1" t="s">
        <v>17</v>
      </c>
      <c r="G422" s="1" t="s">
        <v>17</v>
      </c>
      <c r="H422" s="1" t="s">
        <v>17</v>
      </c>
      <c r="I422" s="1" t="s">
        <v>17</v>
      </c>
      <c r="J422" s="1" t="s">
        <v>17</v>
      </c>
      <c r="K422" s="1" t="s">
        <v>17</v>
      </c>
      <c r="L422" s="9">
        <v>0</v>
      </c>
      <c r="M422" s="1" t="s">
        <v>103</v>
      </c>
      <c r="N422" s="1" t="s">
        <v>1572</v>
      </c>
      <c r="O422" s="1"/>
      <c r="P422" s="1" t="s">
        <v>2379</v>
      </c>
      <c r="Q422" s="1" t="s">
        <v>2380</v>
      </c>
      <c r="R422" s="1"/>
      <c r="S422" s="9">
        <v>46496.71</v>
      </c>
      <c r="T422" s="1">
        <v>46496.71</v>
      </c>
      <c r="U422" s="1" t="s">
        <v>2535</v>
      </c>
      <c r="V422" s="1" t="s">
        <v>15</v>
      </c>
      <c r="W422" s="1" t="s">
        <v>17</v>
      </c>
      <c r="X422" s="1" t="s">
        <v>17</v>
      </c>
      <c r="Y422" s="1" t="s">
        <v>17</v>
      </c>
      <c r="Z422" s="1" t="s">
        <v>17</v>
      </c>
      <c r="AA422" s="1" t="s">
        <v>17</v>
      </c>
      <c r="AB422" s="1">
        <v>0</v>
      </c>
      <c r="AC422" s="1" t="s">
        <v>17</v>
      </c>
    </row>
    <row r="423" spans="1:29">
      <c r="A423" s="1" t="s">
        <v>17</v>
      </c>
      <c r="B423" s="1" t="s">
        <v>2600</v>
      </c>
      <c r="C423" s="1" t="s">
        <v>2601</v>
      </c>
      <c r="D423" s="1" t="s">
        <v>42</v>
      </c>
      <c r="E423" s="1" t="s">
        <v>42</v>
      </c>
      <c r="F423" s="1" t="s">
        <v>17</v>
      </c>
      <c r="G423" s="1" t="s">
        <v>17</v>
      </c>
      <c r="H423" s="1" t="s">
        <v>17</v>
      </c>
      <c r="I423" s="1" t="s">
        <v>17</v>
      </c>
      <c r="J423" s="1" t="s">
        <v>17</v>
      </c>
      <c r="K423" s="1" t="s">
        <v>17</v>
      </c>
      <c r="L423" s="9">
        <v>0</v>
      </c>
      <c r="M423" s="1" t="s">
        <v>103</v>
      </c>
      <c r="N423" s="1" t="s">
        <v>1759</v>
      </c>
      <c r="O423" s="1"/>
      <c r="P423" s="1" t="s">
        <v>2379</v>
      </c>
      <c r="Q423" s="1" t="s">
        <v>2380</v>
      </c>
      <c r="R423" s="1"/>
      <c r="S423" s="9">
        <v>-31626.240000000002</v>
      </c>
      <c r="T423" s="1">
        <v>-31626.240000000002</v>
      </c>
      <c r="U423" s="1" t="s">
        <v>2535</v>
      </c>
      <c r="V423" s="1" t="s">
        <v>15</v>
      </c>
      <c r="W423" s="1" t="s">
        <v>17</v>
      </c>
      <c r="X423" s="1" t="s">
        <v>17</v>
      </c>
      <c r="Y423" s="1" t="s">
        <v>17</v>
      </c>
      <c r="Z423" s="1" t="s">
        <v>17</v>
      </c>
      <c r="AA423" s="1" t="s">
        <v>17</v>
      </c>
      <c r="AB423" s="1">
        <v>0</v>
      </c>
      <c r="AC423" s="1" t="s">
        <v>17</v>
      </c>
    </row>
    <row r="424" spans="1:29">
      <c r="A424" s="1" t="s">
        <v>17</v>
      </c>
      <c r="B424" s="1" t="s">
        <v>2602</v>
      </c>
      <c r="C424" s="1" t="s">
        <v>2603</v>
      </c>
      <c r="D424" s="1" t="s">
        <v>42</v>
      </c>
      <c r="E424" s="1" t="s">
        <v>42</v>
      </c>
      <c r="F424" s="1" t="s">
        <v>17</v>
      </c>
      <c r="G424" s="1" t="s">
        <v>17</v>
      </c>
      <c r="H424" s="1" t="s">
        <v>17</v>
      </c>
      <c r="I424" s="1" t="s">
        <v>17</v>
      </c>
      <c r="J424" s="1" t="s">
        <v>17</v>
      </c>
      <c r="K424" s="1" t="s">
        <v>17</v>
      </c>
      <c r="L424" s="9">
        <v>0</v>
      </c>
      <c r="M424" s="1" t="s">
        <v>103</v>
      </c>
      <c r="N424" s="1" t="s">
        <v>412</v>
      </c>
      <c r="O424" s="1"/>
      <c r="P424" s="1" t="s">
        <v>2379</v>
      </c>
      <c r="Q424" s="1" t="s">
        <v>2380</v>
      </c>
      <c r="R424" s="1"/>
      <c r="S424" s="9">
        <v>-30160.13</v>
      </c>
      <c r="T424" s="1">
        <v>-30160.13</v>
      </c>
      <c r="U424" s="1" t="s">
        <v>2535</v>
      </c>
      <c r="V424" s="1" t="s">
        <v>15</v>
      </c>
      <c r="W424" s="1" t="s">
        <v>17</v>
      </c>
      <c r="X424" s="1" t="s">
        <v>17</v>
      </c>
      <c r="Y424" s="1" t="s">
        <v>17</v>
      </c>
      <c r="Z424" s="1" t="s">
        <v>17</v>
      </c>
      <c r="AA424" s="1" t="s">
        <v>17</v>
      </c>
      <c r="AB424" s="1">
        <v>0</v>
      </c>
      <c r="AC424" s="1" t="s">
        <v>17</v>
      </c>
    </row>
    <row r="425" spans="1:29">
      <c r="A425" s="1" t="s">
        <v>17</v>
      </c>
      <c r="B425" s="1" t="s">
        <v>2604</v>
      </c>
      <c r="C425" s="1" t="s">
        <v>2570</v>
      </c>
      <c r="D425" s="1" t="s">
        <v>42</v>
      </c>
      <c r="E425" s="1" t="s">
        <v>42</v>
      </c>
      <c r="F425" s="1" t="s">
        <v>17</v>
      </c>
      <c r="G425" s="1" t="s">
        <v>17</v>
      </c>
      <c r="H425" s="1" t="s">
        <v>17</v>
      </c>
      <c r="I425" s="1" t="s">
        <v>17</v>
      </c>
      <c r="J425" s="1" t="s">
        <v>17</v>
      </c>
      <c r="K425" s="1" t="s">
        <v>17</v>
      </c>
      <c r="L425" s="9">
        <v>0</v>
      </c>
      <c r="M425" s="1" t="s">
        <v>103</v>
      </c>
      <c r="N425" s="1" t="s">
        <v>822</v>
      </c>
      <c r="O425" s="1"/>
      <c r="P425" s="1" t="s">
        <v>2379</v>
      </c>
      <c r="Q425" s="1" t="s">
        <v>2380</v>
      </c>
      <c r="R425" s="1"/>
      <c r="S425" s="9">
        <v>55712.45</v>
      </c>
      <c r="T425" s="1">
        <v>55712.45</v>
      </c>
      <c r="U425" s="1" t="s">
        <v>2535</v>
      </c>
      <c r="V425" s="1" t="s">
        <v>15</v>
      </c>
      <c r="W425" s="1" t="s">
        <v>17</v>
      </c>
      <c r="X425" s="1" t="s">
        <v>17</v>
      </c>
      <c r="Y425" s="1" t="s">
        <v>17</v>
      </c>
      <c r="Z425" s="1" t="s">
        <v>17</v>
      </c>
      <c r="AA425" s="1" t="s">
        <v>17</v>
      </c>
      <c r="AB425" s="1">
        <v>0</v>
      </c>
      <c r="AC425" s="1" t="s">
        <v>17</v>
      </c>
    </row>
    <row r="426" spans="1:29">
      <c r="A426" s="1" t="s">
        <v>17</v>
      </c>
      <c r="B426" s="1" t="s">
        <v>2605</v>
      </c>
      <c r="C426" s="1" t="s">
        <v>2606</v>
      </c>
      <c r="D426" s="1" t="s">
        <v>42</v>
      </c>
      <c r="E426" s="1" t="s">
        <v>42</v>
      </c>
      <c r="F426" s="1" t="s">
        <v>17</v>
      </c>
      <c r="G426" s="1" t="s">
        <v>17</v>
      </c>
      <c r="H426" s="1" t="s">
        <v>17</v>
      </c>
      <c r="I426" s="1" t="s">
        <v>17</v>
      </c>
      <c r="J426" s="1" t="s">
        <v>17</v>
      </c>
      <c r="K426" s="1" t="s">
        <v>17</v>
      </c>
      <c r="L426" s="9">
        <v>0</v>
      </c>
      <c r="M426" s="1" t="s">
        <v>103</v>
      </c>
      <c r="N426" s="1" t="s">
        <v>2607</v>
      </c>
      <c r="O426" s="1"/>
      <c r="P426" s="1" t="s">
        <v>2379</v>
      </c>
      <c r="Q426" s="1" t="s">
        <v>2380</v>
      </c>
      <c r="R426" s="1"/>
      <c r="S426" s="9">
        <v>-14451.72</v>
      </c>
      <c r="T426" s="1">
        <v>-14451.72</v>
      </c>
      <c r="U426" s="1" t="s">
        <v>2535</v>
      </c>
      <c r="V426" s="1" t="s">
        <v>15</v>
      </c>
      <c r="W426" s="1" t="s">
        <v>17</v>
      </c>
      <c r="X426" s="1" t="s">
        <v>17</v>
      </c>
      <c r="Y426" s="1" t="s">
        <v>17</v>
      </c>
      <c r="Z426" s="1" t="s">
        <v>17</v>
      </c>
      <c r="AA426" s="1" t="s">
        <v>17</v>
      </c>
      <c r="AB426" s="1">
        <v>0</v>
      </c>
      <c r="AC426" s="1" t="s">
        <v>17</v>
      </c>
    </row>
    <row r="427" spans="1:29">
      <c r="A427" s="1" t="s">
        <v>17</v>
      </c>
      <c r="B427" s="1" t="s">
        <v>2608</v>
      </c>
      <c r="C427" s="1" t="s">
        <v>2575</v>
      </c>
      <c r="D427" s="1" t="s">
        <v>42</v>
      </c>
      <c r="E427" s="1" t="s">
        <v>42</v>
      </c>
      <c r="F427" s="1" t="s">
        <v>17</v>
      </c>
      <c r="G427" s="1" t="s">
        <v>17</v>
      </c>
      <c r="H427" s="1" t="s">
        <v>17</v>
      </c>
      <c r="I427" s="1" t="s">
        <v>17</v>
      </c>
      <c r="J427" s="1" t="s">
        <v>17</v>
      </c>
      <c r="K427" s="1" t="s">
        <v>17</v>
      </c>
      <c r="L427" s="9">
        <v>0</v>
      </c>
      <c r="M427" s="1" t="s">
        <v>103</v>
      </c>
      <c r="N427" s="1" t="s">
        <v>1159</v>
      </c>
      <c r="O427" s="1"/>
      <c r="P427" s="1" t="s">
        <v>2379</v>
      </c>
      <c r="Q427" s="1" t="s">
        <v>2380</v>
      </c>
      <c r="R427" s="1"/>
      <c r="S427" s="9">
        <v>30788.45</v>
      </c>
      <c r="T427" s="1">
        <v>30788.45</v>
      </c>
      <c r="U427" s="1" t="s">
        <v>2535</v>
      </c>
      <c r="V427" s="1" t="s">
        <v>15</v>
      </c>
      <c r="W427" s="1" t="s">
        <v>17</v>
      </c>
      <c r="X427" s="1" t="s">
        <v>17</v>
      </c>
      <c r="Y427" s="1" t="s">
        <v>17</v>
      </c>
      <c r="Z427" s="1" t="s">
        <v>17</v>
      </c>
      <c r="AA427" s="1" t="s">
        <v>17</v>
      </c>
      <c r="AB427" s="1">
        <v>0</v>
      </c>
      <c r="AC427" s="1" t="s">
        <v>17</v>
      </c>
    </row>
    <row r="428" spans="1:29">
      <c r="A428" s="1" t="s">
        <v>17</v>
      </c>
      <c r="B428" s="1" t="s">
        <v>2609</v>
      </c>
      <c r="C428" s="1" t="s">
        <v>2610</v>
      </c>
      <c r="D428" s="1" t="s">
        <v>42</v>
      </c>
      <c r="E428" s="1" t="s">
        <v>42</v>
      </c>
      <c r="F428" s="1" t="s">
        <v>17</v>
      </c>
      <c r="G428" s="1" t="s">
        <v>17</v>
      </c>
      <c r="H428" s="1" t="s">
        <v>17</v>
      </c>
      <c r="I428" s="1" t="s">
        <v>17</v>
      </c>
      <c r="J428" s="1" t="s">
        <v>17</v>
      </c>
      <c r="K428" s="1" t="s">
        <v>17</v>
      </c>
      <c r="L428" s="9">
        <v>0</v>
      </c>
      <c r="M428" s="1" t="s">
        <v>103</v>
      </c>
      <c r="N428" s="1" t="s">
        <v>151</v>
      </c>
      <c r="O428" s="1"/>
      <c r="P428" s="1" t="s">
        <v>2379</v>
      </c>
      <c r="Q428" s="1" t="s">
        <v>2380</v>
      </c>
      <c r="R428" s="1"/>
      <c r="S428" s="9">
        <v>16127.29</v>
      </c>
      <c r="T428" s="1">
        <v>16127.29</v>
      </c>
      <c r="U428" s="1" t="s">
        <v>2535</v>
      </c>
      <c r="V428" s="1" t="s">
        <v>15</v>
      </c>
      <c r="W428" s="1" t="s">
        <v>17</v>
      </c>
      <c r="X428" s="1" t="s">
        <v>17</v>
      </c>
      <c r="Y428" s="1" t="s">
        <v>17</v>
      </c>
      <c r="Z428" s="1" t="s">
        <v>17</v>
      </c>
      <c r="AA428" s="1" t="s">
        <v>17</v>
      </c>
      <c r="AB428" s="1">
        <v>0</v>
      </c>
      <c r="AC428" s="1" t="s">
        <v>17</v>
      </c>
    </row>
    <row r="429" spans="1:29">
      <c r="A429" s="1" t="s">
        <v>17</v>
      </c>
      <c r="B429" s="1" t="s">
        <v>2611</v>
      </c>
      <c r="C429" s="1" t="s">
        <v>2612</v>
      </c>
      <c r="D429" s="1" t="s">
        <v>42</v>
      </c>
      <c r="E429" s="1" t="s">
        <v>42</v>
      </c>
      <c r="F429" s="1" t="s">
        <v>17</v>
      </c>
      <c r="G429" s="1" t="s">
        <v>17</v>
      </c>
      <c r="H429" s="1" t="s">
        <v>17</v>
      </c>
      <c r="I429" s="1" t="s">
        <v>17</v>
      </c>
      <c r="J429" s="1" t="s">
        <v>17</v>
      </c>
      <c r="K429" s="1" t="s">
        <v>17</v>
      </c>
      <c r="L429" s="9">
        <v>0</v>
      </c>
      <c r="M429" s="1" t="s">
        <v>103</v>
      </c>
      <c r="N429" s="1" t="s">
        <v>1286</v>
      </c>
      <c r="O429" s="1"/>
      <c r="P429" s="1" t="s">
        <v>2379</v>
      </c>
      <c r="Q429" s="1" t="s">
        <v>2380</v>
      </c>
      <c r="R429" s="1"/>
      <c r="S429" s="9">
        <v>16127.29</v>
      </c>
      <c r="T429" s="1">
        <v>16127.29</v>
      </c>
      <c r="U429" s="1" t="s">
        <v>2535</v>
      </c>
      <c r="V429" s="1" t="s">
        <v>15</v>
      </c>
      <c r="W429" s="1" t="s">
        <v>17</v>
      </c>
      <c r="X429" s="1" t="s">
        <v>17</v>
      </c>
      <c r="Y429" s="1" t="s">
        <v>17</v>
      </c>
      <c r="Z429" s="1" t="s">
        <v>17</v>
      </c>
      <c r="AA429" s="1" t="s">
        <v>17</v>
      </c>
      <c r="AB429" s="1">
        <v>0</v>
      </c>
      <c r="AC429" s="1" t="s">
        <v>17</v>
      </c>
    </row>
    <row r="430" spans="1:29">
      <c r="A430" s="1" t="s">
        <v>17</v>
      </c>
      <c r="B430" s="1" t="s">
        <v>2613</v>
      </c>
      <c r="C430" s="1" t="s">
        <v>2614</v>
      </c>
      <c r="D430" s="1" t="s">
        <v>42</v>
      </c>
      <c r="E430" s="1" t="s">
        <v>42</v>
      </c>
      <c r="F430" s="1" t="s">
        <v>17</v>
      </c>
      <c r="G430" s="1" t="s">
        <v>17</v>
      </c>
      <c r="H430" s="1" t="s">
        <v>17</v>
      </c>
      <c r="I430" s="1" t="s">
        <v>17</v>
      </c>
      <c r="J430" s="1" t="s">
        <v>17</v>
      </c>
      <c r="K430" s="1" t="s">
        <v>17</v>
      </c>
      <c r="L430" s="9">
        <v>0</v>
      </c>
      <c r="M430" s="1" t="s">
        <v>103</v>
      </c>
      <c r="N430" s="1" t="s">
        <v>130</v>
      </c>
      <c r="O430" s="1"/>
      <c r="P430" s="1" t="s">
        <v>2379</v>
      </c>
      <c r="Q430" s="1" t="s">
        <v>2380</v>
      </c>
      <c r="R430" s="1"/>
      <c r="S430" s="9">
        <v>-14661.16</v>
      </c>
      <c r="T430" s="1">
        <v>-14661.16</v>
      </c>
      <c r="U430" s="1" t="s">
        <v>2535</v>
      </c>
      <c r="V430" s="1" t="s">
        <v>15</v>
      </c>
      <c r="W430" s="1" t="s">
        <v>17</v>
      </c>
      <c r="X430" s="1" t="s">
        <v>17</v>
      </c>
      <c r="Y430" s="1" t="s">
        <v>17</v>
      </c>
      <c r="Z430" s="1" t="s">
        <v>17</v>
      </c>
      <c r="AA430" s="1" t="s">
        <v>17</v>
      </c>
      <c r="AB430" s="1">
        <v>0</v>
      </c>
      <c r="AC430" s="1" t="s">
        <v>17</v>
      </c>
    </row>
    <row r="431" spans="1:29">
      <c r="A431" s="1" t="s">
        <v>17</v>
      </c>
      <c r="B431" s="1" t="s">
        <v>2615</v>
      </c>
      <c r="C431" s="1" t="s">
        <v>2616</v>
      </c>
      <c r="D431" s="1" t="s">
        <v>42</v>
      </c>
      <c r="E431" s="1" t="s">
        <v>42</v>
      </c>
      <c r="F431" s="1" t="s">
        <v>17</v>
      </c>
      <c r="G431" s="1" t="s">
        <v>17</v>
      </c>
      <c r="H431" s="1" t="s">
        <v>17</v>
      </c>
      <c r="I431" s="1" t="s">
        <v>17</v>
      </c>
      <c r="J431" s="1" t="s">
        <v>17</v>
      </c>
      <c r="K431" s="1" t="s">
        <v>17</v>
      </c>
      <c r="L431" s="9">
        <v>0</v>
      </c>
      <c r="M431" s="1" t="s">
        <v>103</v>
      </c>
      <c r="N431" s="1" t="s">
        <v>1117</v>
      </c>
      <c r="O431" s="1"/>
      <c r="P431" s="1" t="s">
        <v>2379</v>
      </c>
      <c r="Q431" s="1" t="s">
        <v>2380</v>
      </c>
      <c r="R431" s="1"/>
      <c r="S431" s="9">
        <v>-21572.87</v>
      </c>
      <c r="T431" s="1">
        <v>-21572.87</v>
      </c>
      <c r="U431" s="1" t="s">
        <v>2535</v>
      </c>
      <c r="V431" s="1" t="s">
        <v>15</v>
      </c>
      <c r="W431" s="1" t="s">
        <v>17</v>
      </c>
      <c r="X431" s="1" t="s">
        <v>17</v>
      </c>
      <c r="Y431" s="1" t="s">
        <v>17</v>
      </c>
      <c r="Z431" s="1" t="s">
        <v>17</v>
      </c>
      <c r="AA431" s="1" t="s">
        <v>17</v>
      </c>
      <c r="AB431" s="1">
        <v>0</v>
      </c>
      <c r="AC431" s="1" t="s">
        <v>17</v>
      </c>
    </row>
    <row r="432" spans="1:29">
      <c r="A432" s="1" t="s">
        <v>17</v>
      </c>
      <c r="B432" s="1" t="s">
        <v>2617</v>
      </c>
      <c r="C432" s="1" t="s">
        <v>2618</v>
      </c>
      <c r="D432" s="1" t="s">
        <v>42</v>
      </c>
      <c r="E432" s="1" t="s">
        <v>42</v>
      </c>
      <c r="F432" s="1" t="s">
        <v>17</v>
      </c>
      <c r="G432" s="1" t="s">
        <v>17</v>
      </c>
      <c r="H432" s="1" t="s">
        <v>17</v>
      </c>
      <c r="I432" s="1" t="s">
        <v>17</v>
      </c>
      <c r="J432" s="1" t="s">
        <v>17</v>
      </c>
      <c r="K432" s="1" t="s">
        <v>17</v>
      </c>
      <c r="L432" s="9">
        <v>0</v>
      </c>
      <c r="M432" s="1" t="s">
        <v>103</v>
      </c>
      <c r="N432" s="1" t="s">
        <v>1901</v>
      </c>
      <c r="O432" s="1"/>
      <c r="P432" s="1" t="s">
        <v>2379</v>
      </c>
      <c r="Q432" s="1" t="s">
        <v>2380</v>
      </c>
      <c r="R432" s="1"/>
      <c r="S432" s="9">
        <v>18431</v>
      </c>
      <c r="T432" s="1">
        <v>18431</v>
      </c>
      <c r="U432" s="1" t="s">
        <v>2535</v>
      </c>
      <c r="V432" s="1" t="s">
        <v>15</v>
      </c>
      <c r="W432" s="1" t="s">
        <v>17</v>
      </c>
      <c r="X432" s="1" t="s">
        <v>17</v>
      </c>
      <c r="Y432" s="1" t="s">
        <v>17</v>
      </c>
      <c r="Z432" s="1" t="s">
        <v>17</v>
      </c>
      <c r="AA432" s="1" t="s">
        <v>17</v>
      </c>
      <c r="AB432" s="1">
        <v>0</v>
      </c>
      <c r="AC432" s="1" t="s">
        <v>17</v>
      </c>
    </row>
    <row r="433" spans="1:29">
      <c r="A433" s="1" t="s">
        <v>17</v>
      </c>
      <c r="B433" s="1" t="s">
        <v>2619</v>
      </c>
      <c r="C433" s="1" t="s">
        <v>2545</v>
      </c>
      <c r="D433" s="1" t="s">
        <v>42</v>
      </c>
      <c r="E433" s="1" t="s">
        <v>42</v>
      </c>
      <c r="F433" s="1" t="s">
        <v>17</v>
      </c>
      <c r="G433" s="1" t="s">
        <v>17</v>
      </c>
      <c r="H433" s="1" t="s">
        <v>17</v>
      </c>
      <c r="I433" s="1" t="s">
        <v>17</v>
      </c>
      <c r="J433" s="1" t="s">
        <v>17</v>
      </c>
      <c r="K433" s="1" t="s">
        <v>17</v>
      </c>
      <c r="L433" s="9">
        <v>0</v>
      </c>
      <c r="M433" s="1" t="s">
        <v>103</v>
      </c>
      <c r="N433" s="1" t="s">
        <v>278</v>
      </c>
      <c r="O433" s="1"/>
      <c r="P433" s="1" t="s">
        <v>2379</v>
      </c>
      <c r="Q433" s="1" t="s">
        <v>2380</v>
      </c>
      <c r="R433" s="1"/>
      <c r="S433" s="9">
        <v>68069.009999999995</v>
      </c>
      <c r="T433" s="1">
        <v>68069.009999999995</v>
      </c>
      <c r="U433" s="1" t="s">
        <v>2535</v>
      </c>
      <c r="V433" s="1" t="s">
        <v>15</v>
      </c>
      <c r="W433" s="1" t="s">
        <v>17</v>
      </c>
      <c r="X433" s="1" t="s">
        <v>17</v>
      </c>
      <c r="Y433" s="1" t="s">
        <v>17</v>
      </c>
      <c r="Z433" s="1" t="s">
        <v>17</v>
      </c>
      <c r="AA433" s="1" t="s">
        <v>17</v>
      </c>
      <c r="AB433" s="1">
        <v>0</v>
      </c>
      <c r="AC433" s="1" t="s">
        <v>17</v>
      </c>
    </row>
    <row r="434" spans="1:29">
      <c r="A434" s="1" t="s">
        <v>17</v>
      </c>
      <c r="B434" s="1" t="s">
        <v>2620</v>
      </c>
      <c r="C434" s="1" t="s">
        <v>2621</v>
      </c>
      <c r="D434" s="1" t="s">
        <v>42</v>
      </c>
      <c r="E434" s="1" t="s">
        <v>42</v>
      </c>
      <c r="F434" s="1" t="s">
        <v>17</v>
      </c>
      <c r="G434" s="1" t="s">
        <v>17</v>
      </c>
      <c r="H434" s="1" t="s">
        <v>17</v>
      </c>
      <c r="I434" s="1" t="s">
        <v>17</v>
      </c>
      <c r="J434" s="1" t="s">
        <v>17</v>
      </c>
      <c r="K434" s="1" t="s">
        <v>17</v>
      </c>
      <c r="L434" s="9">
        <v>0</v>
      </c>
      <c r="M434" s="1" t="s">
        <v>103</v>
      </c>
      <c r="N434" s="1" t="s">
        <v>1389</v>
      </c>
      <c r="O434" s="1"/>
      <c r="P434" s="1" t="s">
        <v>2379</v>
      </c>
      <c r="Q434" s="1" t="s">
        <v>2380</v>
      </c>
      <c r="R434" s="1"/>
      <c r="S434" s="9">
        <v>17593</v>
      </c>
      <c r="T434" s="1">
        <v>17593</v>
      </c>
      <c r="U434" s="1" t="s">
        <v>2535</v>
      </c>
      <c r="V434" s="1" t="s">
        <v>15</v>
      </c>
      <c r="W434" s="1" t="s">
        <v>17</v>
      </c>
      <c r="X434" s="1" t="s">
        <v>17</v>
      </c>
      <c r="Y434" s="1" t="s">
        <v>17</v>
      </c>
      <c r="Z434" s="1" t="s">
        <v>17</v>
      </c>
      <c r="AA434" s="1" t="s">
        <v>17</v>
      </c>
      <c r="AB434" s="1">
        <v>0</v>
      </c>
      <c r="AC434" s="1" t="s">
        <v>17</v>
      </c>
    </row>
    <row r="435" spans="1:29">
      <c r="A435" s="1" t="s">
        <v>17</v>
      </c>
      <c r="B435" s="1" t="s">
        <v>2622</v>
      </c>
      <c r="C435" s="1" t="s">
        <v>2623</v>
      </c>
      <c r="D435" s="1" t="s">
        <v>42</v>
      </c>
      <c r="E435" s="1" t="s">
        <v>42</v>
      </c>
      <c r="F435" s="1" t="s">
        <v>17</v>
      </c>
      <c r="G435" s="1" t="s">
        <v>17</v>
      </c>
      <c r="H435" s="1" t="s">
        <v>17</v>
      </c>
      <c r="I435" s="1" t="s">
        <v>17</v>
      </c>
      <c r="J435" s="1" t="s">
        <v>17</v>
      </c>
      <c r="K435" s="1" t="s">
        <v>17</v>
      </c>
      <c r="L435" s="9">
        <v>0</v>
      </c>
      <c r="M435" s="1" t="s">
        <v>103</v>
      </c>
      <c r="N435" s="1" t="s">
        <v>2624</v>
      </c>
      <c r="O435" s="1"/>
      <c r="P435" s="1" t="s">
        <v>2379</v>
      </c>
      <c r="Q435" s="1" t="s">
        <v>2380</v>
      </c>
      <c r="R435" s="1"/>
      <c r="S435" s="9">
        <v>15498.94</v>
      </c>
      <c r="T435" s="1">
        <v>15498.94</v>
      </c>
      <c r="U435" s="1" t="s">
        <v>2535</v>
      </c>
      <c r="V435" s="1" t="s">
        <v>15</v>
      </c>
      <c r="W435" s="1" t="s">
        <v>17</v>
      </c>
      <c r="X435" s="1" t="s">
        <v>17</v>
      </c>
      <c r="Y435" s="1" t="s">
        <v>17</v>
      </c>
      <c r="Z435" s="1" t="s">
        <v>17</v>
      </c>
      <c r="AA435" s="1" t="s">
        <v>17</v>
      </c>
      <c r="AB435" s="1">
        <v>0</v>
      </c>
      <c r="AC435" s="1" t="s">
        <v>17</v>
      </c>
    </row>
    <row r="436" spans="1:29">
      <c r="A436" s="1" t="s">
        <v>17</v>
      </c>
      <c r="B436" s="1" t="s">
        <v>2625</v>
      </c>
      <c r="C436" s="1" t="s">
        <v>2568</v>
      </c>
      <c r="D436" s="1" t="s">
        <v>42</v>
      </c>
      <c r="E436" s="1" t="s">
        <v>42</v>
      </c>
      <c r="F436" s="1" t="s">
        <v>17</v>
      </c>
      <c r="G436" s="1" t="s">
        <v>17</v>
      </c>
      <c r="H436" s="1" t="s">
        <v>17</v>
      </c>
      <c r="I436" s="1" t="s">
        <v>17</v>
      </c>
      <c r="J436" s="1" t="s">
        <v>17</v>
      </c>
      <c r="K436" s="1" t="s">
        <v>17</v>
      </c>
      <c r="L436" s="9">
        <v>0</v>
      </c>
      <c r="M436" s="1" t="s">
        <v>103</v>
      </c>
      <c r="N436" s="1" t="s">
        <v>1218</v>
      </c>
      <c r="O436" s="1"/>
      <c r="P436" s="1" t="s">
        <v>2379</v>
      </c>
      <c r="Q436" s="1" t="s">
        <v>2380</v>
      </c>
      <c r="R436" s="1"/>
      <c r="S436" s="9">
        <v>-16336.73</v>
      </c>
      <c r="T436" s="1">
        <v>-16336.73</v>
      </c>
      <c r="U436" s="1" t="s">
        <v>2535</v>
      </c>
      <c r="V436" s="1" t="s">
        <v>15</v>
      </c>
      <c r="W436" s="1" t="s">
        <v>17</v>
      </c>
      <c r="X436" s="1" t="s">
        <v>17</v>
      </c>
      <c r="Y436" s="1" t="s">
        <v>17</v>
      </c>
      <c r="Z436" s="1" t="s">
        <v>17</v>
      </c>
      <c r="AA436" s="1" t="s">
        <v>17</v>
      </c>
      <c r="AB436" s="1">
        <v>0</v>
      </c>
      <c r="AC436" s="1" t="s">
        <v>17</v>
      </c>
    </row>
    <row r="437" spans="1:29">
      <c r="A437" s="1" t="s">
        <v>17</v>
      </c>
      <c r="B437" s="1" t="s">
        <v>2626</v>
      </c>
      <c r="C437" s="1" t="s">
        <v>2627</v>
      </c>
      <c r="D437" s="1" t="s">
        <v>42</v>
      </c>
      <c r="E437" s="1" t="s">
        <v>42</v>
      </c>
      <c r="F437" s="1" t="s">
        <v>17</v>
      </c>
      <c r="G437" s="1" t="s">
        <v>17</v>
      </c>
      <c r="H437" s="1" t="s">
        <v>17</v>
      </c>
      <c r="I437" s="1" t="s">
        <v>17</v>
      </c>
      <c r="J437" s="1" t="s">
        <v>17</v>
      </c>
      <c r="K437" s="1" t="s">
        <v>17</v>
      </c>
      <c r="L437" s="9">
        <v>0</v>
      </c>
      <c r="M437" s="1" t="s">
        <v>103</v>
      </c>
      <c r="N437" s="1" t="s">
        <v>314</v>
      </c>
      <c r="O437" s="1"/>
      <c r="P437" s="1" t="s">
        <v>2379</v>
      </c>
      <c r="Q437" s="1" t="s">
        <v>2380</v>
      </c>
      <c r="R437" s="1"/>
      <c r="S437" s="9">
        <v>-49847.97</v>
      </c>
      <c r="T437" s="1">
        <v>-49847.97</v>
      </c>
      <c r="U437" s="1" t="s">
        <v>2535</v>
      </c>
      <c r="V437" s="1" t="s">
        <v>15</v>
      </c>
      <c r="W437" s="1" t="s">
        <v>17</v>
      </c>
      <c r="X437" s="1" t="s">
        <v>17</v>
      </c>
      <c r="Y437" s="1" t="s">
        <v>17</v>
      </c>
      <c r="Z437" s="1" t="s">
        <v>17</v>
      </c>
      <c r="AA437" s="1" t="s">
        <v>17</v>
      </c>
      <c r="AB437" s="1">
        <v>0</v>
      </c>
      <c r="AC437" s="1" t="s">
        <v>17</v>
      </c>
    </row>
    <row r="438" spans="1:29">
      <c r="A438" s="1" t="s">
        <v>17</v>
      </c>
      <c r="B438" s="1" t="s">
        <v>2628</v>
      </c>
      <c r="C438" s="1" t="s">
        <v>2629</v>
      </c>
      <c r="D438" s="1" t="s">
        <v>42</v>
      </c>
      <c r="E438" s="1" t="s">
        <v>42</v>
      </c>
      <c r="F438" s="1" t="s">
        <v>17</v>
      </c>
      <c r="G438" s="1" t="s">
        <v>17</v>
      </c>
      <c r="H438" s="1" t="s">
        <v>17</v>
      </c>
      <c r="I438" s="1" t="s">
        <v>17</v>
      </c>
      <c r="J438" s="1" t="s">
        <v>17</v>
      </c>
      <c r="K438" s="1" t="s">
        <v>17</v>
      </c>
      <c r="L438" s="9">
        <v>0</v>
      </c>
      <c r="M438" s="1" t="s">
        <v>103</v>
      </c>
      <c r="N438" s="1" t="s">
        <v>320</v>
      </c>
      <c r="O438" s="1"/>
      <c r="P438" s="1" t="s">
        <v>2379</v>
      </c>
      <c r="Q438" s="1" t="s">
        <v>2380</v>
      </c>
      <c r="R438" s="1"/>
      <c r="S438" s="9">
        <v>14032</v>
      </c>
      <c r="T438" s="1">
        <v>14032</v>
      </c>
      <c r="U438" s="1" t="s">
        <v>2535</v>
      </c>
      <c r="V438" s="1" t="s">
        <v>15</v>
      </c>
      <c r="W438" s="1" t="s">
        <v>17</v>
      </c>
      <c r="X438" s="1" t="s">
        <v>17</v>
      </c>
      <c r="Y438" s="1" t="s">
        <v>17</v>
      </c>
      <c r="Z438" s="1" t="s">
        <v>17</v>
      </c>
      <c r="AA438" s="1" t="s">
        <v>17</v>
      </c>
      <c r="AB438" s="1">
        <v>0</v>
      </c>
      <c r="AC438" s="1" t="s">
        <v>17</v>
      </c>
    </row>
    <row r="439" spans="1:29">
      <c r="A439" s="1" t="s">
        <v>17</v>
      </c>
      <c r="B439" s="1" t="s">
        <v>2630</v>
      </c>
      <c r="C439" s="1" t="s">
        <v>2621</v>
      </c>
      <c r="D439" s="1" t="s">
        <v>42</v>
      </c>
      <c r="E439" s="1" t="s">
        <v>42</v>
      </c>
      <c r="F439" s="1" t="s">
        <v>17</v>
      </c>
      <c r="G439" s="1" t="s">
        <v>17</v>
      </c>
      <c r="H439" s="1" t="s">
        <v>17</v>
      </c>
      <c r="I439" s="1" t="s">
        <v>17</v>
      </c>
      <c r="J439" s="1" t="s">
        <v>17</v>
      </c>
      <c r="K439" s="1" t="s">
        <v>17</v>
      </c>
      <c r="L439" s="9">
        <v>0</v>
      </c>
      <c r="M439" s="1" t="s">
        <v>103</v>
      </c>
      <c r="N439" s="1" t="s">
        <v>1389</v>
      </c>
      <c r="O439" s="1"/>
      <c r="P439" s="1" t="s">
        <v>2379</v>
      </c>
      <c r="Q439" s="1" t="s">
        <v>2380</v>
      </c>
      <c r="R439" s="1"/>
      <c r="S439" s="9">
        <v>-17593.400000000001</v>
      </c>
      <c r="T439" s="1">
        <v>-17593.400000000001</v>
      </c>
      <c r="U439" s="1" t="s">
        <v>2535</v>
      </c>
      <c r="V439" s="1" t="s">
        <v>15</v>
      </c>
      <c r="W439" s="1" t="s">
        <v>17</v>
      </c>
      <c r="X439" s="1" t="s">
        <v>17</v>
      </c>
      <c r="Y439" s="1" t="s">
        <v>17</v>
      </c>
      <c r="Z439" s="1" t="s">
        <v>17</v>
      </c>
      <c r="AA439" s="1" t="s">
        <v>17</v>
      </c>
      <c r="AB439" s="1">
        <v>0</v>
      </c>
      <c r="AC439" s="1" t="s">
        <v>17</v>
      </c>
    </row>
    <row r="440" spans="1:29">
      <c r="A440" s="1" t="s">
        <v>17</v>
      </c>
      <c r="B440" s="1" t="s">
        <v>2631</v>
      </c>
      <c r="C440" s="1" t="s">
        <v>2632</v>
      </c>
      <c r="D440" s="1" t="s">
        <v>42</v>
      </c>
      <c r="E440" s="1" t="s">
        <v>42</v>
      </c>
      <c r="F440" s="1" t="s">
        <v>17</v>
      </c>
      <c r="G440" s="1" t="s">
        <v>17</v>
      </c>
      <c r="H440" s="1" t="s">
        <v>17</v>
      </c>
      <c r="I440" s="1" t="s">
        <v>17</v>
      </c>
      <c r="J440" s="1" t="s">
        <v>17</v>
      </c>
      <c r="K440" s="1" t="s">
        <v>17</v>
      </c>
      <c r="L440" s="9">
        <v>0</v>
      </c>
      <c r="M440" s="1" t="s">
        <v>103</v>
      </c>
      <c r="N440" s="1" t="s">
        <v>850</v>
      </c>
      <c r="O440" s="1"/>
      <c r="P440" s="1" t="s">
        <v>2379</v>
      </c>
      <c r="Q440" s="1" t="s">
        <v>2380</v>
      </c>
      <c r="R440" s="1"/>
      <c r="S440" s="9">
        <v>16755.62</v>
      </c>
      <c r="T440" s="1">
        <v>16755.62</v>
      </c>
      <c r="U440" s="1" t="s">
        <v>2535</v>
      </c>
      <c r="V440" s="1" t="s">
        <v>15</v>
      </c>
      <c r="W440" s="1" t="s">
        <v>17</v>
      </c>
      <c r="X440" s="1" t="s">
        <v>17</v>
      </c>
      <c r="Y440" s="1" t="s">
        <v>17</v>
      </c>
      <c r="Z440" s="1" t="s">
        <v>17</v>
      </c>
      <c r="AA440" s="1" t="s">
        <v>17</v>
      </c>
      <c r="AB440" s="1">
        <v>0</v>
      </c>
      <c r="AC440" s="1" t="s">
        <v>17</v>
      </c>
    </row>
    <row r="441" spans="1:29">
      <c r="A441" s="1" t="s">
        <v>17</v>
      </c>
      <c r="B441" s="1" t="s">
        <v>2633</v>
      </c>
      <c r="C441" s="1" t="s">
        <v>2634</v>
      </c>
      <c r="D441" s="1" t="s">
        <v>42</v>
      </c>
      <c r="E441" s="1" t="s">
        <v>42</v>
      </c>
      <c r="F441" s="1" t="s">
        <v>17</v>
      </c>
      <c r="G441" s="1" t="s">
        <v>17</v>
      </c>
      <c r="H441" s="1" t="s">
        <v>17</v>
      </c>
      <c r="I441" s="1" t="s">
        <v>17</v>
      </c>
      <c r="J441" s="1" t="s">
        <v>17</v>
      </c>
      <c r="K441" s="1" t="s">
        <v>17</v>
      </c>
      <c r="L441" s="9">
        <v>0</v>
      </c>
      <c r="M441" s="1" t="s">
        <v>103</v>
      </c>
      <c r="N441" s="1" t="s">
        <v>875</v>
      </c>
      <c r="O441" s="1"/>
      <c r="P441" s="1" t="s">
        <v>2379</v>
      </c>
      <c r="Q441" s="1" t="s">
        <v>2380</v>
      </c>
      <c r="R441" s="1"/>
      <c r="S441" s="9">
        <v>52151.86</v>
      </c>
      <c r="T441" s="1">
        <v>52151.86</v>
      </c>
      <c r="U441" s="1" t="s">
        <v>2535</v>
      </c>
      <c r="V441" s="1" t="s">
        <v>15</v>
      </c>
      <c r="W441" s="1" t="s">
        <v>17</v>
      </c>
      <c r="X441" s="1" t="s">
        <v>17</v>
      </c>
      <c r="Y441" s="1" t="s">
        <v>17</v>
      </c>
      <c r="Z441" s="1" t="s">
        <v>17</v>
      </c>
      <c r="AA441" s="1" t="s">
        <v>17</v>
      </c>
      <c r="AB441" s="1">
        <v>0</v>
      </c>
      <c r="AC441" s="1" t="s">
        <v>17</v>
      </c>
    </row>
    <row r="442" spans="1:29">
      <c r="A442" s="1" t="s">
        <v>17</v>
      </c>
      <c r="B442" s="1" t="s">
        <v>2635</v>
      </c>
      <c r="C442" s="1" t="s">
        <v>2584</v>
      </c>
      <c r="D442" s="1" t="s">
        <v>42</v>
      </c>
      <c r="E442" s="1" t="s">
        <v>42</v>
      </c>
      <c r="F442" s="1" t="s">
        <v>17</v>
      </c>
      <c r="G442" s="1" t="s">
        <v>17</v>
      </c>
      <c r="H442" s="1" t="s">
        <v>17</v>
      </c>
      <c r="I442" s="1" t="s">
        <v>17</v>
      </c>
      <c r="J442" s="1" t="s">
        <v>17</v>
      </c>
      <c r="K442" s="1" t="s">
        <v>17</v>
      </c>
      <c r="L442" s="9">
        <v>0</v>
      </c>
      <c r="M442" s="1" t="s">
        <v>103</v>
      </c>
      <c r="N442" s="1" t="s">
        <v>314</v>
      </c>
      <c r="O442" s="1"/>
      <c r="P442" s="1" t="s">
        <v>2379</v>
      </c>
      <c r="Q442" s="1" t="s">
        <v>2380</v>
      </c>
      <c r="R442" s="1"/>
      <c r="S442" s="9">
        <v>70792.53</v>
      </c>
      <c r="T442" s="1">
        <v>70792.53</v>
      </c>
      <c r="U442" s="1" t="s">
        <v>2535</v>
      </c>
      <c r="V442" s="1" t="s">
        <v>15</v>
      </c>
      <c r="W442" s="1" t="s">
        <v>17</v>
      </c>
      <c r="X442" s="1" t="s">
        <v>17</v>
      </c>
      <c r="Y442" s="1" t="s">
        <v>17</v>
      </c>
      <c r="Z442" s="1" t="s">
        <v>17</v>
      </c>
      <c r="AA442" s="1" t="s">
        <v>17</v>
      </c>
      <c r="AB442" s="1">
        <v>0</v>
      </c>
      <c r="AC442" s="1" t="s">
        <v>17</v>
      </c>
    </row>
    <row r="443" spans="1:29">
      <c r="A443" s="1" t="s">
        <v>17</v>
      </c>
      <c r="B443" s="1" t="s">
        <v>2636</v>
      </c>
      <c r="C443" s="1" t="s">
        <v>2561</v>
      </c>
      <c r="D443" s="1" t="s">
        <v>42</v>
      </c>
      <c r="E443" s="1" t="s">
        <v>42</v>
      </c>
      <c r="F443" s="1" t="s">
        <v>17</v>
      </c>
      <c r="G443" s="1" t="s">
        <v>17</v>
      </c>
      <c r="H443" s="1" t="s">
        <v>17</v>
      </c>
      <c r="I443" s="1" t="s">
        <v>17</v>
      </c>
      <c r="J443" s="1" t="s">
        <v>17</v>
      </c>
      <c r="K443" s="1" t="s">
        <v>17</v>
      </c>
      <c r="L443" s="9">
        <v>0</v>
      </c>
      <c r="M443" s="1" t="s">
        <v>103</v>
      </c>
      <c r="N443" s="1" t="s">
        <v>1457</v>
      </c>
      <c r="O443" s="1"/>
      <c r="P443" s="1" t="s">
        <v>2379</v>
      </c>
      <c r="Q443" s="1" t="s">
        <v>2380</v>
      </c>
      <c r="R443" s="1"/>
      <c r="S443" s="9">
        <v>-15708.4</v>
      </c>
      <c r="T443" s="1">
        <v>-15708.4</v>
      </c>
      <c r="U443" s="1" t="s">
        <v>2535</v>
      </c>
      <c r="V443" s="1" t="s">
        <v>15</v>
      </c>
      <c r="W443" s="1" t="s">
        <v>17</v>
      </c>
      <c r="X443" s="1" t="s">
        <v>17</v>
      </c>
      <c r="Y443" s="1" t="s">
        <v>17</v>
      </c>
      <c r="Z443" s="1" t="s">
        <v>17</v>
      </c>
      <c r="AA443" s="1" t="s">
        <v>17</v>
      </c>
      <c r="AB443" s="1">
        <v>0</v>
      </c>
      <c r="AC443" s="1" t="s">
        <v>17</v>
      </c>
    </row>
    <row r="444" spans="1:29">
      <c r="A444" s="1" t="s">
        <v>17</v>
      </c>
      <c r="B444" s="1" t="s">
        <v>2637</v>
      </c>
      <c r="C444" s="1" t="s">
        <v>2638</v>
      </c>
      <c r="D444" s="1" t="s">
        <v>42</v>
      </c>
      <c r="E444" s="1" t="s">
        <v>42</v>
      </c>
      <c r="F444" s="1" t="s">
        <v>17</v>
      </c>
      <c r="G444" s="1" t="s">
        <v>17</v>
      </c>
      <c r="H444" s="1" t="s">
        <v>17</v>
      </c>
      <c r="I444" s="1" t="s">
        <v>17</v>
      </c>
      <c r="J444" s="1" t="s">
        <v>17</v>
      </c>
      <c r="K444" s="1" t="s">
        <v>17</v>
      </c>
      <c r="L444" s="9">
        <v>0</v>
      </c>
      <c r="M444" s="1" t="s">
        <v>103</v>
      </c>
      <c r="N444" s="1" t="s">
        <v>1011</v>
      </c>
      <c r="O444" s="1"/>
      <c r="P444" s="1" t="s">
        <v>2379</v>
      </c>
      <c r="Q444" s="1" t="s">
        <v>2380</v>
      </c>
      <c r="R444" s="1"/>
      <c r="S444" s="9">
        <v>15498.94</v>
      </c>
      <c r="T444" s="1">
        <v>15498.94</v>
      </c>
      <c r="U444" s="1" t="s">
        <v>2535</v>
      </c>
      <c r="V444" s="1" t="s">
        <v>15</v>
      </c>
      <c r="W444" s="1" t="s">
        <v>17</v>
      </c>
      <c r="X444" s="1" t="s">
        <v>17</v>
      </c>
      <c r="Y444" s="1" t="s">
        <v>17</v>
      </c>
      <c r="Z444" s="1" t="s">
        <v>17</v>
      </c>
      <c r="AA444" s="1" t="s">
        <v>17</v>
      </c>
      <c r="AB444" s="1">
        <v>0</v>
      </c>
      <c r="AC444" s="1" t="s">
        <v>17</v>
      </c>
    </row>
    <row r="445" spans="1:29">
      <c r="A445" s="1" t="s">
        <v>17</v>
      </c>
      <c r="B445" s="1" t="s">
        <v>2639</v>
      </c>
      <c r="C445" s="1" t="s">
        <v>2537</v>
      </c>
      <c r="D445" s="1" t="s">
        <v>42</v>
      </c>
      <c r="E445" s="1" t="s">
        <v>42</v>
      </c>
      <c r="F445" s="1" t="s">
        <v>17</v>
      </c>
      <c r="G445" s="1" t="s">
        <v>17</v>
      </c>
      <c r="H445" s="1" t="s">
        <v>17</v>
      </c>
      <c r="I445" s="1" t="s">
        <v>17</v>
      </c>
      <c r="J445" s="1" t="s">
        <v>17</v>
      </c>
      <c r="K445" s="1" t="s">
        <v>17</v>
      </c>
      <c r="L445" s="9">
        <v>0</v>
      </c>
      <c r="M445" s="1" t="s">
        <v>103</v>
      </c>
      <c r="N445" s="1" t="s">
        <v>1335</v>
      </c>
      <c r="O445" s="1"/>
      <c r="P445" s="1" t="s">
        <v>2379</v>
      </c>
      <c r="Q445" s="1" t="s">
        <v>2380</v>
      </c>
      <c r="R445" s="1"/>
      <c r="S445" s="9">
        <v>-18012.3</v>
      </c>
      <c r="T445" s="1">
        <v>-18012.3</v>
      </c>
      <c r="U445" s="1" t="s">
        <v>2535</v>
      </c>
      <c r="V445" s="1" t="s">
        <v>15</v>
      </c>
      <c r="W445" s="1" t="s">
        <v>17</v>
      </c>
      <c r="X445" s="1" t="s">
        <v>17</v>
      </c>
      <c r="Y445" s="1" t="s">
        <v>17</v>
      </c>
      <c r="Z445" s="1" t="s">
        <v>17</v>
      </c>
      <c r="AA445" s="1" t="s">
        <v>17</v>
      </c>
      <c r="AB445" s="1">
        <v>0</v>
      </c>
      <c r="AC445" s="1" t="s">
        <v>17</v>
      </c>
    </row>
    <row r="446" spans="1:29">
      <c r="A446" s="1" t="s">
        <v>17</v>
      </c>
      <c r="B446" s="1" t="s">
        <v>2640</v>
      </c>
      <c r="C446" s="1" t="s">
        <v>2641</v>
      </c>
      <c r="D446" s="1" t="s">
        <v>42</v>
      </c>
      <c r="E446" s="1" t="s">
        <v>42</v>
      </c>
      <c r="F446" s="1" t="s">
        <v>17</v>
      </c>
      <c r="G446" s="1" t="s">
        <v>17</v>
      </c>
      <c r="H446" s="1" t="s">
        <v>17</v>
      </c>
      <c r="I446" s="1" t="s">
        <v>17</v>
      </c>
      <c r="J446" s="1" t="s">
        <v>17</v>
      </c>
      <c r="K446" s="1" t="s">
        <v>17</v>
      </c>
      <c r="L446" s="9">
        <v>0</v>
      </c>
      <c r="M446" s="1" t="s">
        <v>103</v>
      </c>
      <c r="N446" s="1" t="s">
        <v>2335</v>
      </c>
      <c r="O446" s="1"/>
      <c r="P446" s="1" t="s">
        <v>2379</v>
      </c>
      <c r="Q446" s="1" t="s">
        <v>2380</v>
      </c>
      <c r="R446" s="1"/>
      <c r="S446" s="9">
        <v>-18012.3</v>
      </c>
      <c r="T446" s="1">
        <v>-18012.3</v>
      </c>
      <c r="U446" s="1" t="s">
        <v>2535</v>
      </c>
      <c r="V446" s="1" t="s">
        <v>15</v>
      </c>
      <c r="W446" s="1" t="s">
        <v>17</v>
      </c>
      <c r="X446" s="1" t="s">
        <v>17</v>
      </c>
      <c r="Y446" s="1" t="s">
        <v>17</v>
      </c>
      <c r="Z446" s="1" t="s">
        <v>17</v>
      </c>
      <c r="AA446" s="1" t="s">
        <v>17</v>
      </c>
      <c r="AB446" s="1">
        <v>0</v>
      </c>
      <c r="AC446" s="1" t="s">
        <v>17</v>
      </c>
    </row>
    <row r="447" spans="1:29">
      <c r="A447" s="1" t="s">
        <v>17</v>
      </c>
      <c r="B447" s="1" t="s">
        <v>2642</v>
      </c>
      <c r="C447" s="1" t="s">
        <v>2643</v>
      </c>
      <c r="D447" s="1" t="s">
        <v>42</v>
      </c>
      <c r="E447" s="1" t="s">
        <v>42</v>
      </c>
      <c r="F447" s="1" t="s">
        <v>17</v>
      </c>
      <c r="G447" s="1" t="s">
        <v>17</v>
      </c>
      <c r="H447" s="1" t="s">
        <v>17</v>
      </c>
      <c r="I447" s="1" t="s">
        <v>17</v>
      </c>
      <c r="J447" s="1" t="s">
        <v>17</v>
      </c>
      <c r="K447" s="1" t="s">
        <v>17</v>
      </c>
      <c r="L447" s="9">
        <v>0</v>
      </c>
      <c r="M447" s="1" t="s">
        <v>103</v>
      </c>
      <c r="N447" s="1" t="s">
        <v>338</v>
      </c>
      <c r="O447" s="1"/>
      <c r="P447" s="1" t="s">
        <v>2379</v>
      </c>
      <c r="Q447" s="1" t="s">
        <v>2380</v>
      </c>
      <c r="R447" s="1"/>
      <c r="S447" s="9">
        <v>65556.37</v>
      </c>
      <c r="T447" s="1">
        <v>65556.37</v>
      </c>
      <c r="U447" s="1" t="s">
        <v>2535</v>
      </c>
      <c r="V447" s="1" t="s">
        <v>15</v>
      </c>
      <c r="W447" s="1" t="s">
        <v>17</v>
      </c>
      <c r="X447" s="1" t="s">
        <v>17</v>
      </c>
      <c r="Y447" s="1" t="s">
        <v>17</v>
      </c>
      <c r="Z447" s="1" t="s">
        <v>17</v>
      </c>
      <c r="AA447" s="1" t="s">
        <v>17</v>
      </c>
      <c r="AB447" s="1">
        <v>0</v>
      </c>
      <c r="AC447" s="1" t="s">
        <v>17</v>
      </c>
    </row>
    <row r="448" spans="1:29">
      <c r="A448" s="1" t="s">
        <v>17</v>
      </c>
      <c r="B448" s="1" t="s">
        <v>2644</v>
      </c>
      <c r="C448" s="1" t="s">
        <v>2645</v>
      </c>
      <c r="D448" s="1" t="s">
        <v>42</v>
      </c>
      <c r="E448" s="1" t="s">
        <v>42</v>
      </c>
      <c r="F448" s="1" t="s">
        <v>17</v>
      </c>
      <c r="G448" s="1" t="s">
        <v>17</v>
      </c>
      <c r="H448" s="1" t="s">
        <v>17</v>
      </c>
      <c r="I448" s="1" t="s">
        <v>17</v>
      </c>
      <c r="J448" s="1" t="s">
        <v>17</v>
      </c>
      <c r="K448" s="1" t="s">
        <v>17</v>
      </c>
      <c r="L448" s="9">
        <v>0</v>
      </c>
      <c r="M448" s="1" t="s">
        <v>103</v>
      </c>
      <c r="N448" s="1" t="s">
        <v>1177</v>
      </c>
      <c r="O448" s="1"/>
      <c r="P448" s="1" t="s">
        <v>2379</v>
      </c>
      <c r="Q448" s="1" t="s">
        <v>2380</v>
      </c>
      <c r="R448" s="1"/>
      <c r="S448" s="9">
        <v>-12566.72</v>
      </c>
      <c r="T448" s="1">
        <v>-12566.72</v>
      </c>
      <c r="U448" s="1" t="s">
        <v>2535</v>
      </c>
      <c r="V448" s="1" t="s">
        <v>15</v>
      </c>
      <c r="W448" s="1" t="s">
        <v>17</v>
      </c>
      <c r="X448" s="1" t="s">
        <v>17</v>
      </c>
      <c r="Y448" s="1" t="s">
        <v>17</v>
      </c>
      <c r="Z448" s="1" t="s">
        <v>17</v>
      </c>
      <c r="AA448" s="1" t="s">
        <v>17</v>
      </c>
      <c r="AB448" s="1">
        <v>0</v>
      </c>
      <c r="AC448" s="1" t="s">
        <v>17</v>
      </c>
    </row>
    <row r="449" spans="1:29">
      <c r="A449" s="1" t="s">
        <v>17</v>
      </c>
      <c r="B449" s="1" t="s">
        <v>2646</v>
      </c>
      <c r="C449" s="1" t="s">
        <v>2645</v>
      </c>
      <c r="D449" s="1" t="s">
        <v>42</v>
      </c>
      <c r="E449" s="1" t="s">
        <v>42</v>
      </c>
      <c r="F449" s="1" t="s">
        <v>17</v>
      </c>
      <c r="G449" s="1" t="s">
        <v>17</v>
      </c>
      <c r="H449" s="1" t="s">
        <v>17</v>
      </c>
      <c r="I449" s="1" t="s">
        <v>17</v>
      </c>
      <c r="J449" s="1" t="s">
        <v>17</v>
      </c>
      <c r="K449" s="1" t="s">
        <v>17</v>
      </c>
      <c r="L449" s="9">
        <v>0</v>
      </c>
      <c r="M449" s="1" t="s">
        <v>103</v>
      </c>
      <c r="N449" s="1" t="s">
        <v>1177</v>
      </c>
      <c r="O449" s="1"/>
      <c r="P449" s="1" t="s">
        <v>2379</v>
      </c>
      <c r="Q449" s="1" t="s">
        <v>2380</v>
      </c>
      <c r="R449" s="1"/>
      <c r="S449" s="9">
        <v>12566.72</v>
      </c>
      <c r="T449" s="1">
        <v>12566.72</v>
      </c>
      <c r="U449" s="1" t="s">
        <v>2535</v>
      </c>
      <c r="V449" s="1" t="s">
        <v>15</v>
      </c>
      <c r="W449" s="1" t="s">
        <v>17</v>
      </c>
      <c r="X449" s="1" t="s">
        <v>17</v>
      </c>
      <c r="Y449" s="1" t="s">
        <v>17</v>
      </c>
      <c r="Z449" s="1" t="s">
        <v>17</v>
      </c>
      <c r="AA449" s="1" t="s">
        <v>17</v>
      </c>
      <c r="AB449" s="1">
        <v>0</v>
      </c>
      <c r="AC449" s="1" t="s">
        <v>17</v>
      </c>
    </row>
    <row r="450" spans="1:29">
      <c r="A450" s="1" t="s">
        <v>17</v>
      </c>
      <c r="B450" s="1" t="s">
        <v>2647</v>
      </c>
      <c r="C450" s="1" t="s">
        <v>2648</v>
      </c>
      <c r="D450" s="1" t="s">
        <v>42</v>
      </c>
      <c r="E450" s="1" t="s">
        <v>42</v>
      </c>
      <c r="F450" s="1" t="s">
        <v>17</v>
      </c>
      <c r="G450" s="1" t="s">
        <v>17</v>
      </c>
      <c r="H450" s="1" t="s">
        <v>17</v>
      </c>
      <c r="I450" s="1" t="s">
        <v>17</v>
      </c>
      <c r="J450" s="1" t="s">
        <v>17</v>
      </c>
      <c r="K450" s="1" t="s">
        <v>17</v>
      </c>
      <c r="L450" s="9">
        <v>0</v>
      </c>
      <c r="M450" s="1" t="s">
        <v>103</v>
      </c>
      <c r="N450" s="1" t="s">
        <v>564</v>
      </c>
      <c r="O450" s="1"/>
      <c r="P450" s="1" t="s">
        <v>2379</v>
      </c>
      <c r="Q450" s="1" t="s">
        <v>2380</v>
      </c>
      <c r="R450" s="1"/>
      <c r="S450" s="9">
        <v>33092.370000000003</v>
      </c>
      <c r="T450" s="1">
        <v>33092.370000000003</v>
      </c>
      <c r="U450" s="1" t="s">
        <v>2535</v>
      </c>
      <c r="V450" s="1" t="s">
        <v>15</v>
      </c>
      <c r="W450" s="1" t="s">
        <v>17</v>
      </c>
      <c r="X450" s="1" t="s">
        <v>17</v>
      </c>
      <c r="Y450" s="1" t="s">
        <v>17</v>
      </c>
      <c r="Z450" s="1" t="s">
        <v>17</v>
      </c>
      <c r="AA450" s="1" t="s">
        <v>17</v>
      </c>
      <c r="AB450" s="1">
        <v>0</v>
      </c>
      <c r="AC450" s="1" t="s">
        <v>17</v>
      </c>
    </row>
    <row r="451" spans="1:29">
      <c r="A451" s="1" t="s">
        <v>17</v>
      </c>
      <c r="B451" s="1" t="s">
        <v>2649</v>
      </c>
      <c r="C451" s="1" t="s">
        <v>2650</v>
      </c>
      <c r="D451" s="1" t="s">
        <v>42</v>
      </c>
      <c r="E451" s="1" t="s">
        <v>42</v>
      </c>
      <c r="F451" s="1" t="s">
        <v>17</v>
      </c>
      <c r="G451" s="1" t="s">
        <v>17</v>
      </c>
      <c r="H451" s="1" t="s">
        <v>17</v>
      </c>
      <c r="I451" s="1" t="s">
        <v>17</v>
      </c>
      <c r="J451" s="1" t="s">
        <v>17</v>
      </c>
      <c r="K451" s="1" t="s">
        <v>17</v>
      </c>
      <c r="L451" s="9">
        <v>0</v>
      </c>
      <c r="M451" s="1" t="s">
        <v>103</v>
      </c>
      <c r="N451" s="1" t="s">
        <v>378</v>
      </c>
      <c r="O451" s="1"/>
      <c r="P451" s="1" t="s">
        <v>2379</v>
      </c>
      <c r="Q451" s="1" t="s">
        <v>2380</v>
      </c>
      <c r="R451" s="1"/>
      <c r="S451" s="9">
        <v>56131.33</v>
      </c>
      <c r="T451" s="1">
        <v>56131.33</v>
      </c>
      <c r="U451" s="1" t="s">
        <v>2535</v>
      </c>
      <c r="V451" s="1" t="s">
        <v>15</v>
      </c>
      <c r="W451" s="1" t="s">
        <v>17</v>
      </c>
      <c r="X451" s="1" t="s">
        <v>17</v>
      </c>
      <c r="Y451" s="1" t="s">
        <v>17</v>
      </c>
      <c r="Z451" s="1" t="s">
        <v>17</v>
      </c>
      <c r="AA451" s="1" t="s">
        <v>17</v>
      </c>
      <c r="AB451" s="1">
        <v>0</v>
      </c>
      <c r="AC451" s="1" t="s">
        <v>17</v>
      </c>
    </row>
    <row r="452" spans="1:29">
      <c r="A452" s="1" t="s">
        <v>17</v>
      </c>
      <c r="B452" s="1" t="s">
        <v>2651</v>
      </c>
      <c r="C452" s="1" t="s">
        <v>2652</v>
      </c>
      <c r="D452" s="1" t="s">
        <v>42</v>
      </c>
      <c r="E452" s="1" t="s">
        <v>42</v>
      </c>
      <c r="F452" s="1" t="s">
        <v>17</v>
      </c>
      <c r="G452" s="1" t="s">
        <v>17</v>
      </c>
      <c r="H452" s="1" t="s">
        <v>17</v>
      </c>
      <c r="I452" s="1" t="s">
        <v>17</v>
      </c>
      <c r="J452" s="1" t="s">
        <v>17</v>
      </c>
      <c r="K452" s="1" t="s">
        <v>17</v>
      </c>
      <c r="L452" s="9">
        <v>0</v>
      </c>
      <c r="M452" s="1" t="s">
        <v>103</v>
      </c>
      <c r="N452" s="1" t="s">
        <v>301</v>
      </c>
      <c r="O452" s="1"/>
      <c r="P452" s="1" t="s">
        <v>2379</v>
      </c>
      <c r="Q452" s="1" t="s">
        <v>2380</v>
      </c>
      <c r="R452" s="1"/>
      <c r="S452" s="9">
        <v>15080</v>
      </c>
      <c r="T452" s="1">
        <v>15080</v>
      </c>
      <c r="U452" s="1" t="s">
        <v>2535</v>
      </c>
      <c r="V452" s="1" t="s">
        <v>15</v>
      </c>
      <c r="W452" s="1" t="s">
        <v>17</v>
      </c>
      <c r="X452" s="1" t="s">
        <v>17</v>
      </c>
      <c r="Y452" s="1" t="s">
        <v>17</v>
      </c>
      <c r="Z452" s="1" t="s">
        <v>17</v>
      </c>
      <c r="AA452" s="1" t="s">
        <v>17</v>
      </c>
      <c r="AB452" s="1">
        <v>0</v>
      </c>
      <c r="AC452" s="1" t="s">
        <v>17</v>
      </c>
    </row>
    <row r="453" spans="1:29">
      <c r="A453" s="1" t="s">
        <v>17</v>
      </c>
      <c r="B453" s="1" t="s">
        <v>2653</v>
      </c>
      <c r="C453" s="1" t="s">
        <v>2577</v>
      </c>
      <c r="D453" s="1" t="s">
        <v>42</v>
      </c>
      <c r="E453" s="1" t="s">
        <v>42</v>
      </c>
      <c r="F453" s="1" t="s">
        <v>17</v>
      </c>
      <c r="G453" s="1" t="s">
        <v>17</v>
      </c>
      <c r="H453" s="1" t="s">
        <v>17</v>
      </c>
      <c r="I453" s="1" t="s">
        <v>17</v>
      </c>
      <c r="J453" s="1" t="s">
        <v>17</v>
      </c>
      <c r="K453" s="1" t="s">
        <v>17</v>
      </c>
      <c r="L453" s="9">
        <v>0</v>
      </c>
      <c r="M453" s="1" t="s">
        <v>103</v>
      </c>
      <c r="N453" s="1" t="s">
        <v>2654</v>
      </c>
      <c r="O453" s="1"/>
      <c r="P453" s="1" t="s">
        <v>2379</v>
      </c>
      <c r="Q453" s="1" t="s">
        <v>2380</v>
      </c>
      <c r="R453" s="1"/>
      <c r="S453" s="9">
        <v>13613.94</v>
      </c>
      <c r="T453" s="1">
        <v>13613.94</v>
      </c>
      <c r="U453" s="1" t="s">
        <v>2535</v>
      </c>
      <c r="V453" s="1" t="s">
        <v>15</v>
      </c>
      <c r="W453" s="1" t="s">
        <v>17</v>
      </c>
      <c r="X453" s="1" t="s">
        <v>17</v>
      </c>
      <c r="Y453" s="1" t="s">
        <v>17</v>
      </c>
      <c r="Z453" s="1" t="s">
        <v>17</v>
      </c>
      <c r="AA453" s="1" t="s">
        <v>17</v>
      </c>
      <c r="AB453" s="1">
        <v>0</v>
      </c>
      <c r="AC453" s="1" t="s">
        <v>17</v>
      </c>
    </row>
    <row r="454" spans="1:29">
      <c r="A454" s="1" t="s">
        <v>17</v>
      </c>
      <c r="B454" s="1" t="s">
        <v>2655</v>
      </c>
      <c r="C454" s="1" t="s">
        <v>2656</v>
      </c>
      <c r="D454" s="1" t="s">
        <v>42</v>
      </c>
      <c r="E454" s="1" t="s">
        <v>42</v>
      </c>
      <c r="F454" s="1" t="s">
        <v>17</v>
      </c>
      <c r="G454" s="1" t="s">
        <v>17</v>
      </c>
      <c r="H454" s="1" t="s">
        <v>17</v>
      </c>
      <c r="I454" s="1" t="s">
        <v>17</v>
      </c>
      <c r="J454" s="1" t="s">
        <v>17</v>
      </c>
      <c r="K454" s="1" t="s">
        <v>17</v>
      </c>
      <c r="L454" s="9">
        <v>0</v>
      </c>
      <c r="M454" s="1" t="s">
        <v>103</v>
      </c>
      <c r="N454" s="1" t="s">
        <v>726</v>
      </c>
      <c r="O454" s="1"/>
      <c r="P454" s="1" t="s">
        <v>2379</v>
      </c>
      <c r="Q454" s="1" t="s">
        <v>2380</v>
      </c>
      <c r="R454" s="1"/>
      <c r="S454" s="9">
        <v>13613.94</v>
      </c>
      <c r="T454" s="1">
        <v>13613.94</v>
      </c>
      <c r="U454" s="1" t="s">
        <v>2535</v>
      </c>
      <c r="V454" s="1" t="s">
        <v>15</v>
      </c>
      <c r="W454" s="1" t="s">
        <v>17</v>
      </c>
      <c r="X454" s="1" t="s">
        <v>17</v>
      </c>
      <c r="Y454" s="1" t="s">
        <v>17</v>
      </c>
      <c r="Z454" s="1" t="s">
        <v>17</v>
      </c>
      <c r="AA454" s="1" t="s">
        <v>17</v>
      </c>
      <c r="AB454" s="1">
        <v>0</v>
      </c>
      <c r="AC454" s="1" t="s">
        <v>17</v>
      </c>
    </row>
    <row r="455" spans="1:29">
      <c r="A455" s="1" t="s">
        <v>17</v>
      </c>
      <c r="B455" s="1" t="s">
        <v>2657</v>
      </c>
      <c r="C455" s="1" t="s">
        <v>2623</v>
      </c>
      <c r="D455" s="1" t="s">
        <v>42</v>
      </c>
      <c r="E455" s="1" t="s">
        <v>42</v>
      </c>
      <c r="F455" s="1" t="s">
        <v>17</v>
      </c>
      <c r="G455" s="1" t="s">
        <v>17</v>
      </c>
      <c r="H455" s="1" t="s">
        <v>17</v>
      </c>
      <c r="I455" s="1" t="s">
        <v>17</v>
      </c>
      <c r="J455" s="1" t="s">
        <v>17</v>
      </c>
      <c r="K455" s="1" t="s">
        <v>17</v>
      </c>
      <c r="L455" s="9">
        <v>0</v>
      </c>
      <c r="M455" s="1" t="s">
        <v>103</v>
      </c>
      <c r="N455" s="1" t="s">
        <v>1986</v>
      </c>
      <c r="O455" s="1"/>
      <c r="P455" s="1" t="s">
        <v>2379</v>
      </c>
      <c r="Q455" s="1" t="s">
        <v>2380</v>
      </c>
      <c r="R455" s="1"/>
      <c r="S455" s="9">
        <v>-15498.94</v>
      </c>
      <c r="T455" s="1">
        <v>-15498.94</v>
      </c>
      <c r="U455" s="1" t="s">
        <v>2535</v>
      </c>
      <c r="V455" s="1" t="s">
        <v>15</v>
      </c>
      <c r="W455" s="1" t="s">
        <v>17</v>
      </c>
      <c r="X455" s="1" t="s">
        <v>17</v>
      </c>
      <c r="Y455" s="1" t="s">
        <v>17</v>
      </c>
      <c r="Z455" s="1" t="s">
        <v>17</v>
      </c>
      <c r="AA455" s="1" t="s">
        <v>17</v>
      </c>
      <c r="AB455" s="1">
        <v>0</v>
      </c>
      <c r="AC455" s="1" t="s">
        <v>17</v>
      </c>
    </row>
    <row r="456" spans="1:29">
      <c r="A456" s="1" t="s">
        <v>17</v>
      </c>
      <c r="B456" s="1" t="s">
        <v>2658</v>
      </c>
      <c r="C456" s="1" t="s">
        <v>2610</v>
      </c>
      <c r="D456" s="1" t="s">
        <v>42</v>
      </c>
      <c r="E456" s="1" t="s">
        <v>42</v>
      </c>
      <c r="F456" s="1" t="s">
        <v>17</v>
      </c>
      <c r="G456" s="1" t="s">
        <v>17</v>
      </c>
      <c r="H456" s="1" t="s">
        <v>17</v>
      </c>
      <c r="I456" s="1" t="s">
        <v>17</v>
      </c>
      <c r="J456" s="1" t="s">
        <v>17</v>
      </c>
      <c r="K456" s="1" t="s">
        <v>17</v>
      </c>
      <c r="L456" s="9">
        <v>0</v>
      </c>
      <c r="M456" s="1" t="s">
        <v>103</v>
      </c>
      <c r="N456" s="1" t="s">
        <v>1286</v>
      </c>
      <c r="O456" s="1"/>
      <c r="P456" s="1" t="s">
        <v>2379</v>
      </c>
      <c r="Q456" s="1" t="s">
        <v>2380</v>
      </c>
      <c r="R456" s="1"/>
      <c r="S456" s="9">
        <v>-16127.29</v>
      </c>
      <c r="T456" s="1">
        <v>-16127.29</v>
      </c>
      <c r="U456" s="1" t="s">
        <v>2535</v>
      </c>
      <c r="V456" s="1" t="s">
        <v>15</v>
      </c>
      <c r="W456" s="1" t="s">
        <v>17</v>
      </c>
      <c r="X456" s="1" t="s">
        <v>17</v>
      </c>
      <c r="Y456" s="1" t="s">
        <v>17</v>
      </c>
      <c r="Z456" s="1" t="s">
        <v>17</v>
      </c>
      <c r="AA456" s="1" t="s">
        <v>17</v>
      </c>
      <c r="AB456" s="1">
        <v>0</v>
      </c>
      <c r="AC456" s="1" t="s">
        <v>17</v>
      </c>
    </row>
    <row r="457" spans="1:29">
      <c r="A457" s="1" t="s">
        <v>17</v>
      </c>
      <c r="B457" s="1" t="s">
        <v>2659</v>
      </c>
      <c r="C457" s="1" t="s">
        <v>2660</v>
      </c>
      <c r="D457" s="1" t="s">
        <v>42</v>
      </c>
      <c r="E457" s="1" t="s">
        <v>42</v>
      </c>
      <c r="F457" s="1" t="s">
        <v>17</v>
      </c>
      <c r="G457" s="1" t="s">
        <v>17</v>
      </c>
      <c r="H457" s="1" t="s">
        <v>17</v>
      </c>
      <c r="I457" s="1" t="s">
        <v>17</v>
      </c>
      <c r="J457" s="1" t="s">
        <v>17</v>
      </c>
      <c r="K457" s="1" t="s">
        <v>17</v>
      </c>
      <c r="L457" s="9">
        <v>0</v>
      </c>
      <c r="M457" s="1" t="s">
        <v>103</v>
      </c>
      <c r="N457" s="1" t="s">
        <v>1256</v>
      </c>
      <c r="O457" s="1"/>
      <c r="P457" s="1" t="s">
        <v>2379</v>
      </c>
      <c r="Q457" s="1" t="s">
        <v>2380</v>
      </c>
      <c r="R457" s="1"/>
      <c r="S457" s="9">
        <v>63252.42</v>
      </c>
      <c r="T457" s="1">
        <v>63252.42</v>
      </c>
      <c r="U457" s="1" t="s">
        <v>2535</v>
      </c>
      <c r="V457" s="1" t="s">
        <v>15</v>
      </c>
      <c r="W457" s="1" t="s">
        <v>17</v>
      </c>
      <c r="X457" s="1" t="s">
        <v>17</v>
      </c>
      <c r="Y457" s="1" t="s">
        <v>17</v>
      </c>
      <c r="Z457" s="1" t="s">
        <v>17</v>
      </c>
      <c r="AA457" s="1" t="s">
        <v>17</v>
      </c>
      <c r="AB457" s="1">
        <v>0</v>
      </c>
      <c r="AC457" s="1" t="s">
        <v>17</v>
      </c>
    </row>
    <row r="458" spans="1:29">
      <c r="A458" s="1" t="s">
        <v>17</v>
      </c>
      <c r="B458" s="1" t="s">
        <v>2661</v>
      </c>
      <c r="C458" s="1" t="s">
        <v>2662</v>
      </c>
      <c r="D458" s="1" t="s">
        <v>42</v>
      </c>
      <c r="E458" s="1" t="s">
        <v>42</v>
      </c>
      <c r="F458" s="1" t="s">
        <v>17</v>
      </c>
      <c r="G458" s="1" t="s">
        <v>17</v>
      </c>
      <c r="H458" s="1" t="s">
        <v>17</v>
      </c>
      <c r="I458" s="1" t="s">
        <v>17</v>
      </c>
      <c r="J458" s="1" t="s">
        <v>17</v>
      </c>
      <c r="K458" s="1" t="s">
        <v>17</v>
      </c>
      <c r="L458" s="9">
        <v>0</v>
      </c>
      <c r="M458" s="1" t="s">
        <v>103</v>
      </c>
      <c r="N458" s="1" t="s">
        <v>1110</v>
      </c>
      <c r="O458" s="1"/>
      <c r="P458" s="1" t="s">
        <v>2379</v>
      </c>
      <c r="Q458" s="1" t="s">
        <v>2380</v>
      </c>
      <c r="R458" s="1"/>
      <c r="S458" s="9">
        <v>-31207.34</v>
      </c>
      <c r="T458" s="1">
        <v>-31207.34</v>
      </c>
      <c r="U458" s="1" t="s">
        <v>2535</v>
      </c>
      <c r="V458" s="1" t="s">
        <v>15</v>
      </c>
      <c r="W458" s="1" t="s">
        <v>17</v>
      </c>
      <c r="X458" s="1" t="s">
        <v>17</v>
      </c>
      <c r="Y458" s="1" t="s">
        <v>17</v>
      </c>
      <c r="Z458" s="1" t="s">
        <v>17</v>
      </c>
      <c r="AA458" s="1" t="s">
        <v>17</v>
      </c>
      <c r="AB458" s="1">
        <v>0</v>
      </c>
      <c r="AC458" s="1" t="s">
        <v>17</v>
      </c>
    </row>
    <row r="459" spans="1:29">
      <c r="A459" s="1" t="s">
        <v>17</v>
      </c>
      <c r="B459" s="1" t="s">
        <v>2663</v>
      </c>
      <c r="C459" s="1" t="s">
        <v>2656</v>
      </c>
      <c r="D459" s="1" t="s">
        <v>42</v>
      </c>
      <c r="E459" s="1" t="s">
        <v>42</v>
      </c>
      <c r="F459" s="1" t="s">
        <v>17</v>
      </c>
      <c r="G459" s="1" t="s">
        <v>17</v>
      </c>
      <c r="H459" s="1" t="s">
        <v>17</v>
      </c>
      <c r="I459" s="1" t="s">
        <v>17</v>
      </c>
      <c r="J459" s="1" t="s">
        <v>17</v>
      </c>
      <c r="K459" s="1" t="s">
        <v>17</v>
      </c>
      <c r="L459" s="9">
        <v>0</v>
      </c>
      <c r="M459" s="1" t="s">
        <v>103</v>
      </c>
      <c r="N459" s="1" t="s">
        <v>2654</v>
      </c>
      <c r="O459" s="1"/>
      <c r="P459" s="1" t="s">
        <v>2379</v>
      </c>
      <c r="Q459" s="1" t="s">
        <v>2380</v>
      </c>
      <c r="R459" s="1"/>
      <c r="S459" s="9">
        <v>-13613.94</v>
      </c>
      <c r="T459" s="1">
        <v>-13613.94</v>
      </c>
      <c r="U459" s="1" t="s">
        <v>2535</v>
      </c>
      <c r="V459" s="1" t="s">
        <v>15</v>
      </c>
      <c r="W459" s="1" t="s">
        <v>17</v>
      </c>
      <c r="X459" s="1" t="s">
        <v>17</v>
      </c>
      <c r="Y459" s="1" t="s">
        <v>17</v>
      </c>
      <c r="Z459" s="1" t="s">
        <v>17</v>
      </c>
      <c r="AA459" s="1" t="s">
        <v>17</v>
      </c>
      <c r="AB459" s="1">
        <v>0</v>
      </c>
      <c r="AC459" s="1" t="s">
        <v>17</v>
      </c>
    </row>
    <row r="460" spans="1:29">
      <c r="A460" s="1" t="s">
        <v>17</v>
      </c>
      <c r="B460" s="1" t="s">
        <v>2664</v>
      </c>
      <c r="C460" s="1" t="s">
        <v>2629</v>
      </c>
      <c r="D460" s="1" t="s">
        <v>42</v>
      </c>
      <c r="E460" s="1" t="s">
        <v>42</v>
      </c>
      <c r="F460" s="1" t="s">
        <v>17</v>
      </c>
      <c r="G460" s="1" t="s">
        <v>17</v>
      </c>
      <c r="H460" s="1" t="s">
        <v>17</v>
      </c>
      <c r="I460" s="1" t="s">
        <v>17</v>
      </c>
      <c r="J460" s="1" t="s">
        <v>17</v>
      </c>
      <c r="K460" s="1" t="s">
        <v>17</v>
      </c>
      <c r="L460" s="9">
        <v>0</v>
      </c>
      <c r="M460" s="1" t="s">
        <v>103</v>
      </c>
      <c r="N460" s="1" t="s">
        <v>290</v>
      </c>
      <c r="O460" s="1"/>
      <c r="P460" s="1" t="s">
        <v>2379</v>
      </c>
      <c r="Q460" s="1" t="s">
        <v>2380</v>
      </c>
      <c r="R460" s="1"/>
      <c r="S460" s="9">
        <v>-14032.83</v>
      </c>
      <c r="T460" s="1">
        <v>-14032.83</v>
      </c>
      <c r="U460" s="1" t="s">
        <v>2535</v>
      </c>
      <c r="V460" s="1" t="s">
        <v>15</v>
      </c>
      <c r="W460" s="1" t="s">
        <v>17</v>
      </c>
      <c r="X460" s="1" t="s">
        <v>17</v>
      </c>
      <c r="Y460" s="1" t="s">
        <v>17</v>
      </c>
      <c r="Z460" s="1" t="s">
        <v>17</v>
      </c>
      <c r="AA460" s="1" t="s">
        <v>17</v>
      </c>
      <c r="AB460" s="1">
        <v>0</v>
      </c>
      <c r="AC460" s="1" t="s">
        <v>17</v>
      </c>
    </row>
    <row r="461" spans="1:29">
      <c r="A461" s="1" t="s">
        <v>17</v>
      </c>
      <c r="B461" s="1" t="s">
        <v>2665</v>
      </c>
      <c r="C461" s="1" t="s">
        <v>2666</v>
      </c>
      <c r="D461" s="1" t="s">
        <v>42</v>
      </c>
      <c r="E461" s="1" t="s">
        <v>42</v>
      </c>
      <c r="F461" s="1" t="s">
        <v>17</v>
      </c>
      <c r="G461" s="1" t="s">
        <v>17</v>
      </c>
      <c r="H461" s="1" t="s">
        <v>17</v>
      </c>
      <c r="I461" s="1" t="s">
        <v>17</v>
      </c>
      <c r="J461" s="1" t="s">
        <v>17</v>
      </c>
      <c r="K461" s="1" t="s">
        <v>17</v>
      </c>
      <c r="L461" s="9">
        <v>0</v>
      </c>
      <c r="M461" s="1" t="s">
        <v>103</v>
      </c>
      <c r="N461" s="1" t="s">
        <v>783</v>
      </c>
      <c r="O461" s="1"/>
      <c r="P461" s="1" t="s">
        <v>2379</v>
      </c>
      <c r="Q461" s="1" t="s">
        <v>2380</v>
      </c>
      <c r="R461" s="1"/>
      <c r="S461" s="9">
        <v>-19059.52</v>
      </c>
      <c r="T461" s="1">
        <v>-19059.52</v>
      </c>
      <c r="U461" s="1" t="s">
        <v>2535</v>
      </c>
      <c r="V461" s="1" t="s">
        <v>15</v>
      </c>
      <c r="W461" s="1" t="s">
        <v>17</v>
      </c>
      <c r="X461" s="1" t="s">
        <v>17</v>
      </c>
      <c r="Y461" s="1" t="s">
        <v>17</v>
      </c>
      <c r="Z461" s="1" t="s">
        <v>17</v>
      </c>
      <c r="AA461" s="1" t="s">
        <v>17</v>
      </c>
      <c r="AB461" s="1">
        <v>0</v>
      </c>
      <c r="AC461" s="1" t="s">
        <v>17</v>
      </c>
    </row>
    <row r="462" spans="1:29">
      <c r="A462" s="1" t="s">
        <v>17</v>
      </c>
      <c r="B462" s="1" t="s">
        <v>2667</v>
      </c>
      <c r="C462" s="1" t="s">
        <v>2668</v>
      </c>
      <c r="D462" s="1" t="s">
        <v>42</v>
      </c>
      <c r="E462" s="1" t="s">
        <v>42</v>
      </c>
      <c r="F462" s="1" t="s">
        <v>17</v>
      </c>
      <c r="G462" s="1" t="s">
        <v>17</v>
      </c>
      <c r="H462" s="1" t="s">
        <v>17</v>
      </c>
      <c r="I462" s="1" t="s">
        <v>17</v>
      </c>
      <c r="J462" s="1" t="s">
        <v>17</v>
      </c>
      <c r="K462" s="1" t="s">
        <v>17</v>
      </c>
      <c r="L462" s="9">
        <v>0</v>
      </c>
      <c r="M462" s="1" t="s">
        <v>103</v>
      </c>
      <c r="N462" s="1" t="s">
        <v>958</v>
      </c>
      <c r="O462" s="1" t="s">
        <v>2669</v>
      </c>
      <c r="P462" s="1" t="s">
        <v>127</v>
      </c>
      <c r="Q462" s="1" t="s">
        <v>131</v>
      </c>
      <c r="R462" s="1"/>
      <c r="S462" s="9">
        <v>-123900</v>
      </c>
      <c r="T462" s="1">
        <v>-123900</v>
      </c>
      <c r="U462" s="1" t="s">
        <v>2670</v>
      </c>
      <c r="V462" s="1" t="s">
        <v>15</v>
      </c>
      <c r="W462" s="1" t="s">
        <v>17</v>
      </c>
      <c r="X462" s="1" t="s">
        <v>17</v>
      </c>
      <c r="Y462" s="1" t="s">
        <v>17</v>
      </c>
      <c r="Z462" s="1" t="s">
        <v>17</v>
      </c>
      <c r="AA462" s="1" t="s">
        <v>17</v>
      </c>
      <c r="AB462" s="1">
        <v>0</v>
      </c>
      <c r="AC462" s="1" t="s">
        <v>17</v>
      </c>
    </row>
    <row r="463" spans="1:29">
      <c r="A463" s="1" t="s">
        <v>17</v>
      </c>
      <c r="B463" s="1" t="s">
        <v>2671</v>
      </c>
      <c r="C463" s="1" t="s">
        <v>2672</v>
      </c>
      <c r="D463" s="1" t="s">
        <v>42</v>
      </c>
      <c r="E463" s="1" t="s">
        <v>42</v>
      </c>
      <c r="F463" s="1" t="s">
        <v>17</v>
      </c>
      <c r="G463" s="1" t="s">
        <v>17</v>
      </c>
      <c r="H463" s="1" t="s">
        <v>17</v>
      </c>
      <c r="I463" s="1" t="s">
        <v>17</v>
      </c>
      <c r="J463" s="1" t="s">
        <v>17</v>
      </c>
      <c r="K463" s="1" t="s">
        <v>17</v>
      </c>
      <c r="L463" s="9">
        <v>0</v>
      </c>
      <c r="M463" s="1" t="s">
        <v>103</v>
      </c>
      <c r="N463" s="1" t="s">
        <v>2673</v>
      </c>
      <c r="O463" s="1"/>
      <c r="P463" s="1" t="s">
        <v>2379</v>
      </c>
      <c r="Q463" s="1" t="s">
        <v>2380</v>
      </c>
      <c r="R463" s="1"/>
      <c r="S463" s="9">
        <v>-16336.73</v>
      </c>
      <c r="T463" s="1">
        <v>-16336.73</v>
      </c>
      <c r="U463" s="1" t="s">
        <v>2535</v>
      </c>
      <c r="V463" s="1" t="s">
        <v>15</v>
      </c>
      <c r="W463" s="1" t="s">
        <v>17</v>
      </c>
      <c r="X463" s="1" t="s">
        <v>17</v>
      </c>
      <c r="Y463" s="1" t="s">
        <v>17</v>
      </c>
      <c r="Z463" s="1" t="s">
        <v>17</v>
      </c>
      <c r="AA463" s="1" t="s">
        <v>17</v>
      </c>
      <c r="AB463" s="1">
        <v>0</v>
      </c>
      <c r="AC463" s="1" t="s">
        <v>17</v>
      </c>
    </row>
    <row r="464" spans="1:29">
      <c r="A464" s="1" t="s">
        <v>17</v>
      </c>
      <c r="B464" s="1" t="s">
        <v>2674</v>
      </c>
      <c r="C464" s="1" t="s">
        <v>2579</v>
      </c>
      <c r="D464" s="1" t="s">
        <v>42</v>
      </c>
      <c r="E464" s="1" t="s">
        <v>42</v>
      </c>
      <c r="F464" s="1" t="s">
        <v>17</v>
      </c>
      <c r="G464" s="1" t="s">
        <v>17</v>
      </c>
      <c r="H464" s="1" t="s">
        <v>17</v>
      </c>
      <c r="I464" s="1" t="s">
        <v>17</v>
      </c>
      <c r="J464" s="1" t="s">
        <v>17</v>
      </c>
      <c r="K464" s="1" t="s">
        <v>17</v>
      </c>
      <c r="L464" s="9">
        <v>0</v>
      </c>
      <c r="M464" s="1" t="s">
        <v>103</v>
      </c>
      <c r="N464" s="1" t="s">
        <v>2580</v>
      </c>
      <c r="O464" s="1"/>
      <c r="P464" s="1" t="s">
        <v>2379</v>
      </c>
      <c r="Q464" s="1" t="s">
        <v>2380</v>
      </c>
      <c r="R464" s="1"/>
      <c r="S464" s="9">
        <v>-10262.82</v>
      </c>
      <c r="T464" s="1">
        <v>-10262.82</v>
      </c>
      <c r="U464" s="1" t="s">
        <v>2535</v>
      </c>
      <c r="V464" s="1" t="s">
        <v>15</v>
      </c>
      <c r="W464" s="1" t="s">
        <v>17</v>
      </c>
      <c r="X464" s="1" t="s">
        <v>17</v>
      </c>
      <c r="Y464" s="1" t="s">
        <v>17</v>
      </c>
      <c r="Z464" s="1" t="s">
        <v>17</v>
      </c>
      <c r="AA464" s="1" t="s">
        <v>17</v>
      </c>
      <c r="AB464" s="1">
        <v>0</v>
      </c>
      <c r="AC464" s="1" t="s">
        <v>17</v>
      </c>
    </row>
    <row r="465" spans="1:29">
      <c r="A465" s="1" t="s">
        <v>17</v>
      </c>
      <c r="B465" s="1" t="s">
        <v>2675</v>
      </c>
      <c r="C465" s="1" t="s">
        <v>2676</v>
      </c>
      <c r="D465" s="1" t="s">
        <v>42</v>
      </c>
      <c r="E465" s="1" t="s">
        <v>42</v>
      </c>
      <c r="F465" s="1" t="s">
        <v>17</v>
      </c>
      <c r="G465" s="1" t="s">
        <v>17</v>
      </c>
      <c r="H465" s="1" t="s">
        <v>17</v>
      </c>
      <c r="I465" s="1" t="s">
        <v>17</v>
      </c>
      <c r="J465" s="1" t="s">
        <v>17</v>
      </c>
      <c r="K465" s="1" t="s">
        <v>17</v>
      </c>
      <c r="L465" s="9">
        <v>0</v>
      </c>
      <c r="M465" s="1" t="s">
        <v>103</v>
      </c>
      <c r="N465" s="1" t="s">
        <v>1672</v>
      </c>
      <c r="O465" s="1"/>
      <c r="P465" s="1" t="s">
        <v>2379</v>
      </c>
      <c r="Q465" s="1" t="s">
        <v>2380</v>
      </c>
      <c r="R465" s="1"/>
      <c r="S465" s="9">
        <v>-43774.06</v>
      </c>
      <c r="T465" s="1">
        <v>-43774.06</v>
      </c>
      <c r="U465" s="1" t="s">
        <v>2535</v>
      </c>
      <c r="V465" s="1" t="s">
        <v>15</v>
      </c>
      <c r="W465" s="1" t="s">
        <v>17</v>
      </c>
      <c r="X465" s="1" t="s">
        <v>17</v>
      </c>
      <c r="Y465" s="1" t="s">
        <v>17</v>
      </c>
      <c r="Z465" s="1" t="s">
        <v>17</v>
      </c>
      <c r="AA465" s="1" t="s">
        <v>17</v>
      </c>
      <c r="AB465" s="1">
        <v>0</v>
      </c>
      <c r="AC465" s="1" t="s">
        <v>17</v>
      </c>
    </row>
    <row r="466" spans="1:29">
      <c r="A466" s="1" t="s">
        <v>17</v>
      </c>
      <c r="B466" s="1" t="s">
        <v>2677</v>
      </c>
      <c r="C466" s="1" t="s">
        <v>2678</v>
      </c>
      <c r="D466" s="1" t="s">
        <v>42</v>
      </c>
      <c r="E466" s="1" t="s">
        <v>42</v>
      </c>
      <c r="F466" s="1" t="s">
        <v>17</v>
      </c>
      <c r="G466" s="1" t="s">
        <v>17</v>
      </c>
      <c r="H466" s="1" t="s">
        <v>17</v>
      </c>
      <c r="I466" s="1" t="s">
        <v>17</v>
      </c>
      <c r="J466" s="1" t="s">
        <v>17</v>
      </c>
      <c r="K466" s="1" t="s">
        <v>17</v>
      </c>
      <c r="L466" s="9">
        <v>0</v>
      </c>
      <c r="M466" s="1" t="s">
        <v>103</v>
      </c>
      <c r="N466" s="1" t="s">
        <v>1826</v>
      </c>
      <c r="O466" s="1"/>
      <c r="P466" s="1" t="s">
        <v>2379</v>
      </c>
      <c r="Q466" s="1" t="s">
        <v>2380</v>
      </c>
      <c r="R466" s="1"/>
      <c r="S466" s="9">
        <v>16127.29</v>
      </c>
      <c r="T466" s="1">
        <v>16127.29</v>
      </c>
      <c r="U466" s="1" t="s">
        <v>2535</v>
      </c>
      <c r="V466" s="1" t="s">
        <v>15</v>
      </c>
      <c r="W466" s="1" t="s">
        <v>17</v>
      </c>
      <c r="X466" s="1" t="s">
        <v>17</v>
      </c>
      <c r="Y466" s="1" t="s">
        <v>17</v>
      </c>
      <c r="Z466" s="1" t="s">
        <v>17</v>
      </c>
      <c r="AA466" s="1" t="s">
        <v>17</v>
      </c>
      <c r="AB466" s="1">
        <v>0</v>
      </c>
      <c r="AC466" s="1" t="s">
        <v>17</v>
      </c>
    </row>
    <row r="467" spans="1:29">
      <c r="A467" s="1" t="s">
        <v>17</v>
      </c>
      <c r="B467" s="1" t="s">
        <v>2679</v>
      </c>
      <c r="C467" s="1" t="s">
        <v>2549</v>
      </c>
      <c r="D467" s="1" t="s">
        <v>42</v>
      </c>
      <c r="E467" s="1" t="s">
        <v>42</v>
      </c>
      <c r="F467" s="1" t="s">
        <v>17</v>
      </c>
      <c r="G467" s="1" t="s">
        <v>17</v>
      </c>
      <c r="H467" s="1" t="s">
        <v>17</v>
      </c>
      <c r="I467" s="1" t="s">
        <v>17</v>
      </c>
      <c r="J467" s="1" t="s">
        <v>17</v>
      </c>
      <c r="K467" s="1" t="s">
        <v>17</v>
      </c>
      <c r="L467" s="9">
        <v>0</v>
      </c>
      <c r="M467" s="1" t="s">
        <v>103</v>
      </c>
      <c r="N467" s="1" t="s">
        <v>1473</v>
      </c>
      <c r="O467" s="1"/>
      <c r="P467" s="1" t="s">
        <v>2379</v>
      </c>
      <c r="Q467" s="1" t="s">
        <v>2380</v>
      </c>
      <c r="R467" s="1"/>
      <c r="S467" s="9">
        <v>-32464.02</v>
      </c>
      <c r="T467" s="1">
        <v>-32464.02</v>
      </c>
      <c r="U467" s="1" t="s">
        <v>2535</v>
      </c>
      <c r="V467" s="1" t="s">
        <v>15</v>
      </c>
      <c r="W467" s="1" t="s">
        <v>17</v>
      </c>
      <c r="X467" s="1" t="s">
        <v>17</v>
      </c>
      <c r="Y467" s="1" t="s">
        <v>17</v>
      </c>
      <c r="Z467" s="1" t="s">
        <v>17</v>
      </c>
      <c r="AA467" s="1" t="s">
        <v>17</v>
      </c>
      <c r="AB467" s="1">
        <v>0</v>
      </c>
      <c r="AC467" s="1" t="s">
        <v>17</v>
      </c>
    </row>
    <row r="468" spans="1:29">
      <c r="A468" s="1" t="s">
        <v>17</v>
      </c>
      <c r="B468" s="1" t="s">
        <v>2680</v>
      </c>
      <c r="C468" s="1" t="s">
        <v>2648</v>
      </c>
      <c r="D468" s="1" t="s">
        <v>42</v>
      </c>
      <c r="E468" s="1" t="s">
        <v>42</v>
      </c>
      <c r="F468" s="1" t="s">
        <v>17</v>
      </c>
      <c r="G468" s="1" t="s">
        <v>17</v>
      </c>
      <c r="H468" s="1" t="s">
        <v>17</v>
      </c>
      <c r="I468" s="1" t="s">
        <v>17</v>
      </c>
      <c r="J468" s="1" t="s">
        <v>17</v>
      </c>
      <c r="K468" s="1" t="s">
        <v>17</v>
      </c>
      <c r="L468" s="9">
        <v>0</v>
      </c>
      <c r="M468" s="1" t="s">
        <v>103</v>
      </c>
      <c r="N468" s="1" t="s">
        <v>564</v>
      </c>
      <c r="O468" s="1"/>
      <c r="P468" s="1" t="s">
        <v>2379</v>
      </c>
      <c r="Q468" s="1" t="s">
        <v>2380</v>
      </c>
      <c r="R468" s="1"/>
      <c r="S468" s="9">
        <v>-33092.370000000003</v>
      </c>
      <c r="T468" s="1">
        <v>-33092.370000000003</v>
      </c>
      <c r="U468" s="1" t="s">
        <v>2535</v>
      </c>
      <c r="V468" s="1" t="s">
        <v>15</v>
      </c>
      <c r="W468" s="1" t="s">
        <v>17</v>
      </c>
      <c r="X468" s="1" t="s">
        <v>17</v>
      </c>
      <c r="Y468" s="1" t="s">
        <v>17</v>
      </c>
      <c r="Z468" s="1" t="s">
        <v>17</v>
      </c>
      <c r="AA468" s="1" t="s">
        <v>17</v>
      </c>
      <c r="AB468" s="1">
        <v>0</v>
      </c>
      <c r="AC468" s="1" t="s">
        <v>17</v>
      </c>
    </row>
    <row r="469" spans="1:29">
      <c r="A469" s="1" t="s">
        <v>17</v>
      </c>
      <c r="B469" s="1" t="s">
        <v>2681</v>
      </c>
      <c r="C469" s="1" t="s">
        <v>2587</v>
      </c>
      <c r="D469" s="1" t="s">
        <v>42</v>
      </c>
      <c r="E469" s="1" t="s">
        <v>42</v>
      </c>
      <c r="F469" s="1" t="s">
        <v>17</v>
      </c>
      <c r="G469" s="1" t="s">
        <v>17</v>
      </c>
      <c r="H469" s="1" t="s">
        <v>17</v>
      </c>
      <c r="I469" s="1" t="s">
        <v>17</v>
      </c>
      <c r="J469" s="1" t="s">
        <v>17</v>
      </c>
      <c r="K469" s="1" t="s">
        <v>17</v>
      </c>
      <c r="L469" s="9">
        <v>0</v>
      </c>
      <c r="M469" s="1" t="s">
        <v>103</v>
      </c>
      <c r="N469" s="1" t="s">
        <v>1213</v>
      </c>
      <c r="O469" s="1"/>
      <c r="P469" s="1" t="s">
        <v>2379</v>
      </c>
      <c r="Q469" s="1" t="s">
        <v>2380</v>
      </c>
      <c r="R469" s="1"/>
      <c r="S469" s="9">
        <v>15498</v>
      </c>
      <c r="T469" s="1">
        <v>15498</v>
      </c>
      <c r="U469" s="1" t="s">
        <v>2535</v>
      </c>
      <c r="V469" s="1" t="s">
        <v>15</v>
      </c>
      <c r="W469" s="1" t="s">
        <v>17</v>
      </c>
      <c r="X469" s="1" t="s">
        <v>17</v>
      </c>
      <c r="Y469" s="1" t="s">
        <v>17</v>
      </c>
      <c r="Z469" s="1" t="s">
        <v>17</v>
      </c>
      <c r="AA469" s="1" t="s">
        <v>17</v>
      </c>
      <c r="AB469" s="1">
        <v>0</v>
      </c>
      <c r="AC469" s="1" t="s">
        <v>17</v>
      </c>
    </row>
    <row r="470" spans="1:29">
      <c r="A470" s="1" t="s">
        <v>17</v>
      </c>
      <c r="B470" s="1" t="s">
        <v>2682</v>
      </c>
      <c r="C470" s="1" t="s">
        <v>2683</v>
      </c>
      <c r="D470" s="1" t="s">
        <v>42</v>
      </c>
      <c r="E470" s="1" t="s">
        <v>42</v>
      </c>
      <c r="F470" s="1" t="s">
        <v>17</v>
      </c>
      <c r="G470" s="1" t="s">
        <v>17</v>
      </c>
      <c r="H470" s="1" t="s">
        <v>17</v>
      </c>
      <c r="I470" s="1" t="s">
        <v>17</v>
      </c>
      <c r="J470" s="1" t="s">
        <v>17</v>
      </c>
      <c r="K470" s="1" t="s">
        <v>17</v>
      </c>
      <c r="L470" s="9">
        <v>0</v>
      </c>
      <c r="M470" s="1" t="s">
        <v>103</v>
      </c>
      <c r="N470" s="1" t="s">
        <v>1879</v>
      </c>
      <c r="O470" s="1"/>
      <c r="P470" s="1" t="s">
        <v>2379</v>
      </c>
      <c r="Q470" s="1" t="s">
        <v>2380</v>
      </c>
      <c r="R470" s="1"/>
      <c r="S470" s="9">
        <v>-15289.51</v>
      </c>
      <c r="T470" s="1">
        <v>-15289.51</v>
      </c>
      <c r="U470" s="1" t="s">
        <v>2535</v>
      </c>
      <c r="V470" s="1" t="s">
        <v>15</v>
      </c>
      <c r="W470" s="1" t="s">
        <v>17</v>
      </c>
      <c r="X470" s="1" t="s">
        <v>17</v>
      </c>
      <c r="Y470" s="1" t="s">
        <v>17</v>
      </c>
      <c r="Z470" s="1" t="s">
        <v>17</v>
      </c>
      <c r="AA470" s="1" t="s">
        <v>17</v>
      </c>
      <c r="AB470" s="1">
        <v>0</v>
      </c>
      <c r="AC470" s="1" t="s">
        <v>17</v>
      </c>
    </row>
    <row r="471" spans="1:29">
      <c r="A471" s="1" t="s">
        <v>17</v>
      </c>
      <c r="B471" s="1" t="s">
        <v>2684</v>
      </c>
      <c r="C471" s="1" t="s">
        <v>2685</v>
      </c>
      <c r="D471" s="1" t="s">
        <v>42</v>
      </c>
      <c r="E471" s="1" t="s">
        <v>42</v>
      </c>
      <c r="F471" s="1" t="s">
        <v>17</v>
      </c>
      <c r="G471" s="1" t="s">
        <v>17</v>
      </c>
      <c r="H471" s="1" t="s">
        <v>17</v>
      </c>
      <c r="I471" s="1" t="s">
        <v>17</v>
      </c>
      <c r="J471" s="1" t="s">
        <v>17</v>
      </c>
      <c r="K471" s="1" t="s">
        <v>17</v>
      </c>
      <c r="L471" s="9">
        <v>0</v>
      </c>
      <c r="M471" s="1" t="s">
        <v>103</v>
      </c>
      <c r="N471" s="1" t="s">
        <v>2686</v>
      </c>
      <c r="O471" s="1"/>
      <c r="P471" s="1" t="s">
        <v>2379</v>
      </c>
      <c r="Q471" s="1" t="s">
        <v>2380</v>
      </c>
      <c r="R471" s="1"/>
      <c r="S471" s="9">
        <v>-13404.5</v>
      </c>
      <c r="T471" s="1">
        <v>-13404.5</v>
      </c>
      <c r="U471" s="1" t="s">
        <v>2535</v>
      </c>
      <c r="V471" s="1" t="s">
        <v>15</v>
      </c>
      <c r="W471" s="1" t="s">
        <v>17</v>
      </c>
      <c r="X471" s="1" t="s">
        <v>17</v>
      </c>
      <c r="Y471" s="1" t="s">
        <v>17</v>
      </c>
      <c r="Z471" s="1" t="s">
        <v>17</v>
      </c>
      <c r="AA471" s="1" t="s">
        <v>17</v>
      </c>
      <c r="AB471" s="1">
        <v>0</v>
      </c>
      <c r="AC471" s="1" t="s">
        <v>17</v>
      </c>
    </row>
    <row r="472" spans="1:29">
      <c r="A472" s="1" t="s">
        <v>17</v>
      </c>
      <c r="B472" s="1" t="s">
        <v>2687</v>
      </c>
      <c r="C472" s="1" t="s">
        <v>2688</v>
      </c>
      <c r="D472" s="1" t="s">
        <v>42</v>
      </c>
      <c r="E472" s="1" t="s">
        <v>42</v>
      </c>
      <c r="F472" s="1" t="s">
        <v>17</v>
      </c>
      <c r="G472" s="1" t="s">
        <v>17</v>
      </c>
      <c r="H472" s="1" t="s">
        <v>17</v>
      </c>
      <c r="I472" s="1" t="s">
        <v>17</v>
      </c>
      <c r="J472" s="1" t="s">
        <v>17</v>
      </c>
      <c r="K472" s="1" t="s">
        <v>17</v>
      </c>
      <c r="L472" s="9">
        <v>0</v>
      </c>
      <c r="M472" s="1" t="s">
        <v>103</v>
      </c>
      <c r="N472" s="1" t="s">
        <v>958</v>
      </c>
      <c r="O472" s="1"/>
      <c r="P472" s="1" t="s">
        <v>2379</v>
      </c>
      <c r="Q472" s="1" t="s">
        <v>2380</v>
      </c>
      <c r="R472" s="1"/>
      <c r="S472" s="9">
        <v>-123900</v>
      </c>
      <c r="T472" s="1">
        <v>-123900</v>
      </c>
      <c r="U472" s="1" t="s">
        <v>2535</v>
      </c>
      <c r="V472" s="1" t="s">
        <v>15</v>
      </c>
      <c r="W472" s="1" t="s">
        <v>17</v>
      </c>
      <c r="X472" s="1" t="s">
        <v>17</v>
      </c>
      <c r="Y472" s="1" t="s">
        <v>17</v>
      </c>
      <c r="Z472" s="1" t="s">
        <v>17</v>
      </c>
      <c r="AA472" s="1" t="s">
        <v>17</v>
      </c>
      <c r="AB472" s="1">
        <v>0</v>
      </c>
      <c r="AC472" s="1" t="s">
        <v>17</v>
      </c>
    </row>
    <row r="473" spans="1:29">
      <c r="A473" s="1" t="s">
        <v>17</v>
      </c>
      <c r="B473" s="1" t="s">
        <v>2689</v>
      </c>
      <c r="C473" s="1" t="s">
        <v>2690</v>
      </c>
      <c r="D473" s="1" t="s">
        <v>42</v>
      </c>
      <c r="E473" s="1" t="s">
        <v>42</v>
      </c>
      <c r="F473" s="1" t="s">
        <v>17</v>
      </c>
      <c r="G473" s="1" t="s">
        <v>17</v>
      </c>
      <c r="H473" s="1" t="s">
        <v>17</v>
      </c>
      <c r="I473" s="1" t="s">
        <v>17</v>
      </c>
      <c r="J473" s="1" t="s">
        <v>17</v>
      </c>
      <c r="K473" s="1" t="s">
        <v>17</v>
      </c>
      <c r="L473" s="9">
        <v>0</v>
      </c>
      <c r="M473" s="1" t="s">
        <v>103</v>
      </c>
      <c r="N473" s="1" t="s">
        <v>829</v>
      </c>
      <c r="O473" s="1"/>
      <c r="P473" s="1" t="s">
        <v>2379</v>
      </c>
      <c r="Q473" s="1" t="s">
        <v>2380</v>
      </c>
      <c r="R473" s="1"/>
      <c r="S473" s="9">
        <v>-18640.62</v>
      </c>
      <c r="T473" s="1">
        <v>-18640.62</v>
      </c>
      <c r="U473" s="1" t="s">
        <v>2535</v>
      </c>
      <c r="V473" s="1" t="s">
        <v>15</v>
      </c>
      <c r="W473" s="1" t="s">
        <v>17</v>
      </c>
      <c r="X473" s="1" t="s">
        <v>17</v>
      </c>
      <c r="Y473" s="1" t="s">
        <v>17</v>
      </c>
      <c r="Z473" s="1" t="s">
        <v>17</v>
      </c>
      <c r="AA473" s="1" t="s">
        <v>17</v>
      </c>
      <c r="AB473" s="1">
        <v>0</v>
      </c>
      <c r="AC473" s="1" t="s">
        <v>17</v>
      </c>
    </row>
    <row r="474" spans="1:29">
      <c r="A474" s="1" t="s">
        <v>17</v>
      </c>
      <c r="B474" s="1" t="s">
        <v>2691</v>
      </c>
      <c r="C474" s="1" t="s">
        <v>2638</v>
      </c>
      <c r="D474" s="1" t="s">
        <v>42</v>
      </c>
      <c r="E474" s="1" t="s">
        <v>42</v>
      </c>
      <c r="F474" s="1" t="s">
        <v>17</v>
      </c>
      <c r="G474" s="1" t="s">
        <v>17</v>
      </c>
      <c r="H474" s="1" t="s">
        <v>17</v>
      </c>
      <c r="I474" s="1" t="s">
        <v>17</v>
      </c>
      <c r="J474" s="1" t="s">
        <v>17</v>
      </c>
      <c r="K474" s="1" t="s">
        <v>17</v>
      </c>
      <c r="L474" s="9">
        <v>0</v>
      </c>
      <c r="M474" s="1" t="s">
        <v>103</v>
      </c>
      <c r="N474" s="1" t="s">
        <v>2624</v>
      </c>
      <c r="O474" s="1"/>
      <c r="P474" s="1" t="s">
        <v>2379</v>
      </c>
      <c r="Q474" s="1" t="s">
        <v>2380</v>
      </c>
      <c r="R474" s="1"/>
      <c r="S474" s="9">
        <v>-15498.94</v>
      </c>
      <c r="T474" s="1">
        <v>-15498.94</v>
      </c>
      <c r="U474" s="1" t="s">
        <v>2535</v>
      </c>
      <c r="V474" s="1" t="s">
        <v>15</v>
      </c>
      <c r="W474" s="1" t="s">
        <v>17</v>
      </c>
      <c r="X474" s="1" t="s">
        <v>17</v>
      </c>
      <c r="Y474" s="1" t="s">
        <v>17</v>
      </c>
      <c r="Z474" s="1" t="s">
        <v>17</v>
      </c>
      <c r="AA474" s="1" t="s">
        <v>17</v>
      </c>
      <c r="AB474" s="1">
        <v>0</v>
      </c>
      <c r="AC474" s="1" t="s">
        <v>17</v>
      </c>
    </row>
    <row r="475" spans="1:29">
      <c r="A475" s="1" t="s">
        <v>17</v>
      </c>
      <c r="B475" s="1" t="s">
        <v>2692</v>
      </c>
      <c r="C475" s="1" t="s">
        <v>2565</v>
      </c>
      <c r="D475" s="1" t="s">
        <v>42</v>
      </c>
      <c r="E475" s="1" t="s">
        <v>42</v>
      </c>
      <c r="F475" s="1" t="s">
        <v>17</v>
      </c>
      <c r="G475" s="1" t="s">
        <v>17</v>
      </c>
      <c r="H475" s="1" t="s">
        <v>17</v>
      </c>
      <c r="I475" s="1" t="s">
        <v>17</v>
      </c>
      <c r="J475" s="1" t="s">
        <v>17</v>
      </c>
      <c r="K475" s="1" t="s">
        <v>17</v>
      </c>
      <c r="L475" s="9">
        <v>0</v>
      </c>
      <c r="M475" s="1" t="s">
        <v>103</v>
      </c>
      <c r="N475" s="1" t="s">
        <v>2566</v>
      </c>
      <c r="O475" s="1"/>
      <c r="P475" s="1" t="s">
        <v>2379</v>
      </c>
      <c r="Q475" s="1" t="s">
        <v>2380</v>
      </c>
      <c r="R475" s="1"/>
      <c r="S475" s="9">
        <v>-32673.48</v>
      </c>
      <c r="T475" s="1">
        <v>-32673.48</v>
      </c>
      <c r="U475" s="1" t="s">
        <v>2535</v>
      </c>
      <c r="V475" s="1" t="s">
        <v>15</v>
      </c>
      <c r="W475" s="1" t="s">
        <v>17</v>
      </c>
      <c r="X475" s="1" t="s">
        <v>17</v>
      </c>
      <c r="Y475" s="1" t="s">
        <v>17</v>
      </c>
      <c r="Z475" s="1" t="s">
        <v>17</v>
      </c>
      <c r="AA475" s="1" t="s">
        <v>17</v>
      </c>
      <c r="AB475" s="1">
        <v>0</v>
      </c>
      <c r="AC475" s="1" t="s">
        <v>17</v>
      </c>
    </row>
    <row r="476" spans="1:29">
      <c r="A476" s="1" t="s">
        <v>17</v>
      </c>
      <c r="B476" s="1" t="s">
        <v>2693</v>
      </c>
      <c r="C476" s="1" t="s">
        <v>2694</v>
      </c>
      <c r="D476" s="1" t="s">
        <v>42</v>
      </c>
      <c r="E476" s="1" t="s">
        <v>42</v>
      </c>
      <c r="F476" s="1" t="s">
        <v>17</v>
      </c>
      <c r="G476" s="1" t="s">
        <v>17</v>
      </c>
      <c r="H476" s="1" t="s">
        <v>17</v>
      </c>
      <c r="I476" s="1" t="s">
        <v>17</v>
      </c>
      <c r="J476" s="1" t="s">
        <v>17</v>
      </c>
      <c r="K476" s="1" t="s">
        <v>17</v>
      </c>
      <c r="L476" s="9">
        <v>0</v>
      </c>
      <c r="M476" s="1" t="s">
        <v>103</v>
      </c>
      <c r="N476" s="1" t="s">
        <v>265</v>
      </c>
      <c r="O476" s="1"/>
      <c r="P476" s="1" t="s">
        <v>2379</v>
      </c>
      <c r="Q476" s="1" t="s">
        <v>2380</v>
      </c>
      <c r="R476" s="1"/>
      <c r="S476" s="9">
        <v>-31207.34</v>
      </c>
      <c r="T476" s="1">
        <v>-31207.34</v>
      </c>
      <c r="U476" s="1" t="s">
        <v>2535</v>
      </c>
      <c r="V476" s="1" t="s">
        <v>15</v>
      </c>
      <c r="W476" s="1" t="s">
        <v>17</v>
      </c>
      <c r="X476" s="1" t="s">
        <v>17</v>
      </c>
      <c r="Y476" s="1" t="s">
        <v>17</v>
      </c>
      <c r="Z476" s="1" t="s">
        <v>17</v>
      </c>
      <c r="AA476" s="1" t="s">
        <v>17</v>
      </c>
      <c r="AB476" s="1">
        <v>0</v>
      </c>
      <c r="AC476" s="1" t="s">
        <v>17</v>
      </c>
    </row>
    <row r="477" spans="1:29">
      <c r="A477" s="1" t="s">
        <v>17</v>
      </c>
      <c r="B477" s="1" t="s">
        <v>2695</v>
      </c>
      <c r="C477" s="1" t="s">
        <v>2688</v>
      </c>
      <c r="D477" s="1" t="s">
        <v>42</v>
      </c>
      <c r="E477" s="1" t="s">
        <v>42</v>
      </c>
      <c r="F477" s="1" t="s">
        <v>17</v>
      </c>
      <c r="G477" s="1" t="s">
        <v>17</v>
      </c>
      <c r="H477" s="1" t="s">
        <v>17</v>
      </c>
      <c r="I477" s="1" t="s">
        <v>17</v>
      </c>
      <c r="J477" s="1" t="s">
        <v>17</v>
      </c>
      <c r="K477" s="1" t="s">
        <v>17</v>
      </c>
      <c r="L477" s="9">
        <v>0</v>
      </c>
      <c r="M477" s="1" t="s">
        <v>103</v>
      </c>
      <c r="N477" s="1" t="s">
        <v>958</v>
      </c>
      <c r="O477" s="1"/>
      <c r="P477" s="1" t="s">
        <v>2379</v>
      </c>
      <c r="Q477" s="1" t="s">
        <v>2380</v>
      </c>
      <c r="R477" s="1"/>
      <c r="S477" s="9">
        <v>123900</v>
      </c>
      <c r="T477" s="1">
        <v>123900</v>
      </c>
      <c r="U477" s="1" t="s">
        <v>2535</v>
      </c>
      <c r="V477" s="1" t="s">
        <v>15</v>
      </c>
      <c r="W477" s="1" t="s">
        <v>17</v>
      </c>
      <c r="X477" s="1" t="s">
        <v>17</v>
      </c>
      <c r="Y477" s="1" t="s">
        <v>17</v>
      </c>
      <c r="Z477" s="1" t="s">
        <v>17</v>
      </c>
      <c r="AA477" s="1" t="s">
        <v>17</v>
      </c>
      <c r="AB477" s="1">
        <v>0</v>
      </c>
      <c r="AC477" s="1" t="s">
        <v>17</v>
      </c>
    </row>
    <row r="478" spans="1:29">
      <c r="A478" s="1" t="s">
        <v>17</v>
      </c>
      <c r="B478" s="1" t="s">
        <v>2696</v>
      </c>
      <c r="C478" s="1" t="s">
        <v>2618</v>
      </c>
      <c r="D478" s="1" t="s">
        <v>42</v>
      </c>
      <c r="E478" s="1" t="s">
        <v>42</v>
      </c>
      <c r="F478" s="1" t="s">
        <v>17</v>
      </c>
      <c r="G478" s="1" t="s">
        <v>17</v>
      </c>
      <c r="H478" s="1" t="s">
        <v>17</v>
      </c>
      <c r="I478" s="1" t="s">
        <v>17</v>
      </c>
      <c r="J478" s="1" t="s">
        <v>17</v>
      </c>
      <c r="K478" s="1" t="s">
        <v>17</v>
      </c>
      <c r="L478" s="9">
        <v>0</v>
      </c>
      <c r="M478" s="1" t="s">
        <v>103</v>
      </c>
      <c r="N478" s="1" t="s">
        <v>1674</v>
      </c>
      <c r="O478" s="1"/>
      <c r="P478" s="1" t="s">
        <v>2379</v>
      </c>
      <c r="Q478" s="1" t="s">
        <v>2380</v>
      </c>
      <c r="R478" s="1"/>
      <c r="S478" s="9">
        <v>-18431.189999999999</v>
      </c>
      <c r="T478" s="1">
        <v>-18431.189999999999</v>
      </c>
      <c r="U478" s="1" t="s">
        <v>2535</v>
      </c>
      <c r="V478" s="1" t="s">
        <v>15</v>
      </c>
      <c r="W478" s="1" t="s">
        <v>17</v>
      </c>
      <c r="X478" s="1" t="s">
        <v>17</v>
      </c>
      <c r="Y478" s="1" t="s">
        <v>17</v>
      </c>
      <c r="Z478" s="1" t="s">
        <v>17</v>
      </c>
      <c r="AA478" s="1" t="s">
        <v>17</v>
      </c>
      <c r="AB478" s="1">
        <v>0</v>
      </c>
      <c r="AC478" s="1" t="s">
        <v>17</v>
      </c>
    </row>
    <row r="479" spans="1:29">
      <c r="A479" s="1" t="s">
        <v>17</v>
      </c>
      <c r="B479" s="1" t="s">
        <v>2697</v>
      </c>
      <c r="C479" s="1" t="s">
        <v>2582</v>
      </c>
      <c r="D479" s="1" t="s">
        <v>42</v>
      </c>
      <c r="E479" s="1" t="s">
        <v>42</v>
      </c>
      <c r="F479" s="1" t="s">
        <v>17</v>
      </c>
      <c r="G479" s="1" t="s">
        <v>17</v>
      </c>
      <c r="H479" s="1" t="s">
        <v>17</v>
      </c>
      <c r="I479" s="1" t="s">
        <v>17</v>
      </c>
      <c r="J479" s="1" t="s">
        <v>17</v>
      </c>
      <c r="K479" s="1" t="s">
        <v>17</v>
      </c>
      <c r="L479" s="9">
        <v>0</v>
      </c>
      <c r="M479" s="1" t="s">
        <v>103</v>
      </c>
      <c r="N479" s="1" t="s">
        <v>1079</v>
      </c>
      <c r="O479" s="1"/>
      <c r="P479" s="1" t="s">
        <v>2379</v>
      </c>
      <c r="Q479" s="1" t="s">
        <v>2380</v>
      </c>
      <c r="R479" s="1"/>
      <c r="S479" s="9">
        <v>9843.93</v>
      </c>
      <c r="T479" s="1">
        <v>9843.93</v>
      </c>
      <c r="U479" s="1" t="s">
        <v>2535</v>
      </c>
      <c r="V479" s="1" t="s">
        <v>15</v>
      </c>
      <c r="W479" s="1" t="s">
        <v>17</v>
      </c>
      <c r="X479" s="1" t="s">
        <v>17</v>
      </c>
      <c r="Y479" s="1" t="s">
        <v>17</v>
      </c>
      <c r="Z479" s="1" t="s">
        <v>17</v>
      </c>
      <c r="AA479" s="1" t="s">
        <v>17</v>
      </c>
      <c r="AB479" s="1">
        <v>0</v>
      </c>
      <c r="AC479" s="1" t="s">
        <v>17</v>
      </c>
    </row>
    <row r="480" spans="1:29">
      <c r="A480" s="1" t="s">
        <v>17</v>
      </c>
      <c r="B480" s="1" t="s">
        <v>2698</v>
      </c>
      <c r="C480" s="1" t="s">
        <v>2599</v>
      </c>
      <c r="D480" s="1" t="s">
        <v>42</v>
      </c>
      <c r="E480" s="1" t="s">
        <v>42</v>
      </c>
      <c r="F480" s="1" t="s">
        <v>17</v>
      </c>
      <c r="G480" s="1" t="s">
        <v>17</v>
      </c>
      <c r="H480" s="1" t="s">
        <v>17</v>
      </c>
      <c r="I480" s="1" t="s">
        <v>17</v>
      </c>
      <c r="J480" s="1" t="s">
        <v>17</v>
      </c>
      <c r="K480" s="1" t="s">
        <v>17</v>
      </c>
      <c r="L480" s="9">
        <v>0</v>
      </c>
      <c r="M480" s="1" t="s">
        <v>103</v>
      </c>
      <c r="N480" s="1" t="s">
        <v>1572</v>
      </c>
      <c r="O480" s="1"/>
      <c r="P480" s="1" t="s">
        <v>2379</v>
      </c>
      <c r="Q480" s="1" t="s">
        <v>2380</v>
      </c>
      <c r="R480" s="1"/>
      <c r="S480" s="9">
        <v>-46496.88</v>
      </c>
      <c r="T480" s="1">
        <v>-46496.88</v>
      </c>
      <c r="U480" s="1" t="s">
        <v>2535</v>
      </c>
      <c r="V480" s="1" t="s">
        <v>15</v>
      </c>
      <c r="W480" s="1" t="s">
        <v>17</v>
      </c>
      <c r="X480" s="1" t="s">
        <v>17</v>
      </c>
      <c r="Y480" s="1" t="s">
        <v>17</v>
      </c>
      <c r="Z480" s="1" t="s">
        <v>17</v>
      </c>
      <c r="AA480" s="1" t="s">
        <v>17</v>
      </c>
      <c r="AB480" s="1">
        <v>0</v>
      </c>
      <c r="AC480" s="1" t="s">
        <v>17</v>
      </c>
    </row>
    <row r="481" spans="1:29">
      <c r="A481" s="1" t="s">
        <v>17</v>
      </c>
      <c r="B481" s="1" t="s">
        <v>2699</v>
      </c>
      <c r="C481" s="1" t="s">
        <v>2700</v>
      </c>
      <c r="D481" s="1" t="s">
        <v>42</v>
      </c>
      <c r="E481" s="1" t="s">
        <v>42</v>
      </c>
      <c r="F481" s="1" t="s">
        <v>17</v>
      </c>
      <c r="G481" s="1" t="s">
        <v>17</v>
      </c>
      <c r="H481" s="1" t="s">
        <v>17</v>
      </c>
      <c r="I481" s="1" t="s">
        <v>17</v>
      </c>
      <c r="J481" s="1" t="s">
        <v>17</v>
      </c>
      <c r="K481" s="1" t="s">
        <v>17</v>
      </c>
      <c r="L481" s="9">
        <v>0</v>
      </c>
      <c r="M481" s="1" t="s">
        <v>103</v>
      </c>
      <c r="N481" s="1" t="s">
        <v>1551</v>
      </c>
      <c r="O481" s="1"/>
      <c r="P481" s="1" t="s">
        <v>2379</v>
      </c>
      <c r="Q481" s="1" t="s">
        <v>2380</v>
      </c>
      <c r="R481" s="1"/>
      <c r="S481" s="9">
        <v>-31416.799999999999</v>
      </c>
      <c r="T481" s="1">
        <v>-31416.799999999999</v>
      </c>
      <c r="U481" s="1" t="s">
        <v>2535</v>
      </c>
      <c r="V481" s="1" t="s">
        <v>15</v>
      </c>
      <c r="W481" s="1" t="s">
        <v>17</v>
      </c>
      <c r="X481" s="1" t="s">
        <v>17</v>
      </c>
      <c r="Y481" s="1" t="s">
        <v>17</v>
      </c>
      <c r="Z481" s="1" t="s">
        <v>17</v>
      </c>
      <c r="AA481" s="1" t="s">
        <v>17</v>
      </c>
      <c r="AB481" s="1">
        <v>0</v>
      </c>
      <c r="AC481" s="1" t="s">
        <v>17</v>
      </c>
    </row>
    <row r="482" spans="1:29">
      <c r="A482" s="1" t="s">
        <v>17</v>
      </c>
      <c r="B482" s="1" t="s">
        <v>2701</v>
      </c>
      <c r="C482" s="1" t="s">
        <v>2702</v>
      </c>
      <c r="D482" s="1" t="s">
        <v>42</v>
      </c>
      <c r="E482" s="1" t="s">
        <v>42</v>
      </c>
      <c r="F482" s="1" t="s">
        <v>17</v>
      </c>
      <c r="G482" s="1" t="s">
        <v>17</v>
      </c>
      <c r="H482" s="1" t="s">
        <v>17</v>
      </c>
      <c r="I482" s="1" t="s">
        <v>17</v>
      </c>
      <c r="J482" s="1" t="s">
        <v>17</v>
      </c>
      <c r="K482" s="1" t="s">
        <v>17</v>
      </c>
      <c r="L482" s="9">
        <v>0</v>
      </c>
      <c r="M482" s="1" t="s">
        <v>103</v>
      </c>
      <c r="N482" s="1" t="s">
        <v>526</v>
      </c>
      <c r="O482" s="1"/>
      <c r="P482" s="1" t="s">
        <v>2379</v>
      </c>
      <c r="Q482" s="1" t="s">
        <v>2380</v>
      </c>
      <c r="R482" s="1"/>
      <c r="S482" s="9">
        <v>-25761.759999999998</v>
      </c>
      <c r="T482" s="1">
        <v>-25761.759999999998</v>
      </c>
      <c r="U482" s="1" t="s">
        <v>2535</v>
      </c>
      <c r="V482" s="1" t="s">
        <v>15</v>
      </c>
      <c r="W482" s="1" t="s">
        <v>17</v>
      </c>
      <c r="X482" s="1" t="s">
        <v>17</v>
      </c>
      <c r="Y482" s="1" t="s">
        <v>17</v>
      </c>
      <c r="Z482" s="1" t="s">
        <v>17</v>
      </c>
      <c r="AA482" s="1" t="s">
        <v>17</v>
      </c>
      <c r="AB482" s="1">
        <v>0</v>
      </c>
      <c r="AC482" s="1" t="s">
        <v>17</v>
      </c>
    </row>
    <row r="483" spans="1:29">
      <c r="A483" s="1" t="s">
        <v>17</v>
      </c>
      <c r="B483" s="1" t="s">
        <v>2703</v>
      </c>
      <c r="C483" s="1" t="s">
        <v>2704</v>
      </c>
      <c r="D483" s="1" t="s">
        <v>42</v>
      </c>
      <c r="E483" s="1" t="s">
        <v>42</v>
      </c>
      <c r="F483" s="1" t="s">
        <v>17</v>
      </c>
      <c r="G483" s="1" t="s">
        <v>17</v>
      </c>
      <c r="H483" s="1" t="s">
        <v>17</v>
      </c>
      <c r="I483" s="1" t="s">
        <v>17</v>
      </c>
      <c r="J483" s="1" t="s">
        <v>17</v>
      </c>
      <c r="K483" s="1" t="s">
        <v>17</v>
      </c>
      <c r="L483" s="9">
        <v>0</v>
      </c>
      <c r="M483" s="1" t="s">
        <v>103</v>
      </c>
      <c r="N483" s="1" t="s">
        <v>1616</v>
      </c>
      <c r="O483" s="1"/>
      <c r="P483" s="1" t="s">
        <v>2379</v>
      </c>
      <c r="Q483" s="1" t="s">
        <v>2380</v>
      </c>
      <c r="R483" s="1"/>
      <c r="S483" s="9">
        <v>-14661.16</v>
      </c>
      <c r="T483" s="1">
        <v>-14661.16</v>
      </c>
      <c r="U483" s="1" t="s">
        <v>2535</v>
      </c>
      <c r="V483" s="1" t="s">
        <v>15</v>
      </c>
      <c r="W483" s="1" t="s">
        <v>17</v>
      </c>
      <c r="X483" s="1" t="s">
        <v>17</v>
      </c>
      <c r="Y483" s="1" t="s">
        <v>17</v>
      </c>
      <c r="Z483" s="1" t="s">
        <v>17</v>
      </c>
      <c r="AA483" s="1" t="s">
        <v>17</v>
      </c>
      <c r="AB483" s="1">
        <v>0</v>
      </c>
      <c r="AC483" s="1" t="s">
        <v>17</v>
      </c>
    </row>
    <row r="484" spans="1:29">
      <c r="A484" s="1" t="s">
        <v>17</v>
      </c>
      <c r="B484" s="1" t="s">
        <v>2705</v>
      </c>
      <c r="C484" s="1" t="s">
        <v>2572</v>
      </c>
      <c r="D484" s="1" t="s">
        <v>42</v>
      </c>
      <c r="E484" s="1" t="s">
        <v>42</v>
      </c>
      <c r="F484" s="1" t="s">
        <v>17</v>
      </c>
      <c r="G484" s="1" t="s">
        <v>17</v>
      </c>
      <c r="H484" s="1" t="s">
        <v>17</v>
      </c>
      <c r="I484" s="1" t="s">
        <v>17</v>
      </c>
      <c r="J484" s="1" t="s">
        <v>17</v>
      </c>
      <c r="K484" s="1" t="s">
        <v>17</v>
      </c>
      <c r="L484" s="9">
        <v>0</v>
      </c>
      <c r="M484" s="1" t="s">
        <v>103</v>
      </c>
      <c r="N484" s="1" t="s">
        <v>1901</v>
      </c>
      <c r="O484" s="1"/>
      <c r="P484" s="1" t="s">
        <v>2379</v>
      </c>
      <c r="Q484" s="1" t="s">
        <v>2380</v>
      </c>
      <c r="R484" s="1"/>
      <c r="S484" s="9">
        <v>-18431.189999999999</v>
      </c>
      <c r="T484" s="1">
        <v>-18431.189999999999</v>
      </c>
      <c r="U484" s="1" t="s">
        <v>2535</v>
      </c>
      <c r="V484" s="1" t="s">
        <v>15</v>
      </c>
      <c r="W484" s="1" t="s">
        <v>17</v>
      </c>
      <c r="X484" s="1" t="s">
        <v>17</v>
      </c>
      <c r="Y484" s="1" t="s">
        <v>17</v>
      </c>
      <c r="Z484" s="1" t="s">
        <v>17</v>
      </c>
      <c r="AA484" s="1" t="s">
        <v>17</v>
      </c>
      <c r="AB484" s="1">
        <v>0</v>
      </c>
      <c r="AC484" s="1" t="s">
        <v>17</v>
      </c>
    </row>
    <row r="485" spans="1:29">
      <c r="A485" s="1" t="s">
        <v>17</v>
      </c>
      <c r="B485" s="1" t="s">
        <v>2706</v>
      </c>
      <c r="C485" s="1" t="s">
        <v>2707</v>
      </c>
      <c r="D485" s="1" t="s">
        <v>42</v>
      </c>
      <c r="E485" s="1" t="s">
        <v>42</v>
      </c>
      <c r="F485" s="1" t="s">
        <v>17</v>
      </c>
      <c r="G485" s="1" t="s">
        <v>17</v>
      </c>
      <c r="H485" s="1" t="s">
        <v>17</v>
      </c>
      <c r="I485" s="1" t="s">
        <v>17</v>
      </c>
      <c r="J485" s="1" t="s">
        <v>17</v>
      </c>
      <c r="K485" s="1" t="s">
        <v>17</v>
      </c>
      <c r="L485" s="9">
        <v>0</v>
      </c>
      <c r="M485" s="1" t="s">
        <v>103</v>
      </c>
      <c r="N485" s="1" t="s">
        <v>1819</v>
      </c>
      <c r="O485" s="1"/>
      <c r="P485" s="1" t="s">
        <v>2379</v>
      </c>
      <c r="Q485" s="1" t="s">
        <v>2380</v>
      </c>
      <c r="R485" s="1"/>
      <c r="S485" s="9">
        <v>-33930.129999999997</v>
      </c>
      <c r="T485" s="1">
        <v>-33930.129999999997</v>
      </c>
      <c r="U485" s="1" t="s">
        <v>2535</v>
      </c>
      <c r="V485" s="1" t="s">
        <v>15</v>
      </c>
      <c r="W485" s="1" t="s">
        <v>17</v>
      </c>
      <c r="X485" s="1" t="s">
        <v>17</v>
      </c>
      <c r="Y485" s="1" t="s">
        <v>17</v>
      </c>
      <c r="Z485" s="1" t="s">
        <v>17</v>
      </c>
      <c r="AA485" s="1" t="s">
        <v>17</v>
      </c>
      <c r="AB485" s="1">
        <v>0</v>
      </c>
      <c r="AC485" s="1" t="s">
        <v>17</v>
      </c>
    </row>
    <row r="486" spans="1:29">
      <c r="A486" s="1" t="s">
        <v>17</v>
      </c>
      <c r="B486" s="1" t="s">
        <v>2708</v>
      </c>
      <c r="C486" s="1" t="s">
        <v>2690</v>
      </c>
      <c r="D486" s="1" t="s">
        <v>42</v>
      </c>
      <c r="E486" s="1" t="s">
        <v>42</v>
      </c>
      <c r="F486" s="1" t="s">
        <v>17</v>
      </c>
      <c r="G486" s="1" t="s">
        <v>17</v>
      </c>
      <c r="H486" s="1" t="s">
        <v>17</v>
      </c>
      <c r="I486" s="1" t="s">
        <v>17</v>
      </c>
      <c r="J486" s="1" t="s">
        <v>17</v>
      </c>
      <c r="K486" s="1" t="s">
        <v>17</v>
      </c>
      <c r="L486" s="9">
        <v>0</v>
      </c>
      <c r="M486" s="1" t="s">
        <v>103</v>
      </c>
      <c r="N486" s="1" t="s">
        <v>829</v>
      </c>
      <c r="O486" s="1"/>
      <c r="P486" s="1" t="s">
        <v>2379</v>
      </c>
      <c r="Q486" s="1" t="s">
        <v>2380</v>
      </c>
      <c r="R486" s="1"/>
      <c r="S486" s="9">
        <v>18640.62</v>
      </c>
      <c r="T486" s="1">
        <v>18640.62</v>
      </c>
      <c r="U486" s="1" t="s">
        <v>2535</v>
      </c>
      <c r="V486" s="1" t="s">
        <v>15</v>
      </c>
      <c r="W486" s="1" t="s">
        <v>17</v>
      </c>
      <c r="X486" s="1" t="s">
        <v>17</v>
      </c>
      <c r="Y486" s="1" t="s">
        <v>17</v>
      </c>
      <c r="Z486" s="1" t="s">
        <v>17</v>
      </c>
      <c r="AA486" s="1" t="s">
        <v>17</v>
      </c>
      <c r="AB486" s="1">
        <v>0</v>
      </c>
      <c r="AC486" s="1" t="s">
        <v>17</v>
      </c>
    </row>
    <row r="487" spans="1:29">
      <c r="A487" s="1" t="s">
        <v>17</v>
      </c>
      <c r="B487" s="1" t="s">
        <v>2709</v>
      </c>
      <c r="C487" s="1" t="s">
        <v>2641</v>
      </c>
      <c r="D487" s="1" t="s">
        <v>42</v>
      </c>
      <c r="E487" s="1" t="s">
        <v>42</v>
      </c>
      <c r="F487" s="1" t="s">
        <v>17</v>
      </c>
      <c r="G487" s="1" t="s">
        <v>17</v>
      </c>
      <c r="H487" s="1" t="s">
        <v>17</v>
      </c>
      <c r="I487" s="1" t="s">
        <v>17</v>
      </c>
      <c r="J487" s="1" t="s">
        <v>17</v>
      </c>
      <c r="K487" s="1" t="s">
        <v>17</v>
      </c>
      <c r="L487" s="9">
        <v>0</v>
      </c>
      <c r="M487" s="1" t="s">
        <v>103</v>
      </c>
      <c r="N487" s="1" t="s">
        <v>2335</v>
      </c>
      <c r="O487" s="1"/>
      <c r="P487" s="1" t="s">
        <v>2379</v>
      </c>
      <c r="Q487" s="1" t="s">
        <v>2380</v>
      </c>
      <c r="R487" s="1"/>
      <c r="S487" s="9">
        <v>18012.3</v>
      </c>
      <c r="T487" s="1">
        <v>18012.3</v>
      </c>
      <c r="U487" s="1" t="s">
        <v>2535</v>
      </c>
      <c r="V487" s="1" t="s">
        <v>15</v>
      </c>
      <c r="W487" s="1" t="s">
        <v>17</v>
      </c>
      <c r="X487" s="1" t="s">
        <v>17</v>
      </c>
      <c r="Y487" s="1" t="s">
        <v>17</v>
      </c>
      <c r="Z487" s="1" t="s">
        <v>17</v>
      </c>
      <c r="AA487" s="1" t="s">
        <v>17</v>
      </c>
      <c r="AB487" s="1">
        <v>0</v>
      </c>
      <c r="AC487" s="1" t="s">
        <v>17</v>
      </c>
    </row>
    <row r="488" spans="1:29">
      <c r="A488" s="1" t="s">
        <v>17</v>
      </c>
      <c r="B488" s="1" t="s">
        <v>2710</v>
      </c>
      <c r="C488" s="1" t="s">
        <v>2711</v>
      </c>
      <c r="D488" s="1" t="s">
        <v>42</v>
      </c>
      <c r="E488" s="1" t="s">
        <v>42</v>
      </c>
      <c r="F488" s="1" t="s">
        <v>17</v>
      </c>
      <c r="G488" s="1" t="s">
        <v>17</v>
      </c>
      <c r="H488" s="1" t="s">
        <v>17</v>
      </c>
      <c r="I488" s="1" t="s">
        <v>17</v>
      </c>
      <c r="J488" s="1" t="s">
        <v>17</v>
      </c>
      <c r="K488" s="1" t="s">
        <v>17</v>
      </c>
      <c r="L488" s="9">
        <v>0</v>
      </c>
      <c r="M488" s="1" t="s">
        <v>103</v>
      </c>
      <c r="N488" s="1" t="s">
        <v>2251</v>
      </c>
      <c r="O488" s="1"/>
      <c r="P488" s="1" t="s">
        <v>2379</v>
      </c>
      <c r="Q488" s="1" t="s">
        <v>2380</v>
      </c>
      <c r="R488" s="1"/>
      <c r="S488" s="9">
        <v>-45659.07</v>
      </c>
      <c r="T488" s="1">
        <v>-45659.07</v>
      </c>
      <c r="U488" s="1" t="s">
        <v>2535</v>
      </c>
      <c r="V488" s="1" t="s">
        <v>15</v>
      </c>
      <c r="W488" s="1" t="s">
        <v>17</v>
      </c>
      <c r="X488" s="1" t="s">
        <v>17</v>
      </c>
      <c r="Y488" s="1" t="s">
        <v>17</v>
      </c>
      <c r="Z488" s="1" t="s">
        <v>17</v>
      </c>
      <c r="AA488" s="1" t="s">
        <v>17</v>
      </c>
      <c r="AB488" s="1">
        <v>0</v>
      </c>
      <c r="AC488" s="1" t="s">
        <v>17</v>
      </c>
    </row>
    <row r="489" spans="1:29">
      <c r="A489" s="1" t="s">
        <v>17</v>
      </c>
      <c r="B489" s="1" t="s">
        <v>2712</v>
      </c>
      <c r="C489" s="1" t="s">
        <v>2713</v>
      </c>
      <c r="D489" s="1" t="s">
        <v>42</v>
      </c>
      <c r="E489" s="1" t="s">
        <v>42</v>
      </c>
      <c r="F489" s="1" t="s">
        <v>17</v>
      </c>
      <c r="G489" s="1" t="s">
        <v>17</v>
      </c>
      <c r="H489" s="1" t="s">
        <v>17</v>
      </c>
      <c r="I489" s="1" t="s">
        <v>17</v>
      </c>
      <c r="J489" s="1" t="s">
        <v>17</v>
      </c>
      <c r="K489" s="1" t="s">
        <v>17</v>
      </c>
      <c r="L489" s="9">
        <v>0</v>
      </c>
      <c r="M489" s="1" t="s">
        <v>103</v>
      </c>
      <c r="N489" s="1" t="s">
        <v>197</v>
      </c>
      <c r="O489" s="1"/>
      <c r="P489" s="1" t="s">
        <v>2379</v>
      </c>
      <c r="Q489" s="1" t="s">
        <v>2380</v>
      </c>
      <c r="R489" s="1"/>
      <c r="S489" s="9">
        <v>15080</v>
      </c>
      <c r="T489" s="1">
        <v>15080</v>
      </c>
      <c r="U489" s="1" t="s">
        <v>2535</v>
      </c>
      <c r="V489" s="1" t="s">
        <v>15</v>
      </c>
      <c r="W489" s="1" t="s">
        <v>17</v>
      </c>
      <c r="X489" s="1" t="s">
        <v>17</v>
      </c>
      <c r="Y489" s="1" t="s">
        <v>17</v>
      </c>
      <c r="Z489" s="1" t="s">
        <v>17</v>
      </c>
      <c r="AA489" s="1" t="s">
        <v>17</v>
      </c>
      <c r="AB489" s="1">
        <v>0</v>
      </c>
      <c r="AC489" s="1" t="s">
        <v>17</v>
      </c>
    </row>
    <row r="490" spans="1:29">
      <c r="A490" s="1" t="s">
        <v>17</v>
      </c>
      <c r="B490" s="1" t="s">
        <v>2714</v>
      </c>
      <c r="C490" s="1" t="s">
        <v>2715</v>
      </c>
      <c r="D490" s="1" t="s">
        <v>42</v>
      </c>
      <c r="E490" s="1" t="s">
        <v>42</v>
      </c>
      <c r="F490" s="1" t="s">
        <v>17</v>
      </c>
      <c r="G490" s="1" t="s">
        <v>17</v>
      </c>
      <c r="H490" s="1" t="s">
        <v>17</v>
      </c>
      <c r="I490" s="1" t="s">
        <v>17</v>
      </c>
      <c r="J490" s="1" t="s">
        <v>17</v>
      </c>
      <c r="K490" s="1" t="s">
        <v>17</v>
      </c>
      <c r="L490" s="9">
        <v>0</v>
      </c>
      <c r="M490" s="1" t="s">
        <v>103</v>
      </c>
      <c r="N490" s="1" t="s">
        <v>212</v>
      </c>
      <c r="O490" s="1"/>
      <c r="P490" s="1" t="s">
        <v>2379</v>
      </c>
      <c r="Q490" s="1" t="s">
        <v>2380</v>
      </c>
      <c r="R490" s="1"/>
      <c r="S490" s="9">
        <v>-15708.4</v>
      </c>
      <c r="T490" s="1">
        <v>-15708.4</v>
      </c>
      <c r="U490" s="1" t="s">
        <v>2535</v>
      </c>
      <c r="V490" s="1" t="s">
        <v>15</v>
      </c>
      <c r="W490" s="1" t="s">
        <v>17</v>
      </c>
      <c r="X490" s="1" t="s">
        <v>17</v>
      </c>
      <c r="Y490" s="1" t="s">
        <v>17</v>
      </c>
      <c r="Z490" s="1" t="s">
        <v>17</v>
      </c>
      <c r="AA490" s="1" t="s">
        <v>17</v>
      </c>
      <c r="AB490" s="1">
        <v>0</v>
      </c>
      <c r="AC490" s="1" t="s">
        <v>17</v>
      </c>
    </row>
    <row r="491" spans="1:29">
      <c r="A491" s="1" t="s">
        <v>17</v>
      </c>
      <c r="B491" s="1" t="s">
        <v>2716</v>
      </c>
      <c r="C491" s="1" t="s">
        <v>2717</v>
      </c>
      <c r="D491" s="1" t="s">
        <v>42</v>
      </c>
      <c r="E491" s="1" t="s">
        <v>42</v>
      </c>
      <c r="F491" s="1" t="s">
        <v>17</v>
      </c>
      <c r="G491" s="1" t="s">
        <v>17</v>
      </c>
      <c r="H491" s="1" t="s">
        <v>17</v>
      </c>
      <c r="I491" s="1" t="s">
        <v>17</v>
      </c>
      <c r="J491" s="1" t="s">
        <v>17</v>
      </c>
      <c r="K491" s="1" t="s">
        <v>17</v>
      </c>
      <c r="L491" s="9">
        <v>0</v>
      </c>
      <c r="M491" s="1" t="s">
        <v>103</v>
      </c>
      <c r="N491" s="1" t="s">
        <v>469</v>
      </c>
      <c r="O491" s="1"/>
      <c r="P491" s="1" t="s">
        <v>2379</v>
      </c>
      <c r="Q491" s="1" t="s">
        <v>2380</v>
      </c>
      <c r="R491" s="1"/>
      <c r="S491" s="9">
        <v>-15498.94</v>
      </c>
      <c r="T491" s="1">
        <v>-15498.94</v>
      </c>
      <c r="U491" s="1" t="s">
        <v>2535</v>
      </c>
      <c r="V491" s="1" t="s">
        <v>15</v>
      </c>
      <c r="W491" s="1" t="s">
        <v>17</v>
      </c>
      <c r="X491" s="1" t="s">
        <v>17</v>
      </c>
      <c r="Y491" s="1" t="s">
        <v>17</v>
      </c>
      <c r="Z491" s="1" t="s">
        <v>17</v>
      </c>
      <c r="AA491" s="1" t="s">
        <v>17</v>
      </c>
      <c r="AB491" s="1">
        <v>0</v>
      </c>
      <c r="AC491" s="1" t="s">
        <v>17</v>
      </c>
    </row>
    <row r="492" spans="1:29">
      <c r="A492" s="1" t="s">
        <v>17</v>
      </c>
      <c r="B492" s="1" t="s">
        <v>2718</v>
      </c>
      <c r="C492" s="1" t="s">
        <v>2719</v>
      </c>
      <c r="D492" s="1" t="s">
        <v>42</v>
      </c>
      <c r="E492" s="1" t="s">
        <v>42</v>
      </c>
      <c r="F492" s="1" t="s">
        <v>17</v>
      </c>
      <c r="G492" s="1" t="s">
        <v>17</v>
      </c>
      <c r="H492" s="1" t="s">
        <v>17</v>
      </c>
      <c r="I492" s="1" t="s">
        <v>17</v>
      </c>
      <c r="J492" s="1" t="s">
        <v>17</v>
      </c>
      <c r="K492" s="1" t="s">
        <v>17</v>
      </c>
      <c r="L492" s="9">
        <v>0</v>
      </c>
      <c r="M492" s="1" t="s">
        <v>103</v>
      </c>
      <c r="N492" s="1" t="s">
        <v>320</v>
      </c>
      <c r="O492" s="1"/>
      <c r="P492" s="1" t="s">
        <v>2379</v>
      </c>
      <c r="Q492" s="1" t="s">
        <v>2380</v>
      </c>
      <c r="R492" s="1"/>
      <c r="S492" s="9">
        <v>-14032.83</v>
      </c>
      <c r="T492" s="1">
        <v>-14032.83</v>
      </c>
      <c r="U492" s="1" t="s">
        <v>2535</v>
      </c>
      <c r="V492" s="1" t="s">
        <v>15</v>
      </c>
      <c r="W492" s="1" t="s">
        <v>17</v>
      </c>
      <c r="X492" s="1" t="s">
        <v>17</v>
      </c>
      <c r="Y492" s="1" t="s">
        <v>17</v>
      </c>
      <c r="Z492" s="1" t="s">
        <v>17</v>
      </c>
      <c r="AA492" s="1" t="s">
        <v>17</v>
      </c>
      <c r="AB492" s="1">
        <v>0</v>
      </c>
      <c r="AC492" s="1" t="s">
        <v>17</v>
      </c>
    </row>
    <row r="493" spans="1:29">
      <c r="A493" s="1" t="s">
        <v>17</v>
      </c>
      <c r="B493" s="1" t="s">
        <v>2720</v>
      </c>
      <c r="C493" s="1" t="s">
        <v>2591</v>
      </c>
      <c r="D493" s="1" t="s">
        <v>42</v>
      </c>
      <c r="E493" s="1" t="s">
        <v>42</v>
      </c>
      <c r="F493" s="1" t="s">
        <v>17</v>
      </c>
      <c r="G493" s="1" t="s">
        <v>17</v>
      </c>
      <c r="H493" s="1" t="s">
        <v>17</v>
      </c>
      <c r="I493" s="1" t="s">
        <v>17</v>
      </c>
      <c r="J493" s="1" t="s">
        <v>17</v>
      </c>
      <c r="K493" s="1" t="s">
        <v>17</v>
      </c>
      <c r="L493" s="9">
        <v>0</v>
      </c>
      <c r="M493" s="1" t="s">
        <v>103</v>
      </c>
      <c r="N493" s="1" t="s">
        <v>1464</v>
      </c>
      <c r="O493" s="1"/>
      <c r="P493" s="1" t="s">
        <v>2379</v>
      </c>
      <c r="Q493" s="1" t="s">
        <v>2380</v>
      </c>
      <c r="R493" s="1"/>
      <c r="S493" s="9">
        <v>-40841.839999999997</v>
      </c>
      <c r="T493" s="1">
        <v>-40841.839999999997</v>
      </c>
      <c r="U493" s="1" t="s">
        <v>2535</v>
      </c>
      <c r="V493" s="1" t="s">
        <v>15</v>
      </c>
      <c r="W493" s="1" t="s">
        <v>17</v>
      </c>
      <c r="X493" s="1" t="s">
        <v>17</v>
      </c>
      <c r="Y493" s="1" t="s">
        <v>17</v>
      </c>
      <c r="Z493" s="1" t="s">
        <v>17</v>
      </c>
      <c r="AA493" s="1" t="s">
        <v>17</v>
      </c>
      <c r="AB493" s="1">
        <v>0</v>
      </c>
      <c r="AC493" s="1" t="s">
        <v>17</v>
      </c>
    </row>
    <row r="494" spans="1:29">
      <c r="A494" s="1" t="s">
        <v>17</v>
      </c>
      <c r="B494" s="1" t="s">
        <v>2721</v>
      </c>
      <c r="C494" s="1" t="s">
        <v>2722</v>
      </c>
      <c r="D494" s="1" t="s">
        <v>42</v>
      </c>
      <c r="E494" s="1" t="s">
        <v>42</v>
      </c>
      <c r="F494" s="1" t="s">
        <v>17</v>
      </c>
      <c r="G494" s="1" t="s">
        <v>17</v>
      </c>
      <c r="H494" s="1" t="s">
        <v>17</v>
      </c>
      <c r="I494" s="1" t="s">
        <v>17</v>
      </c>
      <c r="J494" s="1" t="s">
        <v>17</v>
      </c>
      <c r="K494" s="1" t="s">
        <v>17</v>
      </c>
      <c r="L494" s="9">
        <v>0</v>
      </c>
      <c r="M494" s="1" t="s">
        <v>103</v>
      </c>
      <c r="N494" s="1" t="s">
        <v>190</v>
      </c>
      <c r="O494" s="1"/>
      <c r="P494" s="1" t="s">
        <v>2379</v>
      </c>
      <c r="Q494" s="1" t="s">
        <v>2380</v>
      </c>
      <c r="R494" s="1"/>
      <c r="S494" s="9">
        <v>77074.94</v>
      </c>
      <c r="T494" s="1">
        <v>77074.94</v>
      </c>
      <c r="U494" s="1" t="s">
        <v>2535</v>
      </c>
      <c r="V494" s="1" t="s">
        <v>15</v>
      </c>
      <c r="W494" s="1" t="s">
        <v>17</v>
      </c>
      <c r="X494" s="1" t="s">
        <v>17</v>
      </c>
      <c r="Y494" s="1" t="s">
        <v>17</v>
      </c>
      <c r="Z494" s="1" t="s">
        <v>17</v>
      </c>
      <c r="AA494" s="1" t="s">
        <v>17</v>
      </c>
      <c r="AB494" s="1">
        <v>0</v>
      </c>
      <c r="AC494" s="1" t="s">
        <v>17</v>
      </c>
    </row>
    <row r="495" spans="1:29">
      <c r="A495" s="1" t="s">
        <v>17</v>
      </c>
      <c r="B495" s="1" t="s">
        <v>2723</v>
      </c>
      <c r="C495" s="1" t="s">
        <v>2676</v>
      </c>
      <c r="D495" s="1" t="s">
        <v>42</v>
      </c>
      <c r="E495" s="1" t="s">
        <v>42</v>
      </c>
      <c r="F495" s="1" t="s">
        <v>17</v>
      </c>
      <c r="G495" s="1" t="s">
        <v>17</v>
      </c>
      <c r="H495" s="1" t="s">
        <v>17</v>
      </c>
      <c r="I495" s="1" t="s">
        <v>17</v>
      </c>
      <c r="J495" s="1" t="s">
        <v>17</v>
      </c>
      <c r="K495" s="1" t="s">
        <v>17</v>
      </c>
      <c r="L495" s="9">
        <v>0</v>
      </c>
      <c r="M495" s="1" t="s">
        <v>103</v>
      </c>
      <c r="N495" s="1" t="s">
        <v>1672</v>
      </c>
      <c r="O495" s="1"/>
      <c r="P495" s="1" t="s">
        <v>2379</v>
      </c>
      <c r="Q495" s="1" t="s">
        <v>2380</v>
      </c>
      <c r="R495" s="1"/>
      <c r="S495" s="9">
        <v>43774.06</v>
      </c>
      <c r="T495" s="1">
        <v>43774.06</v>
      </c>
      <c r="U495" s="1" t="s">
        <v>2535</v>
      </c>
      <c r="V495" s="1" t="s">
        <v>15</v>
      </c>
      <c r="W495" s="1" t="s">
        <v>17</v>
      </c>
      <c r="X495" s="1" t="s">
        <v>17</v>
      </c>
      <c r="Y495" s="1" t="s">
        <v>17</v>
      </c>
      <c r="Z495" s="1" t="s">
        <v>17</v>
      </c>
      <c r="AA495" s="1" t="s">
        <v>17</v>
      </c>
      <c r="AB495" s="1">
        <v>0</v>
      </c>
      <c r="AC495" s="1" t="s">
        <v>17</v>
      </c>
    </row>
    <row r="496" spans="1:29">
      <c r="A496" s="1" t="s">
        <v>17</v>
      </c>
      <c r="B496" s="1" t="s">
        <v>2724</v>
      </c>
      <c r="C496" s="1" t="s">
        <v>2643</v>
      </c>
      <c r="D496" s="1" t="s">
        <v>42</v>
      </c>
      <c r="E496" s="1" t="s">
        <v>42</v>
      </c>
      <c r="F496" s="1" t="s">
        <v>17</v>
      </c>
      <c r="G496" s="1" t="s">
        <v>17</v>
      </c>
      <c r="H496" s="1" t="s">
        <v>17</v>
      </c>
      <c r="I496" s="1" t="s">
        <v>17</v>
      </c>
      <c r="J496" s="1" t="s">
        <v>17</v>
      </c>
      <c r="K496" s="1" t="s">
        <v>17</v>
      </c>
      <c r="L496" s="9">
        <v>0</v>
      </c>
      <c r="M496" s="1" t="s">
        <v>103</v>
      </c>
      <c r="N496" s="1" t="s">
        <v>338</v>
      </c>
      <c r="O496" s="1"/>
      <c r="P496" s="1" t="s">
        <v>2379</v>
      </c>
      <c r="Q496" s="1" t="s">
        <v>2380</v>
      </c>
      <c r="R496" s="1"/>
      <c r="S496" s="9">
        <v>-65556.37</v>
      </c>
      <c r="T496" s="1">
        <v>-65556.37</v>
      </c>
      <c r="U496" s="1" t="s">
        <v>2535</v>
      </c>
      <c r="V496" s="1" t="s">
        <v>15</v>
      </c>
      <c r="W496" s="1" t="s">
        <v>17</v>
      </c>
      <c r="X496" s="1" t="s">
        <v>17</v>
      </c>
      <c r="Y496" s="1" t="s">
        <v>17</v>
      </c>
      <c r="Z496" s="1" t="s">
        <v>17</v>
      </c>
      <c r="AA496" s="1" t="s">
        <v>17</v>
      </c>
      <c r="AB496" s="1">
        <v>0</v>
      </c>
      <c r="AC496" s="1" t="s">
        <v>17</v>
      </c>
    </row>
    <row r="497" spans="1:29">
      <c r="A497" s="1" t="s">
        <v>17</v>
      </c>
      <c r="B497" s="1" t="s">
        <v>2725</v>
      </c>
      <c r="C497" s="1" t="s">
        <v>2627</v>
      </c>
      <c r="D497" s="1" t="s">
        <v>42</v>
      </c>
      <c r="E497" s="1" t="s">
        <v>42</v>
      </c>
      <c r="F497" s="1" t="s">
        <v>17</v>
      </c>
      <c r="G497" s="1" t="s">
        <v>17</v>
      </c>
      <c r="H497" s="1" t="s">
        <v>17</v>
      </c>
      <c r="I497" s="1" t="s">
        <v>17</v>
      </c>
      <c r="J497" s="1" t="s">
        <v>17</v>
      </c>
      <c r="K497" s="1" t="s">
        <v>17</v>
      </c>
      <c r="L497" s="9">
        <v>0</v>
      </c>
      <c r="M497" s="1" t="s">
        <v>103</v>
      </c>
      <c r="N497" s="1" t="s">
        <v>314</v>
      </c>
      <c r="O497" s="1"/>
      <c r="P497" s="1" t="s">
        <v>2379</v>
      </c>
      <c r="Q497" s="1" t="s">
        <v>2380</v>
      </c>
      <c r="R497" s="1"/>
      <c r="S497" s="9">
        <v>49847.97</v>
      </c>
      <c r="T497" s="1">
        <v>49847.97</v>
      </c>
      <c r="U497" s="1" t="s">
        <v>2535</v>
      </c>
      <c r="V497" s="1" t="s">
        <v>15</v>
      </c>
      <c r="W497" s="1" t="s">
        <v>17</v>
      </c>
      <c r="X497" s="1" t="s">
        <v>17</v>
      </c>
      <c r="Y497" s="1" t="s">
        <v>17</v>
      </c>
      <c r="Z497" s="1" t="s">
        <v>17</v>
      </c>
      <c r="AA497" s="1" t="s">
        <v>17</v>
      </c>
      <c r="AB497" s="1">
        <v>0</v>
      </c>
      <c r="AC497" s="1" t="s">
        <v>17</v>
      </c>
    </row>
    <row r="498" spans="1:29">
      <c r="A498" s="1" t="s">
        <v>17</v>
      </c>
      <c r="B498" s="1" t="s">
        <v>2726</v>
      </c>
      <c r="C498" s="1" t="s">
        <v>2596</v>
      </c>
      <c r="D498" s="1" t="s">
        <v>42</v>
      </c>
      <c r="E498" s="1" t="s">
        <v>42</v>
      </c>
      <c r="F498" s="1" t="s">
        <v>17</v>
      </c>
      <c r="G498" s="1" t="s">
        <v>17</v>
      </c>
      <c r="H498" s="1" t="s">
        <v>17</v>
      </c>
      <c r="I498" s="1" t="s">
        <v>17</v>
      </c>
      <c r="J498" s="1" t="s">
        <v>17</v>
      </c>
      <c r="K498" s="1" t="s">
        <v>17</v>
      </c>
      <c r="L498" s="9">
        <v>0</v>
      </c>
      <c r="M498" s="1" t="s">
        <v>103</v>
      </c>
      <c r="N498" s="1" t="s">
        <v>1106</v>
      </c>
      <c r="O498" s="1"/>
      <c r="P498" s="1" t="s">
        <v>2379</v>
      </c>
      <c r="Q498" s="1" t="s">
        <v>2380</v>
      </c>
      <c r="R498" s="1"/>
      <c r="S498" s="9">
        <v>-31207.34</v>
      </c>
      <c r="T498" s="1">
        <v>-31207.34</v>
      </c>
      <c r="U498" s="1" t="s">
        <v>2535</v>
      </c>
      <c r="V498" s="1" t="s">
        <v>15</v>
      </c>
      <c r="W498" s="1" t="s">
        <v>17</v>
      </c>
      <c r="X498" s="1" t="s">
        <v>17</v>
      </c>
      <c r="Y498" s="1" t="s">
        <v>17</v>
      </c>
      <c r="Z498" s="1" t="s">
        <v>17</v>
      </c>
      <c r="AA498" s="1" t="s">
        <v>17</v>
      </c>
      <c r="AB498" s="1">
        <v>0</v>
      </c>
      <c r="AC498" s="1" t="s">
        <v>17</v>
      </c>
    </row>
    <row r="499" spans="1:29">
      <c r="A499" s="1" t="s">
        <v>17</v>
      </c>
      <c r="B499" s="1" t="s">
        <v>2727</v>
      </c>
      <c r="C499" s="1" t="s">
        <v>2555</v>
      </c>
      <c r="D499" s="1" t="s">
        <v>42</v>
      </c>
      <c r="E499" s="1" t="s">
        <v>42</v>
      </c>
      <c r="F499" s="1" t="s">
        <v>17</v>
      </c>
      <c r="G499" s="1" t="s">
        <v>17</v>
      </c>
      <c r="H499" s="1" t="s">
        <v>17</v>
      </c>
      <c r="I499" s="1" t="s">
        <v>17</v>
      </c>
      <c r="J499" s="1" t="s">
        <v>17</v>
      </c>
      <c r="K499" s="1" t="s">
        <v>17</v>
      </c>
      <c r="L499" s="9">
        <v>0</v>
      </c>
      <c r="M499" s="1" t="s">
        <v>103</v>
      </c>
      <c r="N499" s="1" t="s">
        <v>462</v>
      </c>
      <c r="O499" s="1"/>
      <c r="P499" s="1" t="s">
        <v>2379</v>
      </c>
      <c r="Q499" s="1" t="s">
        <v>2380</v>
      </c>
      <c r="R499" s="1"/>
      <c r="S499" s="9">
        <v>17802.84</v>
      </c>
      <c r="T499" s="1">
        <v>17802.84</v>
      </c>
      <c r="U499" s="1" t="s">
        <v>2535</v>
      </c>
      <c r="V499" s="1" t="s">
        <v>15</v>
      </c>
      <c r="W499" s="1" t="s">
        <v>17</v>
      </c>
      <c r="X499" s="1" t="s">
        <v>17</v>
      </c>
      <c r="Y499" s="1" t="s">
        <v>17</v>
      </c>
      <c r="Z499" s="1" t="s">
        <v>17</v>
      </c>
      <c r="AA499" s="1" t="s">
        <v>17</v>
      </c>
      <c r="AB499" s="1">
        <v>0</v>
      </c>
      <c r="AC499" s="1" t="s">
        <v>17</v>
      </c>
    </row>
    <row r="500" spans="1:29">
      <c r="A500" s="1" t="s">
        <v>17</v>
      </c>
      <c r="B500" s="1" t="s">
        <v>2728</v>
      </c>
      <c r="C500" s="1" t="s">
        <v>2729</v>
      </c>
      <c r="D500" s="1" t="s">
        <v>42</v>
      </c>
      <c r="E500" s="1" t="s">
        <v>42</v>
      </c>
      <c r="F500" s="1" t="s">
        <v>17</v>
      </c>
      <c r="G500" s="1" t="s">
        <v>17</v>
      </c>
      <c r="H500" s="1" t="s">
        <v>17</v>
      </c>
      <c r="I500" s="1" t="s">
        <v>17</v>
      </c>
      <c r="J500" s="1" t="s">
        <v>17</v>
      </c>
      <c r="K500" s="1" t="s">
        <v>17</v>
      </c>
      <c r="L500" s="9">
        <v>0</v>
      </c>
      <c r="M500" s="1" t="s">
        <v>103</v>
      </c>
      <c r="N500" s="1" t="s">
        <v>151</v>
      </c>
      <c r="O500" s="1"/>
      <c r="P500" s="1" t="s">
        <v>2379</v>
      </c>
      <c r="Q500" s="1" t="s">
        <v>2380</v>
      </c>
      <c r="R500" s="1"/>
      <c r="S500" s="9">
        <v>82521.42</v>
      </c>
      <c r="T500" s="1">
        <v>82521.42</v>
      </c>
      <c r="U500" s="1" t="s">
        <v>2535</v>
      </c>
      <c r="V500" s="1" t="s">
        <v>15</v>
      </c>
      <c r="W500" s="1" t="s">
        <v>17</v>
      </c>
      <c r="X500" s="1" t="s">
        <v>17</v>
      </c>
      <c r="Y500" s="1" t="s">
        <v>17</v>
      </c>
      <c r="Z500" s="1" t="s">
        <v>17</v>
      </c>
      <c r="AA500" s="1" t="s">
        <v>17</v>
      </c>
      <c r="AB500" s="1">
        <v>0</v>
      </c>
      <c r="AC500" s="1" t="s">
        <v>17</v>
      </c>
    </row>
    <row r="501" spans="1:29">
      <c r="A501" s="1" t="s">
        <v>17</v>
      </c>
      <c r="B501" s="1" t="s">
        <v>2730</v>
      </c>
      <c r="C501" s="1" t="s">
        <v>2683</v>
      </c>
      <c r="D501" s="1" t="s">
        <v>42</v>
      </c>
      <c r="E501" s="1" t="s">
        <v>42</v>
      </c>
      <c r="F501" s="1" t="s">
        <v>17</v>
      </c>
      <c r="G501" s="1" t="s">
        <v>17</v>
      </c>
      <c r="H501" s="1" t="s">
        <v>17</v>
      </c>
      <c r="I501" s="1" t="s">
        <v>17</v>
      </c>
      <c r="J501" s="1" t="s">
        <v>17</v>
      </c>
      <c r="K501" s="1" t="s">
        <v>17</v>
      </c>
      <c r="L501" s="9">
        <v>0</v>
      </c>
      <c r="M501" s="1" t="s">
        <v>103</v>
      </c>
      <c r="N501" s="1" t="s">
        <v>1879</v>
      </c>
      <c r="O501" s="1"/>
      <c r="P501" s="1" t="s">
        <v>2379</v>
      </c>
      <c r="Q501" s="1" t="s">
        <v>2380</v>
      </c>
      <c r="R501" s="1"/>
      <c r="S501" s="9">
        <v>15289.51</v>
      </c>
      <c r="T501" s="1">
        <v>15289.51</v>
      </c>
      <c r="U501" s="1" t="s">
        <v>2535</v>
      </c>
      <c r="V501" s="1" t="s">
        <v>15</v>
      </c>
      <c r="W501" s="1" t="s">
        <v>17</v>
      </c>
      <c r="X501" s="1" t="s">
        <v>17</v>
      </c>
      <c r="Y501" s="1" t="s">
        <v>17</v>
      </c>
      <c r="Z501" s="1" t="s">
        <v>17</v>
      </c>
      <c r="AA501" s="1" t="s">
        <v>17</v>
      </c>
      <c r="AB501" s="1">
        <v>0</v>
      </c>
      <c r="AC501" s="1" t="s">
        <v>17</v>
      </c>
    </row>
    <row r="502" spans="1:29">
      <c r="A502" s="1" t="s">
        <v>17</v>
      </c>
      <c r="B502" s="1" t="s">
        <v>2731</v>
      </c>
      <c r="C502" s="1" t="s">
        <v>2672</v>
      </c>
      <c r="D502" s="1" t="s">
        <v>42</v>
      </c>
      <c r="E502" s="1" t="s">
        <v>42</v>
      </c>
      <c r="F502" s="1" t="s">
        <v>17</v>
      </c>
      <c r="G502" s="1" t="s">
        <v>17</v>
      </c>
      <c r="H502" s="1" t="s">
        <v>17</v>
      </c>
      <c r="I502" s="1" t="s">
        <v>17</v>
      </c>
      <c r="J502" s="1" t="s">
        <v>17</v>
      </c>
      <c r="K502" s="1" t="s">
        <v>17</v>
      </c>
      <c r="L502" s="9">
        <v>0</v>
      </c>
      <c r="M502" s="1" t="s">
        <v>103</v>
      </c>
      <c r="N502" s="1" t="s">
        <v>1218</v>
      </c>
      <c r="O502" s="1"/>
      <c r="P502" s="1" t="s">
        <v>2379</v>
      </c>
      <c r="Q502" s="1" t="s">
        <v>2380</v>
      </c>
      <c r="R502" s="1"/>
      <c r="S502" s="9">
        <v>16336.73</v>
      </c>
      <c r="T502" s="1">
        <v>16336.73</v>
      </c>
      <c r="U502" s="1" t="s">
        <v>2535</v>
      </c>
      <c r="V502" s="1" t="s">
        <v>15</v>
      </c>
      <c r="W502" s="1" t="s">
        <v>17</v>
      </c>
      <c r="X502" s="1" t="s">
        <v>17</v>
      </c>
      <c r="Y502" s="1" t="s">
        <v>17</v>
      </c>
      <c r="Z502" s="1" t="s">
        <v>17</v>
      </c>
      <c r="AA502" s="1" t="s">
        <v>17</v>
      </c>
      <c r="AB502" s="1">
        <v>0</v>
      </c>
      <c r="AC502" s="1" t="s">
        <v>17</v>
      </c>
    </row>
    <row r="503" spans="1:29">
      <c r="A503" s="1" t="s">
        <v>17</v>
      </c>
      <c r="B503" s="1" t="s">
        <v>2732</v>
      </c>
      <c r="C503" s="1" t="s">
        <v>2612</v>
      </c>
      <c r="D503" s="1" t="s">
        <v>42</v>
      </c>
      <c r="E503" s="1" t="s">
        <v>42</v>
      </c>
      <c r="F503" s="1" t="s">
        <v>17</v>
      </c>
      <c r="G503" s="1" t="s">
        <v>17</v>
      </c>
      <c r="H503" s="1" t="s">
        <v>17</v>
      </c>
      <c r="I503" s="1" t="s">
        <v>17</v>
      </c>
      <c r="J503" s="1" t="s">
        <v>17</v>
      </c>
      <c r="K503" s="1" t="s">
        <v>17</v>
      </c>
      <c r="L503" s="9">
        <v>0</v>
      </c>
      <c r="M503" s="1" t="s">
        <v>103</v>
      </c>
      <c r="N503" s="1" t="s">
        <v>151</v>
      </c>
      <c r="O503" s="1"/>
      <c r="P503" s="1" t="s">
        <v>2379</v>
      </c>
      <c r="Q503" s="1" t="s">
        <v>2380</v>
      </c>
      <c r="R503" s="1"/>
      <c r="S503" s="9">
        <v>-16127.29</v>
      </c>
      <c r="T503" s="1">
        <v>-16127.29</v>
      </c>
      <c r="U503" s="1" t="s">
        <v>2535</v>
      </c>
      <c r="V503" s="1" t="s">
        <v>15</v>
      </c>
      <c r="W503" s="1" t="s">
        <v>17</v>
      </c>
      <c r="X503" s="1" t="s">
        <v>17</v>
      </c>
      <c r="Y503" s="1" t="s">
        <v>17</v>
      </c>
      <c r="Z503" s="1" t="s">
        <v>17</v>
      </c>
      <c r="AA503" s="1" t="s">
        <v>17</v>
      </c>
      <c r="AB503" s="1">
        <v>0</v>
      </c>
      <c r="AC503" s="1" t="s">
        <v>17</v>
      </c>
    </row>
    <row r="504" spans="1:29">
      <c r="A504" s="1" t="s">
        <v>17</v>
      </c>
      <c r="B504" s="1" t="s">
        <v>2733</v>
      </c>
      <c r="C504" s="1" t="s">
        <v>2719</v>
      </c>
      <c r="D504" s="1" t="s">
        <v>42</v>
      </c>
      <c r="E504" s="1" t="s">
        <v>42</v>
      </c>
      <c r="F504" s="1" t="s">
        <v>17</v>
      </c>
      <c r="G504" s="1" t="s">
        <v>17</v>
      </c>
      <c r="H504" s="1" t="s">
        <v>17</v>
      </c>
      <c r="I504" s="1" t="s">
        <v>17</v>
      </c>
      <c r="J504" s="1" t="s">
        <v>17</v>
      </c>
      <c r="K504" s="1" t="s">
        <v>17</v>
      </c>
      <c r="L504" s="9">
        <v>0</v>
      </c>
      <c r="M504" s="1" t="s">
        <v>103</v>
      </c>
      <c r="N504" s="1" t="s">
        <v>2734</v>
      </c>
      <c r="O504" s="1"/>
      <c r="P504" s="1" t="s">
        <v>2379</v>
      </c>
      <c r="Q504" s="1" t="s">
        <v>2380</v>
      </c>
      <c r="R504" s="1"/>
      <c r="S504" s="9">
        <v>14032</v>
      </c>
      <c r="T504" s="1">
        <v>14032</v>
      </c>
      <c r="U504" s="1" t="s">
        <v>2535</v>
      </c>
      <c r="V504" s="1" t="s">
        <v>15</v>
      </c>
      <c r="W504" s="1" t="s">
        <v>17</v>
      </c>
      <c r="X504" s="1" t="s">
        <v>17</v>
      </c>
      <c r="Y504" s="1" t="s">
        <v>17</v>
      </c>
      <c r="Z504" s="1" t="s">
        <v>17</v>
      </c>
      <c r="AA504" s="1" t="s">
        <v>17</v>
      </c>
      <c r="AB504" s="1">
        <v>0</v>
      </c>
      <c r="AC504" s="1" t="s">
        <v>17</v>
      </c>
    </row>
    <row r="505" spans="1:29">
      <c r="A505" s="1" t="s">
        <v>17</v>
      </c>
      <c r="B505" s="1" t="s">
        <v>2735</v>
      </c>
      <c r="C505" s="1" t="s">
        <v>2668</v>
      </c>
      <c r="D505" s="1" t="s">
        <v>42</v>
      </c>
      <c r="E505" s="1" t="s">
        <v>42</v>
      </c>
      <c r="F505" s="1" t="s">
        <v>17</v>
      </c>
      <c r="G505" s="1" t="s">
        <v>17</v>
      </c>
      <c r="H505" s="1" t="s">
        <v>17</v>
      </c>
      <c r="I505" s="1" t="s">
        <v>17</v>
      </c>
      <c r="J505" s="1" t="s">
        <v>17</v>
      </c>
      <c r="K505" s="1" t="s">
        <v>17</v>
      </c>
      <c r="L505" s="9">
        <v>0</v>
      </c>
      <c r="M505" s="1" t="s">
        <v>103</v>
      </c>
      <c r="N505" s="1" t="s">
        <v>958</v>
      </c>
      <c r="O505" s="1" t="s">
        <v>2669</v>
      </c>
      <c r="P505" s="1" t="s">
        <v>127</v>
      </c>
      <c r="Q505" s="1" t="s">
        <v>131</v>
      </c>
      <c r="R505" s="1"/>
      <c r="S505" s="9">
        <v>123900</v>
      </c>
      <c r="T505" s="1">
        <v>123900</v>
      </c>
      <c r="U505" s="1" t="s">
        <v>2670</v>
      </c>
      <c r="V505" s="1" t="s">
        <v>15</v>
      </c>
      <c r="W505" s="1" t="s">
        <v>17</v>
      </c>
      <c r="X505" s="1" t="s">
        <v>17</v>
      </c>
      <c r="Y505" s="1" t="s">
        <v>17</v>
      </c>
      <c r="Z505" s="1" t="s">
        <v>17</v>
      </c>
      <c r="AA505" s="1" t="s">
        <v>17</v>
      </c>
      <c r="AB505" s="1">
        <v>0</v>
      </c>
      <c r="AC505" s="1" t="s">
        <v>17</v>
      </c>
    </row>
    <row r="506" spans="1:29">
      <c r="A506" s="1" t="s">
        <v>17</v>
      </c>
      <c r="B506" s="1" t="s">
        <v>2736</v>
      </c>
      <c r="C506" s="1" t="s">
        <v>2737</v>
      </c>
      <c r="D506" s="1" t="s">
        <v>42</v>
      </c>
      <c r="E506" s="1" t="s">
        <v>42</v>
      </c>
      <c r="F506" s="1" t="s">
        <v>17</v>
      </c>
      <c r="G506" s="1" t="s">
        <v>17</v>
      </c>
      <c r="H506" s="1" t="s">
        <v>17</v>
      </c>
      <c r="I506" s="1" t="s">
        <v>17</v>
      </c>
      <c r="J506" s="1" t="s">
        <v>17</v>
      </c>
      <c r="K506" s="1" t="s">
        <v>17</v>
      </c>
      <c r="L506" s="9">
        <v>0</v>
      </c>
      <c r="M506" s="1" t="s">
        <v>103</v>
      </c>
      <c r="N506" s="1" t="s">
        <v>2673</v>
      </c>
      <c r="O506" s="1"/>
      <c r="P506" s="1" t="s">
        <v>2379</v>
      </c>
      <c r="Q506" s="1" t="s">
        <v>2380</v>
      </c>
      <c r="R506" s="1"/>
      <c r="S506" s="9">
        <v>16336.73</v>
      </c>
      <c r="T506" s="1">
        <v>16336.73</v>
      </c>
      <c r="U506" s="1" t="s">
        <v>2535</v>
      </c>
      <c r="V506" s="1" t="s">
        <v>15</v>
      </c>
      <c r="W506" s="1" t="s">
        <v>17</v>
      </c>
      <c r="X506" s="1" t="s">
        <v>17</v>
      </c>
      <c r="Y506" s="1" t="s">
        <v>17</v>
      </c>
      <c r="Z506" s="1" t="s">
        <v>17</v>
      </c>
      <c r="AA506" s="1" t="s">
        <v>17</v>
      </c>
      <c r="AB506" s="1">
        <v>0</v>
      </c>
      <c r="AC506" s="1" t="s">
        <v>17</v>
      </c>
    </row>
    <row r="507" spans="1:29">
      <c r="A507" s="1" t="s">
        <v>17</v>
      </c>
      <c r="B507" s="1" t="s">
        <v>2738</v>
      </c>
      <c r="C507" s="1" t="s">
        <v>2739</v>
      </c>
      <c r="D507" s="1" t="s">
        <v>42</v>
      </c>
      <c r="E507" s="1" t="s">
        <v>42</v>
      </c>
      <c r="F507" s="1" t="s">
        <v>17</v>
      </c>
      <c r="G507" s="1" t="s">
        <v>17</v>
      </c>
      <c r="H507" s="1" t="s">
        <v>17</v>
      </c>
      <c r="I507" s="1" t="s">
        <v>17</v>
      </c>
      <c r="J507" s="1" t="s">
        <v>17</v>
      </c>
      <c r="K507" s="1" t="s">
        <v>17</v>
      </c>
      <c r="L507" s="9">
        <v>0</v>
      </c>
      <c r="M507" s="1" t="s">
        <v>103</v>
      </c>
      <c r="N507" s="1" t="s">
        <v>680</v>
      </c>
      <c r="O507" s="1"/>
      <c r="P507" s="1" t="s">
        <v>2379</v>
      </c>
      <c r="Q507" s="1" t="s">
        <v>2380</v>
      </c>
      <c r="R507" s="1"/>
      <c r="S507" s="9">
        <v>17803</v>
      </c>
      <c r="T507" s="1">
        <v>17803</v>
      </c>
      <c r="U507" s="1" t="s">
        <v>2535</v>
      </c>
      <c r="V507" s="1" t="s">
        <v>15</v>
      </c>
      <c r="W507" s="1" t="s">
        <v>17</v>
      </c>
      <c r="X507" s="1" t="s">
        <v>17</v>
      </c>
      <c r="Y507" s="1" t="s">
        <v>17</v>
      </c>
      <c r="Z507" s="1" t="s">
        <v>17</v>
      </c>
      <c r="AA507" s="1" t="s">
        <v>17</v>
      </c>
      <c r="AB507" s="1">
        <v>0</v>
      </c>
      <c r="AC507" s="1" t="s">
        <v>17</v>
      </c>
    </row>
    <row r="508" spans="1:29">
      <c r="A508" s="1" t="s">
        <v>17</v>
      </c>
      <c r="B508" s="1" t="s">
        <v>2740</v>
      </c>
      <c r="C508" s="1" t="s">
        <v>2741</v>
      </c>
      <c r="D508" s="1" t="s">
        <v>42</v>
      </c>
      <c r="E508" s="1" t="s">
        <v>42</v>
      </c>
      <c r="F508" s="1" t="s">
        <v>17</v>
      </c>
      <c r="G508" s="1" t="s">
        <v>17</v>
      </c>
      <c r="H508" s="1" t="s">
        <v>17</v>
      </c>
      <c r="I508" s="1" t="s">
        <v>17</v>
      </c>
      <c r="J508" s="1" t="s">
        <v>17</v>
      </c>
      <c r="K508" s="1" t="s">
        <v>17</v>
      </c>
      <c r="L508" s="9">
        <v>0</v>
      </c>
      <c r="M508" s="1" t="s">
        <v>103</v>
      </c>
      <c r="N508" s="1" t="s">
        <v>2734</v>
      </c>
      <c r="O508" s="1"/>
      <c r="P508" s="1" t="s">
        <v>2379</v>
      </c>
      <c r="Q508" s="1" t="s">
        <v>2380</v>
      </c>
      <c r="R508" s="1"/>
      <c r="S508" s="9">
        <v>-14032.83</v>
      </c>
      <c r="T508" s="1">
        <v>-14032.83</v>
      </c>
      <c r="U508" s="1" t="s">
        <v>2535</v>
      </c>
      <c r="V508" s="1" t="s">
        <v>15</v>
      </c>
      <c r="W508" s="1" t="s">
        <v>17</v>
      </c>
      <c r="X508" s="1" t="s">
        <v>17</v>
      </c>
      <c r="Y508" s="1" t="s">
        <v>17</v>
      </c>
      <c r="Z508" s="1" t="s">
        <v>17</v>
      </c>
      <c r="AA508" s="1" t="s">
        <v>17</v>
      </c>
      <c r="AB508" s="1">
        <v>0</v>
      </c>
      <c r="AC508" s="1" t="s">
        <v>17</v>
      </c>
    </row>
    <row r="509" spans="1:29">
      <c r="A509" s="1" t="s">
        <v>17</v>
      </c>
      <c r="B509" s="1" t="s">
        <v>2742</v>
      </c>
      <c r="C509" s="1" t="s">
        <v>2662</v>
      </c>
      <c r="D509" s="1" t="s">
        <v>42</v>
      </c>
      <c r="E509" s="1" t="s">
        <v>42</v>
      </c>
      <c r="F509" s="1" t="s">
        <v>17</v>
      </c>
      <c r="G509" s="1" t="s">
        <v>17</v>
      </c>
      <c r="H509" s="1" t="s">
        <v>17</v>
      </c>
      <c r="I509" s="1" t="s">
        <v>17</v>
      </c>
      <c r="J509" s="1" t="s">
        <v>17</v>
      </c>
      <c r="K509" s="1" t="s">
        <v>17</v>
      </c>
      <c r="L509" s="9">
        <v>0</v>
      </c>
      <c r="M509" s="1" t="s">
        <v>103</v>
      </c>
      <c r="N509" s="1" t="s">
        <v>265</v>
      </c>
      <c r="O509" s="1"/>
      <c r="P509" s="1" t="s">
        <v>2379</v>
      </c>
      <c r="Q509" s="1" t="s">
        <v>2380</v>
      </c>
      <c r="R509" s="1"/>
      <c r="S509" s="9">
        <v>31206</v>
      </c>
      <c r="T509" s="1">
        <v>31206</v>
      </c>
      <c r="U509" s="1" t="s">
        <v>2535</v>
      </c>
      <c r="V509" s="1" t="s">
        <v>15</v>
      </c>
      <c r="W509" s="1" t="s">
        <v>17</v>
      </c>
      <c r="X509" s="1" t="s">
        <v>17</v>
      </c>
      <c r="Y509" s="1" t="s">
        <v>17</v>
      </c>
      <c r="Z509" s="1" t="s">
        <v>17</v>
      </c>
      <c r="AA509" s="1" t="s">
        <v>17</v>
      </c>
      <c r="AB509" s="1">
        <v>0</v>
      </c>
      <c r="AC509" s="1" t="s">
        <v>17</v>
      </c>
    </row>
    <row r="510" spans="1:29">
      <c r="A510" s="1" t="s">
        <v>17</v>
      </c>
      <c r="B510" s="1" t="s">
        <v>2743</v>
      </c>
      <c r="C510" s="1" t="s">
        <v>2632</v>
      </c>
      <c r="D510" s="1" t="s">
        <v>42</v>
      </c>
      <c r="E510" s="1" t="s">
        <v>42</v>
      </c>
      <c r="F510" s="1" t="s">
        <v>17</v>
      </c>
      <c r="G510" s="1" t="s">
        <v>17</v>
      </c>
      <c r="H510" s="1" t="s">
        <v>17</v>
      </c>
      <c r="I510" s="1" t="s">
        <v>17</v>
      </c>
      <c r="J510" s="1" t="s">
        <v>17</v>
      </c>
      <c r="K510" s="1" t="s">
        <v>17</v>
      </c>
      <c r="L510" s="9">
        <v>0</v>
      </c>
      <c r="M510" s="1" t="s">
        <v>103</v>
      </c>
      <c r="N510" s="1" t="s">
        <v>850</v>
      </c>
      <c r="O510" s="1"/>
      <c r="P510" s="1" t="s">
        <v>2379</v>
      </c>
      <c r="Q510" s="1" t="s">
        <v>2380</v>
      </c>
      <c r="R510" s="1"/>
      <c r="S510" s="9">
        <v>-16755.62</v>
      </c>
      <c r="T510" s="1">
        <v>-16755.62</v>
      </c>
      <c r="U510" s="1" t="s">
        <v>2535</v>
      </c>
      <c r="V510" s="1" t="s">
        <v>15</v>
      </c>
      <c r="W510" s="1" t="s">
        <v>17</v>
      </c>
      <c r="X510" s="1" t="s">
        <v>17</v>
      </c>
      <c r="Y510" s="1" t="s">
        <v>17</v>
      </c>
      <c r="Z510" s="1" t="s">
        <v>17</v>
      </c>
      <c r="AA510" s="1" t="s">
        <v>17</v>
      </c>
      <c r="AB510" s="1">
        <v>0</v>
      </c>
      <c r="AC510" s="1" t="s">
        <v>17</v>
      </c>
    </row>
    <row r="511" spans="1:29">
      <c r="A511" s="1" t="s">
        <v>17</v>
      </c>
      <c r="B511" s="1" t="s">
        <v>2744</v>
      </c>
      <c r="C511" s="1" t="s">
        <v>2707</v>
      </c>
      <c r="D511" s="1" t="s">
        <v>42</v>
      </c>
      <c r="E511" s="1" t="s">
        <v>42</v>
      </c>
      <c r="F511" s="1" t="s">
        <v>17</v>
      </c>
      <c r="G511" s="1" t="s">
        <v>17</v>
      </c>
      <c r="H511" s="1" t="s">
        <v>17</v>
      </c>
      <c r="I511" s="1" t="s">
        <v>17</v>
      </c>
      <c r="J511" s="1" t="s">
        <v>17</v>
      </c>
      <c r="K511" s="1" t="s">
        <v>17</v>
      </c>
      <c r="L511" s="9">
        <v>0</v>
      </c>
      <c r="M511" s="1" t="s">
        <v>103</v>
      </c>
      <c r="N511" s="1" t="s">
        <v>1819</v>
      </c>
      <c r="O511" s="1"/>
      <c r="P511" s="1" t="s">
        <v>2379</v>
      </c>
      <c r="Q511" s="1" t="s">
        <v>2380</v>
      </c>
      <c r="R511" s="1"/>
      <c r="S511" s="9">
        <v>33930.129999999997</v>
      </c>
      <c r="T511" s="1">
        <v>33930.129999999997</v>
      </c>
      <c r="U511" s="1" t="s">
        <v>2535</v>
      </c>
      <c r="V511" s="1" t="s">
        <v>15</v>
      </c>
      <c r="W511" s="1" t="s">
        <v>17</v>
      </c>
      <c r="X511" s="1" t="s">
        <v>17</v>
      </c>
      <c r="Y511" s="1" t="s">
        <v>17</v>
      </c>
      <c r="Z511" s="1" t="s">
        <v>17</v>
      </c>
      <c r="AA511" s="1" t="s">
        <v>17</v>
      </c>
      <c r="AB511" s="1">
        <v>0</v>
      </c>
      <c r="AC511" s="1" t="s">
        <v>17</v>
      </c>
    </row>
    <row r="512" spans="1:29">
      <c r="A512" s="1" t="s">
        <v>17</v>
      </c>
      <c r="B512" s="1" t="s">
        <v>2745</v>
      </c>
      <c r="C512" s="1" t="s">
        <v>2650</v>
      </c>
      <c r="D512" s="1" t="s">
        <v>42</v>
      </c>
      <c r="E512" s="1" t="s">
        <v>42</v>
      </c>
      <c r="F512" s="1" t="s">
        <v>17</v>
      </c>
      <c r="G512" s="1" t="s">
        <v>17</v>
      </c>
      <c r="H512" s="1" t="s">
        <v>17</v>
      </c>
      <c r="I512" s="1" t="s">
        <v>17</v>
      </c>
      <c r="J512" s="1" t="s">
        <v>17</v>
      </c>
      <c r="K512" s="1" t="s">
        <v>17</v>
      </c>
      <c r="L512" s="9">
        <v>0</v>
      </c>
      <c r="M512" s="1" t="s">
        <v>103</v>
      </c>
      <c r="N512" s="1" t="s">
        <v>378</v>
      </c>
      <c r="O512" s="1"/>
      <c r="P512" s="1" t="s">
        <v>2379</v>
      </c>
      <c r="Q512" s="1" t="s">
        <v>2380</v>
      </c>
      <c r="R512" s="1"/>
      <c r="S512" s="9">
        <v>-56131.33</v>
      </c>
      <c r="T512" s="1">
        <v>-56131.33</v>
      </c>
      <c r="U512" s="1" t="s">
        <v>2535</v>
      </c>
      <c r="V512" s="1" t="s">
        <v>15</v>
      </c>
      <c r="W512" s="1" t="s">
        <v>17</v>
      </c>
      <c r="X512" s="1" t="s">
        <v>17</v>
      </c>
      <c r="Y512" s="1" t="s">
        <v>17</v>
      </c>
      <c r="Z512" s="1" t="s">
        <v>17</v>
      </c>
      <c r="AA512" s="1" t="s">
        <v>17</v>
      </c>
      <c r="AB512" s="1">
        <v>0</v>
      </c>
      <c r="AC512" s="1" t="s">
        <v>17</v>
      </c>
    </row>
    <row r="513" spans="1:29">
      <c r="A513" s="1" t="s">
        <v>17</v>
      </c>
      <c r="B513" s="1" t="s">
        <v>2746</v>
      </c>
      <c r="C513" s="1" t="s">
        <v>2747</v>
      </c>
      <c r="D513" s="1" t="s">
        <v>42</v>
      </c>
      <c r="E513" s="1" t="s">
        <v>42</v>
      </c>
      <c r="F513" s="1" t="s">
        <v>17</v>
      </c>
      <c r="G513" s="1" t="s">
        <v>17</v>
      </c>
      <c r="H513" s="1" t="s">
        <v>17</v>
      </c>
      <c r="I513" s="1" t="s">
        <v>17</v>
      </c>
      <c r="J513" s="1" t="s">
        <v>17</v>
      </c>
      <c r="K513" s="1" t="s">
        <v>17</v>
      </c>
      <c r="L513" s="9">
        <v>0</v>
      </c>
      <c r="M513" s="1" t="s">
        <v>103</v>
      </c>
      <c r="N513" s="1" t="s">
        <v>680</v>
      </c>
      <c r="O513" s="1"/>
      <c r="P513" s="1" t="s">
        <v>2379</v>
      </c>
      <c r="Q513" s="1" t="s">
        <v>2380</v>
      </c>
      <c r="R513" s="1"/>
      <c r="S513" s="9">
        <v>-17802.84</v>
      </c>
      <c r="T513" s="1">
        <v>-17802.84</v>
      </c>
      <c r="U513" s="1" t="s">
        <v>2535</v>
      </c>
      <c r="V513" s="1" t="s">
        <v>15</v>
      </c>
      <c r="W513" s="1" t="s">
        <v>17</v>
      </c>
      <c r="X513" s="1" t="s">
        <v>17</v>
      </c>
      <c r="Y513" s="1" t="s">
        <v>17</v>
      </c>
      <c r="Z513" s="1" t="s">
        <v>17</v>
      </c>
      <c r="AA513" s="1" t="s">
        <v>17</v>
      </c>
      <c r="AB513" s="1">
        <v>0</v>
      </c>
      <c r="AC513" s="1" t="s">
        <v>17</v>
      </c>
    </row>
    <row r="514" spans="1:29">
      <c r="A514" s="1" t="s">
        <v>17</v>
      </c>
      <c r="B514" s="1" t="s">
        <v>2748</v>
      </c>
      <c r="C514" s="1" t="s">
        <v>2678</v>
      </c>
      <c r="D514" s="1" t="s">
        <v>42</v>
      </c>
      <c r="E514" s="1" t="s">
        <v>42</v>
      </c>
      <c r="F514" s="1" t="s">
        <v>17</v>
      </c>
      <c r="G514" s="1" t="s">
        <v>17</v>
      </c>
      <c r="H514" s="1" t="s">
        <v>17</v>
      </c>
      <c r="I514" s="1" t="s">
        <v>17</v>
      </c>
      <c r="J514" s="1" t="s">
        <v>17</v>
      </c>
      <c r="K514" s="1" t="s">
        <v>17</v>
      </c>
      <c r="L514" s="9">
        <v>0</v>
      </c>
      <c r="M514" s="1" t="s">
        <v>103</v>
      </c>
      <c r="N514" s="1" t="s">
        <v>1826</v>
      </c>
      <c r="O514" s="1"/>
      <c r="P514" s="1" t="s">
        <v>2379</v>
      </c>
      <c r="Q514" s="1" t="s">
        <v>2380</v>
      </c>
      <c r="R514" s="1"/>
      <c r="S514" s="9">
        <v>-16127.29</v>
      </c>
      <c r="T514" s="1">
        <v>-16127.29</v>
      </c>
      <c r="U514" s="1" t="s">
        <v>2535</v>
      </c>
      <c r="V514" s="1" t="s">
        <v>15</v>
      </c>
      <c r="W514" s="1" t="s">
        <v>17</v>
      </c>
      <c r="X514" s="1" t="s">
        <v>17</v>
      </c>
      <c r="Y514" s="1" t="s">
        <v>17</v>
      </c>
      <c r="Z514" s="1" t="s">
        <v>17</v>
      </c>
      <c r="AA514" s="1" t="s">
        <v>17</v>
      </c>
      <c r="AB514" s="1">
        <v>0</v>
      </c>
      <c r="AC514" s="1" t="s">
        <v>17</v>
      </c>
    </row>
    <row r="515" spans="1:29">
      <c r="A515" s="1" t="s">
        <v>17</v>
      </c>
      <c r="B515" s="1" t="s">
        <v>2749</v>
      </c>
      <c r="C515" s="1" t="s">
        <v>2634</v>
      </c>
      <c r="D515" s="1" t="s">
        <v>42</v>
      </c>
      <c r="E515" s="1" t="s">
        <v>42</v>
      </c>
      <c r="F515" s="1" t="s">
        <v>17</v>
      </c>
      <c r="G515" s="1" t="s">
        <v>17</v>
      </c>
      <c r="H515" s="1" t="s">
        <v>17</v>
      </c>
      <c r="I515" s="1" t="s">
        <v>17</v>
      </c>
      <c r="J515" s="1" t="s">
        <v>17</v>
      </c>
      <c r="K515" s="1" t="s">
        <v>17</v>
      </c>
      <c r="L515" s="9">
        <v>0</v>
      </c>
      <c r="M515" s="1" t="s">
        <v>103</v>
      </c>
      <c r="N515" s="1" t="s">
        <v>875</v>
      </c>
      <c r="O515" s="1"/>
      <c r="P515" s="1" t="s">
        <v>2379</v>
      </c>
      <c r="Q515" s="1" t="s">
        <v>2380</v>
      </c>
      <c r="R515" s="1"/>
      <c r="S515" s="9">
        <v>-52151.86</v>
      </c>
      <c r="T515" s="1">
        <v>-52151.86</v>
      </c>
      <c r="U515" s="1" t="s">
        <v>2535</v>
      </c>
      <c r="V515" s="1" t="s">
        <v>15</v>
      </c>
      <c r="W515" s="1" t="s">
        <v>17</v>
      </c>
      <c r="X515" s="1" t="s">
        <v>17</v>
      </c>
      <c r="Y515" s="1" t="s">
        <v>17</v>
      </c>
      <c r="Z515" s="1" t="s">
        <v>17</v>
      </c>
      <c r="AA515" s="1" t="s">
        <v>17</v>
      </c>
      <c r="AB515" s="1">
        <v>0</v>
      </c>
      <c r="AC515" s="1" t="s">
        <v>17</v>
      </c>
    </row>
    <row r="516" spans="1:29">
      <c r="A516" s="1" t="s">
        <v>17</v>
      </c>
      <c r="B516" s="1" t="s">
        <v>2750</v>
      </c>
      <c r="C516" s="1" t="s">
        <v>2694</v>
      </c>
      <c r="D516" s="1" t="s">
        <v>42</v>
      </c>
      <c r="E516" s="1" t="s">
        <v>42</v>
      </c>
      <c r="F516" s="1" t="s">
        <v>17</v>
      </c>
      <c r="G516" s="1" t="s">
        <v>17</v>
      </c>
      <c r="H516" s="1" t="s">
        <v>17</v>
      </c>
      <c r="I516" s="1" t="s">
        <v>17</v>
      </c>
      <c r="J516" s="1" t="s">
        <v>17</v>
      </c>
      <c r="K516" s="1" t="s">
        <v>17</v>
      </c>
      <c r="L516" s="9">
        <v>0</v>
      </c>
      <c r="M516" s="1" t="s">
        <v>103</v>
      </c>
      <c r="N516" s="1" t="s">
        <v>130</v>
      </c>
      <c r="O516" s="1"/>
      <c r="P516" s="1" t="s">
        <v>2379</v>
      </c>
      <c r="Q516" s="1" t="s">
        <v>2380</v>
      </c>
      <c r="R516" s="1"/>
      <c r="S516" s="9">
        <v>31206.73</v>
      </c>
      <c r="T516" s="1">
        <v>31206.73</v>
      </c>
      <c r="U516" s="1" t="s">
        <v>2535</v>
      </c>
      <c r="V516" s="1" t="s">
        <v>15</v>
      </c>
      <c r="W516" s="1" t="s">
        <v>17</v>
      </c>
      <c r="X516" s="1" t="s">
        <v>17</v>
      </c>
      <c r="Y516" s="1" t="s">
        <v>17</v>
      </c>
      <c r="Z516" s="1" t="s">
        <v>17</v>
      </c>
      <c r="AA516" s="1" t="s">
        <v>17</v>
      </c>
      <c r="AB516" s="1">
        <v>0</v>
      </c>
      <c r="AC516" s="1" t="s">
        <v>17</v>
      </c>
    </row>
    <row r="517" spans="1:29">
      <c r="A517" s="1" t="s">
        <v>17</v>
      </c>
      <c r="B517" s="1" t="s">
        <v>2751</v>
      </c>
      <c r="C517" s="1" t="s">
        <v>2539</v>
      </c>
      <c r="D517" s="1" t="s">
        <v>42</v>
      </c>
      <c r="E517" s="1" t="s">
        <v>42</v>
      </c>
      <c r="F517" s="1" t="s">
        <v>17</v>
      </c>
      <c r="G517" s="1" t="s">
        <v>17</v>
      </c>
      <c r="H517" s="1" t="s">
        <v>17</v>
      </c>
      <c r="I517" s="1" t="s">
        <v>17</v>
      </c>
      <c r="J517" s="1" t="s">
        <v>17</v>
      </c>
      <c r="K517" s="1" t="s">
        <v>17</v>
      </c>
      <c r="L517" s="9">
        <v>0</v>
      </c>
      <c r="M517" s="1" t="s">
        <v>103</v>
      </c>
      <c r="N517" s="1" t="s">
        <v>1154</v>
      </c>
      <c r="O517" s="1"/>
      <c r="P517" s="1" t="s">
        <v>2379</v>
      </c>
      <c r="Q517" s="1" t="s">
        <v>2380</v>
      </c>
      <c r="R517" s="1"/>
      <c r="S517" s="9">
        <v>14451.72</v>
      </c>
      <c r="T517" s="1">
        <v>14451.72</v>
      </c>
      <c r="U517" s="1" t="s">
        <v>2535</v>
      </c>
      <c r="V517" s="1" t="s">
        <v>15</v>
      </c>
      <c r="W517" s="1" t="s">
        <v>17</v>
      </c>
      <c r="X517" s="1" t="s">
        <v>17</v>
      </c>
      <c r="Y517" s="1" t="s">
        <v>17</v>
      </c>
      <c r="Z517" s="1" t="s">
        <v>17</v>
      </c>
      <c r="AA517" s="1" t="s">
        <v>17</v>
      </c>
      <c r="AB517" s="1">
        <v>0</v>
      </c>
      <c r="AC517" s="1" t="s">
        <v>17</v>
      </c>
    </row>
    <row r="518" spans="1:29">
      <c r="A518" s="1" t="s">
        <v>17</v>
      </c>
      <c r="B518" s="1" t="s">
        <v>2752</v>
      </c>
      <c r="C518" s="1" t="s">
        <v>2700</v>
      </c>
      <c r="D518" s="1" t="s">
        <v>42</v>
      </c>
      <c r="E518" s="1" t="s">
        <v>42</v>
      </c>
      <c r="F518" s="1" t="s">
        <v>17</v>
      </c>
      <c r="G518" s="1" t="s">
        <v>17</v>
      </c>
      <c r="H518" s="1" t="s">
        <v>17</v>
      </c>
      <c r="I518" s="1" t="s">
        <v>17</v>
      </c>
      <c r="J518" s="1" t="s">
        <v>17</v>
      </c>
      <c r="K518" s="1" t="s">
        <v>17</v>
      </c>
      <c r="L518" s="9">
        <v>0</v>
      </c>
      <c r="M518" s="1" t="s">
        <v>103</v>
      </c>
      <c r="N518" s="1" t="s">
        <v>1551</v>
      </c>
      <c r="O518" s="1"/>
      <c r="P518" s="1" t="s">
        <v>2379</v>
      </c>
      <c r="Q518" s="1" t="s">
        <v>2380</v>
      </c>
      <c r="R518" s="1"/>
      <c r="S518" s="9">
        <v>31416.799999999999</v>
      </c>
      <c r="T518" s="1">
        <v>31416.799999999999</v>
      </c>
      <c r="U518" s="1" t="s">
        <v>2535</v>
      </c>
      <c r="V518" s="1" t="s">
        <v>15</v>
      </c>
      <c r="W518" s="1" t="s">
        <v>17</v>
      </c>
      <c r="X518" s="1" t="s">
        <v>17</v>
      </c>
      <c r="Y518" s="1" t="s">
        <v>17</v>
      </c>
      <c r="Z518" s="1" t="s">
        <v>17</v>
      </c>
      <c r="AA518" s="1" t="s">
        <v>17</v>
      </c>
      <c r="AB518" s="1">
        <v>0</v>
      </c>
      <c r="AC518" s="1" t="s">
        <v>17</v>
      </c>
    </row>
    <row r="519" spans="1:29">
      <c r="A519" s="1" t="s">
        <v>17</v>
      </c>
      <c r="B519" s="1" t="s">
        <v>2753</v>
      </c>
      <c r="C519" s="1" t="s">
        <v>2741</v>
      </c>
      <c r="D519" s="1" t="s">
        <v>42</v>
      </c>
      <c r="E519" s="1" t="s">
        <v>42</v>
      </c>
      <c r="F519" s="1" t="s">
        <v>17</v>
      </c>
      <c r="G519" s="1" t="s">
        <v>17</v>
      </c>
      <c r="H519" s="1" t="s">
        <v>17</v>
      </c>
      <c r="I519" s="1" t="s">
        <v>17</v>
      </c>
      <c r="J519" s="1" t="s">
        <v>17</v>
      </c>
      <c r="K519" s="1" t="s">
        <v>17</v>
      </c>
      <c r="L519" s="9">
        <v>0</v>
      </c>
      <c r="M519" s="1" t="s">
        <v>103</v>
      </c>
      <c r="N519" s="1" t="s">
        <v>290</v>
      </c>
      <c r="O519" s="1"/>
      <c r="P519" s="1" t="s">
        <v>2379</v>
      </c>
      <c r="Q519" s="1" t="s">
        <v>2380</v>
      </c>
      <c r="R519" s="1"/>
      <c r="S519" s="9">
        <v>14032</v>
      </c>
      <c r="T519" s="1">
        <v>14032</v>
      </c>
      <c r="U519" s="1" t="s">
        <v>2535</v>
      </c>
      <c r="V519" s="1" t="s">
        <v>15</v>
      </c>
      <c r="W519" s="1" t="s">
        <v>17</v>
      </c>
      <c r="X519" s="1" t="s">
        <v>17</v>
      </c>
      <c r="Y519" s="1" t="s">
        <v>17</v>
      </c>
      <c r="Z519" s="1" t="s">
        <v>17</v>
      </c>
      <c r="AA519" s="1" t="s">
        <v>17</v>
      </c>
      <c r="AB519" s="1">
        <v>0</v>
      </c>
      <c r="AC519" s="1" t="s">
        <v>17</v>
      </c>
    </row>
    <row r="520" spans="1:29">
      <c r="A520" s="1" t="s">
        <v>17</v>
      </c>
      <c r="B520" s="1" t="s">
        <v>2754</v>
      </c>
      <c r="C520" s="1" t="s">
        <v>2755</v>
      </c>
      <c r="D520" s="1" t="s">
        <v>42</v>
      </c>
      <c r="E520" s="1" t="s">
        <v>42</v>
      </c>
      <c r="F520" s="1" t="s">
        <v>17</v>
      </c>
      <c r="G520" s="1" t="s">
        <v>17</v>
      </c>
      <c r="H520" s="1" t="s">
        <v>17</v>
      </c>
      <c r="I520" s="1" t="s">
        <v>17</v>
      </c>
      <c r="J520" s="1" t="s">
        <v>17</v>
      </c>
      <c r="K520" s="1" t="s">
        <v>17</v>
      </c>
      <c r="L520" s="9">
        <v>0</v>
      </c>
      <c r="M520" s="1" t="s">
        <v>103</v>
      </c>
      <c r="N520" s="1" t="s">
        <v>409</v>
      </c>
      <c r="O520" s="1"/>
      <c r="P520" s="1" t="s">
        <v>2379</v>
      </c>
      <c r="Q520" s="1" t="s">
        <v>2380</v>
      </c>
      <c r="R520" s="1"/>
      <c r="S520" s="9">
        <v>29950.67</v>
      </c>
      <c r="T520" s="1">
        <v>29950.67</v>
      </c>
      <c r="U520" s="1" t="s">
        <v>2535</v>
      </c>
      <c r="V520" s="1" t="s">
        <v>15</v>
      </c>
      <c r="W520" s="1" t="s">
        <v>17</v>
      </c>
      <c r="X520" s="1" t="s">
        <v>17</v>
      </c>
      <c r="Y520" s="1" t="s">
        <v>17</v>
      </c>
      <c r="Z520" s="1" t="s">
        <v>17</v>
      </c>
      <c r="AA520" s="1" t="s">
        <v>17</v>
      </c>
      <c r="AB520" s="1">
        <v>0</v>
      </c>
      <c r="AC520" s="1" t="s">
        <v>17</v>
      </c>
    </row>
    <row r="521" spans="1:29">
      <c r="A521" s="1" t="s">
        <v>17</v>
      </c>
      <c r="B521" s="1" t="s">
        <v>2756</v>
      </c>
      <c r="C521" s="1" t="s">
        <v>2757</v>
      </c>
      <c r="D521" s="1" t="s">
        <v>42</v>
      </c>
      <c r="E521" s="1" t="s">
        <v>42</v>
      </c>
      <c r="F521" s="1" t="s">
        <v>17</v>
      </c>
      <c r="G521" s="1" t="s">
        <v>17</v>
      </c>
      <c r="H521" s="1" t="s">
        <v>17</v>
      </c>
      <c r="I521" s="1" t="s">
        <v>17</v>
      </c>
      <c r="J521" s="1" t="s">
        <v>17</v>
      </c>
      <c r="K521" s="1" t="s">
        <v>17</v>
      </c>
      <c r="L521" s="9">
        <v>0</v>
      </c>
      <c r="M521" s="1" t="s">
        <v>103</v>
      </c>
      <c r="N521" s="1" t="s">
        <v>251</v>
      </c>
      <c r="O521" s="1"/>
      <c r="P521" s="1" t="s">
        <v>2379</v>
      </c>
      <c r="Q521" s="1" t="s">
        <v>2380</v>
      </c>
      <c r="R521" s="1"/>
      <c r="S521" s="9">
        <v>-29322.34</v>
      </c>
      <c r="T521" s="1">
        <v>-29322.34</v>
      </c>
      <c r="U521" s="1" t="s">
        <v>2535</v>
      </c>
      <c r="V521" s="1" t="s">
        <v>15</v>
      </c>
      <c r="W521" s="1" t="s">
        <v>17</v>
      </c>
      <c r="X521" s="1" t="s">
        <v>17</v>
      </c>
      <c r="Y521" s="1" t="s">
        <v>17</v>
      </c>
      <c r="Z521" s="1" t="s">
        <v>17</v>
      </c>
      <c r="AA521" s="1" t="s">
        <v>17</v>
      </c>
      <c r="AB521" s="1">
        <v>0</v>
      </c>
      <c r="AC521" s="1" t="s">
        <v>17</v>
      </c>
    </row>
    <row r="522" spans="1:29">
      <c r="A522" s="1" t="s">
        <v>17</v>
      </c>
      <c r="B522" s="1" t="s">
        <v>2758</v>
      </c>
      <c r="C522" s="1" t="s">
        <v>2603</v>
      </c>
      <c r="D522" s="1" t="s">
        <v>42</v>
      </c>
      <c r="E522" s="1" t="s">
        <v>42</v>
      </c>
      <c r="F522" s="1" t="s">
        <v>17</v>
      </c>
      <c r="G522" s="1" t="s">
        <v>17</v>
      </c>
      <c r="H522" s="1" t="s">
        <v>17</v>
      </c>
      <c r="I522" s="1" t="s">
        <v>17</v>
      </c>
      <c r="J522" s="1" t="s">
        <v>17</v>
      </c>
      <c r="K522" s="1" t="s">
        <v>17</v>
      </c>
      <c r="L522" s="9">
        <v>0</v>
      </c>
      <c r="M522" s="1" t="s">
        <v>103</v>
      </c>
      <c r="N522" s="1" t="s">
        <v>412</v>
      </c>
      <c r="O522" s="1"/>
      <c r="P522" s="1" t="s">
        <v>2379</v>
      </c>
      <c r="Q522" s="1" t="s">
        <v>2380</v>
      </c>
      <c r="R522" s="1"/>
      <c r="S522" s="9">
        <v>30160.13</v>
      </c>
      <c r="T522" s="1">
        <v>30160.13</v>
      </c>
      <c r="U522" s="1" t="s">
        <v>2535</v>
      </c>
      <c r="V522" s="1" t="s">
        <v>15</v>
      </c>
      <c r="W522" s="1" t="s">
        <v>17</v>
      </c>
      <c r="X522" s="1" t="s">
        <v>17</v>
      </c>
      <c r="Y522" s="1" t="s">
        <v>17</v>
      </c>
      <c r="Z522" s="1" t="s">
        <v>17</v>
      </c>
      <c r="AA522" s="1" t="s">
        <v>17</v>
      </c>
      <c r="AB522" s="1">
        <v>0</v>
      </c>
      <c r="AC522" s="1" t="s">
        <v>17</v>
      </c>
    </row>
    <row r="523" spans="1:29">
      <c r="A523" s="1" t="s">
        <v>17</v>
      </c>
      <c r="B523" s="1" t="s">
        <v>2759</v>
      </c>
      <c r="C523" s="1" t="s">
        <v>2722</v>
      </c>
      <c r="D523" s="1" t="s">
        <v>42</v>
      </c>
      <c r="E523" s="1" t="s">
        <v>42</v>
      </c>
      <c r="F523" s="1" t="s">
        <v>17</v>
      </c>
      <c r="G523" s="1" t="s">
        <v>17</v>
      </c>
      <c r="H523" s="1" t="s">
        <v>17</v>
      </c>
      <c r="I523" s="1" t="s">
        <v>17</v>
      </c>
      <c r="J523" s="1" t="s">
        <v>17</v>
      </c>
      <c r="K523" s="1" t="s">
        <v>17</v>
      </c>
      <c r="L523" s="9">
        <v>0</v>
      </c>
      <c r="M523" s="1" t="s">
        <v>103</v>
      </c>
      <c r="N523" s="1" t="s">
        <v>190</v>
      </c>
      <c r="O523" s="1"/>
      <c r="P523" s="1" t="s">
        <v>2379</v>
      </c>
      <c r="Q523" s="1" t="s">
        <v>2380</v>
      </c>
      <c r="R523" s="1"/>
      <c r="S523" s="9">
        <v>-77075.87</v>
      </c>
      <c r="T523" s="1">
        <v>-77075.87</v>
      </c>
      <c r="U523" s="1" t="s">
        <v>2535</v>
      </c>
      <c r="V523" s="1" t="s">
        <v>15</v>
      </c>
      <c r="W523" s="1" t="s">
        <v>17</v>
      </c>
      <c r="X523" s="1" t="s">
        <v>17</v>
      </c>
      <c r="Y523" s="1" t="s">
        <v>17</v>
      </c>
      <c r="Z523" s="1" t="s">
        <v>17</v>
      </c>
      <c r="AA523" s="1" t="s">
        <v>17</v>
      </c>
      <c r="AB523" s="1">
        <v>0</v>
      </c>
      <c r="AC523" s="1" t="s">
        <v>17</v>
      </c>
    </row>
    <row r="524" spans="1:29">
      <c r="A524" s="1" t="s">
        <v>17</v>
      </c>
      <c r="B524" s="1" t="s">
        <v>2760</v>
      </c>
      <c r="C524" s="1" t="s">
        <v>2601</v>
      </c>
      <c r="D524" s="1" t="s">
        <v>42</v>
      </c>
      <c r="E524" s="1" t="s">
        <v>42</v>
      </c>
      <c r="F524" s="1" t="s">
        <v>17</v>
      </c>
      <c r="G524" s="1" t="s">
        <v>17</v>
      </c>
      <c r="H524" s="1" t="s">
        <v>17</v>
      </c>
      <c r="I524" s="1" t="s">
        <v>17</v>
      </c>
      <c r="J524" s="1" t="s">
        <v>17</v>
      </c>
      <c r="K524" s="1" t="s">
        <v>17</v>
      </c>
      <c r="L524" s="9">
        <v>0</v>
      </c>
      <c r="M524" s="1" t="s">
        <v>103</v>
      </c>
      <c r="N524" s="1" t="s">
        <v>1759</v>
      </c>
      <c r="O524" s="1"/>
      <c r="P524" s="1" t="s">
        <v>2379</v>
      </c>
      <c r="Q524" s="1" t="s">
        <v>2380</v>
      </c>
      <c r="R524" s="1"/>
      <c r="S524" s="9">
        <v>31626.240000000002</v>
      </c>
      <c r="T524" s="1">
        <v>31626.240000000002</v>
      </c>
      <c r="U524" s="1" t="s">
        <v>2535</v>
      </c>
      <c r="V524" s="1" t="s">
        <v>15</v>
      </c>
      <c r="W524" s="1" t="s">
        <v>17</v>
      </c>
      <c r="X524" s="1" t="s">
        <v>17</v>
      </c>
      <c r="Y524" s="1" t="s">
        <v>17</v>
      </c>
      <c r="Z524" s="1" t="s">
        <v>17</v>
      </c>
      <c r="AA524" s="1" t="s">
        <v>17</v>
      </c>
      <c r="AB524" s="1">
        <v>0</v>
      </c>
      <c r="AC524" s="1" t="s">
        <v>17</v>
      </c>
    </row>
    <row r="525" spans="1:29">
      <c r="A525" s="1" t="s">
        <v>17</v>
      </c>
      <c r="B525" s="1" t="s">
        <v>2761</v>
      </c>
      <c r="C525" s="1" t="s">
        <v>2762</v>
      </c>
      <c r="D525" s="1" t="s">
        <v>42</v>
      </c>
      <c r="E525" s="1" t="s">
        <v>42</v>
      </c>
      <c r="F525" s="1" t="s">
        <v>17</v>
      </c>
      <c r="G525" s="1" t="s">
        <v>17</v>
      </c>
      <c r="H525" s="1" t="s">
        <v>17</v>
      </c>
      <c r="I525" s="1" t="s">
        <v>17</v>
      </c>
      <c r="J525" s="1" t="s">
        <v>17</v>
      </c>
      <c r="K525" s="1" t="s">
        <v>17</v>
      </c>
      <c r="L525" s="9">
        <v>0</v>
      </c>
      <c r="M525" s="1" t="s">
        <v>103</v>
      </c>
      <c r="N525" s="1" t="s">
        <v>1011</v>
      </c>
      <c r="O525" s="1"/>
      <c r="P525" s="1" t="s">
        <v>2379</v>
      </c>
      <c r="Q525" s="1" t="s">
        <v>2380</v>
      </c>
      <c r="R525" s="1"/>
      <c r="S525" s="9">
        <v>-15498.94</v>
      </c>
      <c r="T525" s="1">
        <v>-15498.94</v>
      </c>
      <c r="U525" s="1" t="s">
        <v>2535</v>
      </c>
      <c r="V525" s="1" t="s">
        <v>15</v>
      </c>
      <c r="W525" s="1" t="s">
        <v>17</v>
      </c>
      <c r="X525" s="1" t="s">
        <v>17</v>
      </c>
      <c r="Y525" s="1" t="s">
        <v>17</v>
      </c>
      <c r="Z525" s="1" t="s">
        <v>17</v>
      </c>
      <c r="AA525" s="1" t="s">
        <v>17</v>
      </c>
      <c r="AB525" s="1">
        <v>0</v>
      </c>
      <c r="AC525" s="1" t="s">
        <v>17</v>
      </c>
    </row>
    <row r="526" spans="1:29">
      <c r="A526" s="1" t="s">
        <v>17</v>
      </c>
      <c r="B526" s="1" t="s">
        <v>2763</v>
      </c>
      <c r="C526" s="1" t="s">
        <v>2729</v>
      </c>
      <c r="D526" s="1" t="s">
        <v>42</v>
      </c>
      <c r="E526" s="1" t="s">
        <v>42</v>
      </c>
      <c r="F526" s="1" t="s">
        <v>17</v>
      </c>
      <c r="G526" s="1" t="s">
        <v>17</v>
      </c>
      <c r="H526" s="1" t="s">
        <v>17</v>
      </c>
      <c r="I526" s="1" t="s">
        <v>17</v>
      </c>
      <c r="J526" s="1" t="s">
        <v>17</v>
      </c>
      <c r="K526" s="1" t="s">
        <v>17</v>
      </c>
      <c r="L526" s="9">
        <v>0</v>
      </c>
      <c r="M526" s="1" t="s">
        <v>103</v>
      </c>
      <c r="N526" s="1" t="s">
        <v>151</v>
      </c>
      <c r="O526" s="1"/>
      <c r="P526" s="1" t="s">
        <v>2379</v>
      </c>
      <c r="Q526" s="1" t="s">
        <v>2380</v>
      </c>
      <c r="R526" s="1"/>
      <c r="S526" s="9">
        <v>-82521.42</v>
      </c>
      <c r="T526" s="1">
        <v>-82521.42</v>
      </c>
      <c r="U526" s="1" t="s">
        <v>2535</v>
      </c>
      <c r="V526" s="1" t="s">
        <v>15</v>
      </c>
      <c r="W526" s="1" t="s">
        <v>17</v>
      </c>
      <c r="X526" s="1" t="s">
        <v>17</v>
      </c>
      <c r="Y526" s="1" t="s">
        <v>17</v>
      </c>
      <c r="Z526" s="1" t="s">
        <v>17</v>
      </c>
      <c r="AA526" s="1" t="s">
        <v>17</v>
      </c>
      <c r="AB526" s="1">
        <v>0</v>
      </c>
      <c r="AC526" s="1" t="s">
        <v>17</v>
      </c>
    </row>
    <row r="527" spans="1:29">
      <c r="A527" s="1" t="s">
        <v>17</v>
      </c>
      <c r="B527" s="1" t="s">
        <v>2764</v>
      </c>
      <c r="C527" s="1" t="s">
        <v>2606</v>
      </c>
      <c r="D527" s="1" t="s">
        <v>42</v>
      </c>
      <c r="E527" s="1" t="s">
        <v>42</v>
      </c>
      <c r="F527" s="1" t="s">
        <v>17</v>
      </c>
      <c r="G527" s="1" t="s">
        <v>17</v>
      </c>
      <c r="H527" s="1" t="s">
        <v>17</v>
      </c>
      <c r="I527" s="1" t="s">
        <v>17</v>
      </c>
      <c r="J527" s="1" t="s">
        <v>17</v>
      </c>
      <c r="K527" s="1" t="s">
        <v>17</v>
      </c>
      <c r="L527" s="9">
        <v>0</v>
      </c>
      <c r="M527" s="1" t="s">
        <v>103</v>
      </c>
      <c r="N527" s="1" t="s">
        <v>2607</v>
      </c>
      <c r="O527" s="1"/>
      <c r="P527" s="1" t="s">
        <v>2379</v>
      </c>
      <c r="Q527" s="1" t="s">
        <v>2380</v>
      </c>
      <c r="R527" s="1"/>
      <c r="S527" s="9">
        <v>14451.72</v>
      </c>
      <c r="T527" s="1">
        <v>14451.72</v>
      </c>
      <c r="U527" s="1" t="s">
        <v>2535</v>
      </c>
      <c r="V527" s="1" t="s">
        <v>15</v>
      </c>
      <c r="W527" s="1" t="s">
        <v>17</v>
      </c>
      <c r="X527" s="1" t="s">
        <v>17</v>
      </c>
      <c r="Y527" s="1" t="s">
        <v>17</v>
      </c>
      <c r="Z527" s="1" t="s">
        <v>17</v>
      </c>
      <c r="AA527" s="1" t="s">
        <v>17</v>
      </c>
      <c r="AB527" s="1">
        <v>0</v>
      </c>
      <c r="AC527" s="1" t="s">
        <v>17</v>
      </c>
    </row>
    <row r="528" spans="1:29">
      <c r="A528" s="1" t="s">
        <v>17</v>
      </c>
      <c r="B528" s="1" t="s">
        <v>2765</v>
      </c>
      <c r="C528" s="1" t="s">
        <v>2757</v>
      </c>
      <c r="D528" s="1" t="s">
        <v>42</v>
      </c>
      <c r="E528" s="1" t="s">
        <v>42</v>
      </c>
      <c r="F528" s="1" t="s">
        <v>17</v>
      </c>
      <c r="G528" s="1" t="s">
        <v>17</v>
      </c>
      <c r="H528" s="1" t="s">
        <v>17</v>
      </c>
      <c r="I528" s="1" t="s">
        <v>17</v>
      </c>
      <c r="J528" s="1" t="s">
        <v>17</v>
      </c>
      <c r="K528" s="1" t="s">
        <v>17</v>
      </c>
      <c r="L528" s="9">
        <v>0</v>
      </c>
      <c r="M528" s="1" t="s">
        <v>103</v>
      </c>
      <c r="N528" s="1" t="s">
        <v>251</v>
      </c>
      <c r="O528" s="1"/>
      <c r="P528" s="1" t="s">
        <v>2379</v>
      </c>
      <c r="Q528" s="1" t="s">
        <v>2380</v>
      </c>
      <c r="R528" s="1"/>
      <c r="S528" s="9">
        <v>29322.34</v>
      </c>
      <c r="T528" s="1">
        <v>29322.34</v>
      </c>
      <c r="U528" s="1" t="s">
        <v>2535</v>
      </c>
      <c r="V528" s="1" t="s">
        <v>15</v>
      </c>
      <c r="W528" s="1" t="s">
        <v>17</v>
      </c>
      <c r="X528" s="1" t="s">
        <v>17</v>
      </c>
      <c r="Y528" s="1" t="s">
        <v>17</v>
      </c>
      <c r="Z528" s="1" t="s">
        <v>17</v>
      </c>
      <c r="AA528" s="1" t="s">
        <v>17</v>
      </c>
      <c r="AB528" s="1">
        <v>0</v>
      </c>
      <c r="AC528" s="1" t="s">
        <v>17</v>
      </c>
    </row>
    <row r="529" spans="1:29">
      <c r="A529" s="1" t="s">
        <v>17</v>
      </c>
      <c r="B529" s="1" t="s">
        <v>2766</v>
      </c>
      <c r="C529" s="1" t="s">
        <v>2589</v>
      </c>
      <c r="D529" s="1" t="s">
        <v>42</v>
      </c>
      <c r="E529" s="1" t="s">
        <v>42</v>
      </c>
      <c r="F529" s="1" t="s">
        <v>17</v>
      </c>
      <c r="G529" s="1" t="s">
        <v>17</v>
      </c>
      <c r="H529" s="1" t="s">
        <v>17</v>
      </c>
      <c r="I529" s="1" t="s">
        <v>17</v>
      </c>
      <c r="J529" s="1" t="s">
        <v>17</v>
      </c>
      <c r="K529" s="1" t="s">
        <v>17</v>
      </c>
      <c r="L529" s="9">
        <v>0</v>
      </c>
      <c r="M529" s="1" t="s">
        <v>103</v>
      </c>
      <c r="N529" s="1" t="s">
        <v>2147</v>
      </c>
      <c r="O529" s="1"/>
      <c r="P529" s="1" t="s">
        <v>2379</v>
      </c>
      <c r="Q529" s="1" t="s">
        <v>2380</v>
      </c>
      <c r="R529" s="1"/>
      <c r="S529" s="9">
        <v>-57806.9</v>
      </c>
      <c r="T529" s="1">
        <v>-57806.9</v>
      </c>
      <c r="U529" s="1" t="s">
        <v>2535</v>
      </c>
      <c r="V529" s="1" t="s">
        <v>15</v>
      </c>
      <c r="W529" s="1" t="s">
        <v>17</v>
      </c>
      <c r="X529" s="1" t="s">
        <v>17</v>
      </c>
      <c r="Y529" s="1" t="s">
        <v>17</v>
      </c>
      <c r="Z529" s="1" t="s">
        <v>17</v>
      </c>
      <c r="AA529" s="1" t="s">
        <v>17</v>
      </c>
      <c r="AB529" s="1">
        <v>0</v>
      </c>
      <c r="AC529" s="1" t="s">
        <v>17</v>
      </c>
    </row>
    <row r="530" spans="1:29">
      <c r="A530" s="1" t="s">
        <v>17</v>
      </c>
      <c r="B530" s="1" t="s">
        <v>2767</v>
      </c>
      <c r="C530" s="1" t="s">
        <v>2543</v>
      </c>
      <c r="D530" s="1" t="s">
        <v>42</v>
      </c>
      <c r="E530" s="1" t="s">
        <v>42</v>
      </c>
      <c r="F530" s="1" t="s">
        <v>17</v>
      </c>
      <c r="G530" s="1" t="s">
        <v>17</v>
      </c>
      <c r="H530" s="1" t="s">
        <v>17</v>
      </c>
      <c r="I530" s="1" t="s">
        <v>17</v>
      </c>
      <c r="J530" s="1" t="s">
        <v>17</v>
      </c>
      <c r="K530" s="1" t="s">
        <v>17</v>
      </c>
      <c r="L530" s="9">
        <v>0</v>
      </c>
      <c r="M530" s="1" t="s">
        <v>103</v>
      </c>
      <c r="N530" s="1" t="s">
        <v>901</v>
      </c>
      <c r="O530" s="1"/>
      <c r="P530" s="1" t="s">
        <v>2379</v>
      </c>
      <c r="Q530" s="1" t="s">
        <v>2380</v>
      </c>
      <c r="R530" s="1"/>
      <c r="S530" s="9">
        <v>-25342.9</v>
      </c>
      <c r="T530" s="1">
        <v>-25342.9</v>
      </c>
      <c r="U530" s="1" t="s">
        <v>2535</v>
      </c>
      <c r="V530" s="1" t="s">
        <v>15</v>
      </c>
      <c r="W530" s="1" t="s">
        <v>17</v>
      </c>
      <c r="X530" s="1" t="s">
        <v>17</v>
      </c>
      <c r="Y530" s="1" t="s">
        <v>17</v>
      </c>
      <c r="Z530" s="1" t="s">
        <v>17</v>
      </c>
      <c r="AA530" s="1" t="s">
        <v>17</v>
      </c>
      <c r="AB530" s="1">
        <v>0</v>
      </c>
      <c r="AC530" s="1" t="s">
        <v>17</v>
      </c>
    </row>
    <row r="531" spans="1:29">
      <c r="A531" s="1" t="s">
        <v>17</v>
      </c>
      <c r="B531" s="1" t="s">
        <v>2768</v>
      </c>
      <c r="C531" s="1" t="s">
        <v>2769</v>
      </c>
      <c r="D531" s="1" t="s">
        <v>42</v>
      </c>
      <c r="E531" s="1" t="s">
        <v>42</v>
      </c>
      <c r="F531" s="1" t="s">
        <v>17</v>
      </c>
      <c r="G531" s="1" t="s">
        <v>17</v>
      </c>
      <c r="H531" s="1" t="s">
        <v>17</v>
      </c>
      <c r="I531" s="1" t="s">
        <v>17</v>
      </c>
      <c r="J531" s="1" t="s">
        <v>17</v>
      </c>
      <c r="K531" s="1" t="s">
        <v>17</v>
      </c>
      <c r="L531" s="9">
        <v>0</v>
      </c>
      <c r="M531" s="1" t="s">
        <v>103</v>
      </c>
      <c r="N531" s="1" t="s">
        <v>958</v>
      </c>
      <c r="O531" s="1"/>
      <c r="P531" s="1" t="s">
        <v>2379</v>
      </c>
      <c r="Q531" s="1" t="s">
        <v>2380</v>
      </c>
      <c r="R531" s="1"/>
      <c r="S531" s="9">
        <v>56340.800000000003</v>
      </c>
      <c r="T531" s="1">
        <v>56340.800000000003</v>
      </c>
      <c r="U531" s="1" t="s">
        <v>2535</v>
      </c>
      <c r="V531" s="1" t="s">
        <v>15</v>
      </c>
      <c r="W531" s="1" t="s">
        <v>17</v>
      </c>
      <c r="X531" s="1" t="s">
        <v>17</v>
      </c>
      <c r="Y531" s="1" t="s">
        <v>17</v>
      </c>
      <c r="Z531" s="1" t="s">
        <v>17</v>
      </c>
      <c r="AA531" s="1" t="s">
        <v>17</v>
      </c>
      <c r="AB531" s="1">
        <v>0</v>
      </c>
      <c r="AC531" s="1" t="s">
        <v>17</v>
      </c>
    </row>
    <row r="532" spans="1:29">
      <c r="A532" s="1" t="s">
        <v>17</v>
      </c>
      <c r="B532" s="1" t="s">
        <v>2770</v>
      </c>
      <c r="C532" s="1" t="s">
        <v>2771</v>
      </c>
      <c r="D532" s="1" t="s">
        <v>42</v>
      </c>
      <c r="E532" s="1" t="s">
        <v>42</v>
      </c>
      <c r="F532" s="1" t="s">
        <v>17</v>
      </c>
      <c r="G532" s="1" t="s">
        <v>17</v>
      </c>
      <c r="H532" s="1" t="s">
        <v>17</v>
      </c>
      <c r="I532" s="1" t="s">
        <v>17</v>
      </c>
      <c r="J532" s="1" t="s">
        <v>17</v>
      </c>
      <c r="K532" s="1" t="s">
        <v>17</v>
      </c>
      <c r="L532" s="9">
        <v>0</v>
      </c>
      <c r="M532" s="1" t="s">
        <v>103</v>
      </c>
      <c r="N532" s="1" t="s">
        <v>174</v>
      </c>
      <c r="O532" s="1"/>
      <c r="P532" s="1" t="s">
        <v>2379</v>
      </c>
      <c r="Q532" s="1" t="s">
        <v>2380</v>
      </c>
      <c r="R532" s="1"/>
      <c r="S532" s="9">
        <v>-51523.54</v>
      </c>
      <c r="T532" s="1">
        <v>-51523.54</v>
      </c>
      <c r="U532" s="1" t="s">
        <v>2535</v>
      </c>
      <c r="V532" s="1" t="s">
        <v>15</v>
      </c>
      <c r="W532" s="1" t="s">
        <v>17</v>
      </c>
      <c r="X532" s="1" t="s">
        <v>17</v>
      </c>
      <c r="Y532" s="1" t="s">
        <v>17</v>
      </c>
      <c r="Z532" s="1" t="s">
        <v>17</v>
      </c>
      <c r="AA532" s="1" t="s">
        <v>17</v>
      </c>
      <c r="AB532" s="1">
        <v>0</v>
      </c>
      <c r="AC532" s="1" t="s">
        <v>17</v>
      </c>
    </row>
    <row r="533" spans="1:29">
      <c r="A533" s="1" t="s">
        <v>17</v>
      </c>
      <c r="B533" s="1" t="s">
        <v>2772</v>
      </c>
      <c r="C533" s="1" t="s">
        <v>2771</v>
      </c>
      <c r="D533" s="1" t="s">
        <v>42</v>
      </c>
      <c r="E533" s="1" t="s">
        <v>42</v>
      </c>
      <c r="F533" s="1" t="s">
        <v>17</v>
      </c>
      <c r="G533" s="1" t="s">
        <v>17</v>
      </c>
      <c r="H533" s="1" t="s">
        <v>17</v>
      </c>
      <c r="I533" s="1" t="s">
        <v>17</v>
      </c>
      <c r="J533" s="1" t="s">
        <v>17</v>
      </c>
      <c r="K533" s="1" t="s">
        <v>17</v>
      </c>
      <c r="L533" s="9">
        <v>0</v>
      </c>
      <c r="M533" s="1" t="s">
        <v>103</v>
      </c>
      <c r="N533" s="1" t="s">
        <v>174</v>
      </c>
      <c r="O533" s="1"/>
      <c r="P533" s="1" t="s">
        <v>2379</v>
      </c>
      <c r="Q533" s="1" t="s">
        <v>2380</v>
      </c>
      <c r="R533" s="1"/>
      <c r="S533" s="9">
        <v>51523.55</v>
      </c>
      <c r="T533" s="1">
        <v>51523.55</v>
      </c>
      <c r="U533" s="1" t="s">
        <v>2535</v>
      </c>
      <c r="V533" s="1" t="s">
        <v>15</v>
      </c>
      <c r="W533" s="1" t="s">
        <v>17</v>
      </c>
      <c r="X533" s="1" t="s">
        <v>17</v>
      </c>
      <c r="Y533" s="1" t="s">
        <v>17</v>
      </c>
      <c r="Z533" s="1" t="s">
        <v>17</v>
      </c>
      <c r="AA533" s="1" t="s">
        <v>17</v>
      </c>
      <c r="AB533" s="1">
        <v>0</v>
      </c>
      <c r="AC533" s="1" t="s">
        <v>17</v>
      </c>
    </row>
    <row r="534" spans="1:29">
      <c r="A534" s="1" t="s">
        <v>17</v>
      </c>
      <c r="B534" s="1" t="s">
        <v>2773</v>
      </c>
      <c r="C534" s="1" t="s">
        <v>2666</v>
      </c>
      <c r="D534" s="1" t="s">
        <v>42</v>
      </c>
      <c r="E534" s="1" t="s">
        <v>42</v>
      </c>
      <c r="F534" s="1" t="s">
        <v>17</v>
      </c>
      <c r="G534" s="1" t="s">
        <v>17</v>
      </c>
      <c r="H534" s="1" t="s">
        <v>17</v>
      </c>
      <c r="I534" s="1" t="s">
        <v>17</v>
      </c>
      <c r="J534" s="1" t="s">
        <v>17</v>
      </c>
      <c r="K534" s="1" t="s">
        <v>17</v>
      </c>
      <c r="L534" s="9">
        <v>0</v>
      </c>
      <c r="M534" s="1" t="s">
        <v>103</v>
      </c>
      <c r="N534" s="1" t="s">
        <v>783</v>
      </c>
      <c r="O534" s="1"/>
      <c r="P534" s="1" t="s">
        <v>2379</v>
      </c>
      <c r="Q534" s="1" t="s">
        <v>2380</v>
      </c>
      <c r="R534" s="1"/>
      <c r="S534" s="9">
        <v>19060</v>
      </c>
      <c r="T534" s="1">
        <v>19060</v>
      </c>
      <c r="U534" s="1" t="s">
        <v>2535</v>
      </c>
      <c r="V534" s="1" t="s">
        <v>15</v>
      </c>
      <c r="W534" s="1" t="s">
        <v>17</v>
      </c>
      <c r="X534" s="1" t="s">
        <v>17</v>
      </c>
      <c r="Y534" s="1" t="s">
        <v>17</v>
      </c>
      <c r="Z534" s="1" t="s">
        <v>17</v>
      </c>
      <c r="AA534" s="1" t="s">
        <v>17</v>
      </c>
      <c r="AB534" s="1">
        <v>0</v>
      </c>
      <c r="AC534" s="1" t="s">
        <v>17</v>
      </c>
    </row>
    <row r="535" spans="1:29">
      <c r="A535" s="1" t="s">
        <v>17</v>
      </c>
      <c r="B535" s="1" t="s">
        <v>2774</v>
      </c>
      <c r="C535" s="1" t="s">
        <v>2775</v>
      </c>
      <c r="D535" s="1" t="s">
        <v>42</v>
      </c>
      <c r="E535" s="1" t="s">
        <v>42</v>
      </c>
      <c r="F535" s="1" t="s">
        <v>17</v>
      </c>
      <c r="G535" s="1" t="s">
        <v>17</v>
      </c>
      <c r="H535" s="1" t="s">
        <v>17</v>
      </c>
      <c r="I535" s="1" t="s">
        <v>17</v>
      </c>
      <c r="J535" s="1" t="s">
        <v>17</v>
      </c>
      <c r="K535" s="1" t="s">
        <v>17</v>
      </c>
      <c r="L535" s="9">
        <v>0</v>
      </c>
      <c r="M535" s="1" t="s">
        <v>103</v>
      </c>
      <c r="N535" s="1" t="s">
        <v>1052</v>
      </c>
      <c r="O535" s="1"/>
      <c r="P535" s="1" t="s">
        <v>2379</v>
      </c>
      <c r="Q535" s="1" t="s">
        <v>2380</v>
      </c>
      <c r="R535" s="1"/>
      <c r="S535" s="9">
        <v>89013.58</v>
      </c>
      <c r="T535" s="1">
        <v>89013.58</v>
      </c>
      <c r="U535" s="1" t="s">
        <v>2535</v>
      </c>
      <c r="V535" s="1" t="s">
        <v>15</v>
      </c>
      <c r="W535" s="1" t="s">
        <v>17</v>
      </c>
      <c r="X535" s="1" t="s">
        <v>17</v>
      </c>
      <c r="Y535" s="1" t="s">
        <v>17</v>
      </c>
      <c r="Z535" s="1" t="s">
        <v>17</v>
      </c>
      <c r="AA535" s="1" t="s">
        <v>17</v>
      </c>
      <c r="AB535" s="1">
        <v>0</v>
      </c>
      <c r="AC535" s="1" t="s">
        <v>17</v>
      </c>
    </row>
    <row r="536" spans="1:29">
      <c r="A536" s="1" t="s">
        <v>17</v>
      </c>
      <c r="B536" s="1" t="s">
        <v>2776</v>
      </c>
      <c r="C536" s="1" t="s">
        <v>2715</v>
      </c>
      <c r="D536" s="1" t="s">
        <v>42</v>
      </c>
      <c r="E536" s="1" t="s">
        <v>42</v>
      </c>
      <c r="F536" s="1" t="s">
        <v>17</v>
      </c>
      <c r="G536" s="1" t="s">
        <v>17</v>
      </c>
      <c r="H536" s="1" t="s">
        <v>17</v>
      </c>
      <c r="I536" s="1" t="s">
        <v>17</v>
      </c>
      <c r="J536" s="1" t="s">
        <v>17</v>
      </c>
      <c r="K536" s="1" t="s">
        <v>17</v>
      </c>
      <c r="L536" s="9">
        <v>0</v>
      </c>
      <c r="M536" s="1" t="s">
        <v>103</v>
      </c>
      <c r="N536" s="1" t="s">
        <v>1457</v>
      </c>
      <c r="O536" s="1"/>
      <c r="P536" s="1" t="s">
        <v>2379</v>
      </c>
      <c r="Q536" s="1" t="s">
        <v>2380</v>
      </c>
      <c r="R536" s="1"/>
      <c r="S536" s="9">
        <v>15708</v>
      </c>
      <c r="T536" s="1">
        <v>15708</v>
      </c>
      <c r="U536" s="1" t="s">
        <v>2535</v>
      </c>
      <c r="V536" s="1" t="s">
        <v>15</v>
      </c>
      <c r="W536" s="1" t="s">
        <v>17</v>
      </c>
      <c r="X536" s="1" t="s">
        <v>17</v>
      </c>
      <c r="Y536" s="1" t="s">
        <v>17</v>
      </c>
      <c r="Z536" s="1" t="s">
        <v>17</v>
      </c>
      <c r="AA536" s="1" t="s">
        <v>17</v>
      </c>
      <c r="AB536" s="1">
        <v>0</v>
      </c>
      <c r="AC536" s="1" t="s">
        <v>17</v>
      </c>
    </row>
    <row r="537" spans="1:29">
      <c r="A537" s="1" t="s">
        <v>17</v>
      </c>
      <c r="B537" s="1" t="s">
        <v>2777</v>
      </c>
      <c r="C537" s="1" t="s">
        <v>2769</v>
      </c>
      <c r="D537" s="1" t="s">
        <v>42</v>
      </c>
      <c r="E537" s="1" t="s">
        <v>42</v>
      </c>
      <c r="F537" s="1" t="s">
        <v>17</v>
      </c>
      <c r="G537" s="1" t="s">
        <v>17</v>
      </c>
      <c r="H537" s="1" t="s">
        <v>17</v>
      </c>
      <c r="I537" s="1" t="s">
        <v>17</v>
      </c>
      <c r="J537" s="1" t="s">
        <v>17</v>
      </c>
      <c r="K537" s="1" t="s">
        <v>17</v>
      </c>
      <c r="L537" s="9">
        <v>0</v>
      </c>
      <c r="M537" s="1" t="s">
        <v>103</v>
      </c>
      <c r="N537" s="1" t="s">
        <v>958</v>
      </c>
      <c r="O537" s="1"/>
      <c r="P537" s="1" t="s">
        <v>2379</v>
      </c>
      <c r="Q537" s="1" t="s">
        <v>2380</v>
      </c>
      <c r="R537" s="1"/>
      <c r="S537" s="9">
        <v>-56340.800000000003</v>
      </c>
      <c r="T537" s="1">
        <v>-56340.800000000003</v>
      </c>
      <c r="U537" s="1" t="s">
        <v>2535</v>
      </c>
      <c r="V537" s="1" t="s">
        <v>15</v>
      </c>
      <c r="W537" s="1" t="s">
        <v>17</v>
      </c>
      <c r="X537" s="1" t="s">
        <v>17</v>
      </c>
      <c r="Y537" s="1" t="s">
        <v>17</v>
      </c>
      <c r="Z537" s="1" t="s">
        <v>17</v>
      </c>
      <c r="AA537" s="1" t="s">
        <v>17</v>
      </c>
      <c r="AB537" s="1">
        <v>0</v>
      </c>
      <c r="AC537" s="1" t="s">
        <v>17</v>
      </c>
    </row>
    <row r="538" spans="1:29">
      <c r="A538" s="1" t="s">
        <v>17</v>
      </c>
      <c r="B538" s="1" t="s">
        <v>2778</v>
      </c>
      <c r="C538" s="1" t="s">
        <v>2553</v>
      </c>
      <c r="D538" s="1" t="s">
        <v>42</v>
      </c>
      <c r="E538" s="1" t="s">
        <v>42</v>
      </c>
      <c r="F538" s="1" t="s">
        <v>17</v>
      </c>
      <c r="G538" s="1" t="s">
        <v>17</v>
      </c>
      <c r="H538" s="1" t="s">
        <v>17</v>
      </c>
      <c r="I538" s="1" t="s">
        <v>17</v>
      </c>
      <c r="J538" s="1" t="s">
        <v>17</v>
      </c>
      <c r="K538" s="1" t="s">
        <v>17</v>
      </c>
      <c r="L538" s="9">
        <v>0</v>
      </c>
      <c r="M538" s="1" t="s">
        <v>103</v>
      </c>
      <c r="N538" s="1" t="s">
        <v>130</v>
      </c>
      <c r="O538" s="1"/>
      <c r="P538" s="1" t="s">
        <v>2379</v>
      </c>
      <c r="Q538" s="1" t="s">
        <v>2380</v>
      </c>
      <c r="R538" s="1"/>
      <c r="S538" s="9">
        <v>-31207.35</v>
      </c>
      <c r="T538" s="1">
        <v>-31207.35</v>
      </c>
      <c r="U538" s="1" t="s">
        <v>2535</v>
      </c>
      <c r="V538" s="1" t="s">
        <v>15</v>
      </c>
      <c r="W538" s="1" t="s">
        <v>17</v>
      </c>
      <c r="X538" s="1" t="s">
        <v>17</v>
      </c>
      <c r="Y538" s="1" t="s">
        <v>17</v>
      </c>
      <c r="Z538" s="1" t="s">
        <v>17</v>
      </c>
      <c r="AA538" s="1" t="s">
        <v>17</v>
      </c>
      <c r="AB538" s="1">
        <v>0</v>
      </c>
      <c r="AC538" s="1" t="s">
        <v>17</v>
      </c>
    </row>
    <row r="539" spans="1:29">
      <c r="A539" s="1" t="s">
        <v>17</v>
      </c>
      <c r="B539" s="1" t="s">
        <v>2779</v>
      </c>
      <c r="C539" s="1" t="s">
        <v>2775</v>
      </c>
      <c r="D539" s="1" t="s">
        <v>42</v>
      </c>
      <c r="E539" s="1" t="s">
        <v>42</v>
      </c>
      <c r="F539" s="1" t="s">
        <v>17</v>
      </c>
      <c r="G539" s="1" t="s">
        <v>17</v>
      </c>
      <c r="H539" s="1" t="s">
        <v>17</v>
      </c>
      <c r="I539" s="1" t="s">
        <v>17</v>
      </c>
      <c r="J539" s="1" t="s">
        <v>17</v>
      </c>
      <c r="K539" s="1" t="s">
        <v>17</v>
      </c>
      <c r="L539" s="9">
        <v>0</v>
      </c>
      <c r="M539" s="1" t="s">
        <v>103</v>
      </c>
      <c r="N539" s="1" t="s">
        <v>1052</v>
      </c>
      <c r="O539" s="1"/>
      <c r="P539" s="1" t="s">
        <v>2379</v>
      </c>
      <c r="Q539" s="1" t="s">
        <v>2380</v>
      </c>
      <c r="R539" s="1"/>
      <c r="S539" s="9">
        <v>-89014.22</v>
      </c>
      <c r="T539" s="1">
        <v>-89014.22</v>
      </c>
      <c r="U539" s="1" t="s">
        <v>2535</v>
      </c>
      <c r="V539" s="1" t="s">
        <v>15</v>
      </c>
      <c r="W539" s="1" t="s">
        <v>17</v>
      </c>
      <c r="X539" s="1" t="s">
        <v>17</v>
      </c>
      <c r="Y539" s="1" t="s">
        <v>17</v>
      </c>
      <c r="Z539" s="1" t="s">
        <v>17</v>
      </c>
      <c r="AA539" s="1" t="s">
        <v>17</v>
      </c>
      <c r="AB539" s="1">
        <v>0</v>
      </c>
      <c r="AC539" s="1" t="s">
        <v>17</v>
      </c>
    </row>
    <row r="540" spans="1:29">
      <c r="A540" s="1" t="s">
        <v>17</v>
      </c>
      <c r="B540" s="1" t="s">
        <v>2780</v>
      </c>
      <c r="C540" s="1" t="s">
        <v>2614</v>
      </c>
      <c r="D540" s="1" t="s">
        <v>42</v>
      </c>
      <c r="E540" s="1" t="s">
        <v>42</v>
      </c>
      <c r="F540" s="1" t="s">
        <v>17</v>
      </c>
      <c r="G540" s="1" t="s">
        <v>17</v>
      </c>
      <c r="H540" s="1" t="s">
        <v>17</v>
      </c>
      <c r="I540" s="1" t="s">
        <v>17</v>
      </c>
      <c r="J540" s="1" t="s">
        <v>17</v>
      </c>
      <c r="K540" s="1" t="s">
        <v>17</v>
      </c>
      <c r="L540" s="9">
        <v>0</v>
      </c>
      <c r="M540" s="1" t="s">
        <v>103</v>
      </c>
      <c r="N540" s="1" t="s">
        <v>130</v>
      </c>
      <c r="O540" s="1"/>
      <c r="P540" s="1" t="s">
        <v>2379</v>
      </c>
      <c r="Q540" s="1" t="s">
        <v>2380</v>
      </c>
      <c r="R540" s="1"/>
      <c r="S540" s="9">
        <v>14661</v>
      </c>
      <c r="T540" s="1">
        <v>14661</v>
      </c>
      <c r="U540" s="1" t="s">
        <v>2535</v>
      </c>
      <c r="V540" s="1" t="s">
        <v>15</v>
      </c>
      <c r="W540" s="1" t="s">
        <v>17</v>
      </c>
      <c r="X540" s="1" t="s">
        <v>17</v>
      </c>
      <c r="Y540" s="1" t="s">
        <v>17</v>
      </c>
      <c r="Z540" s="1" t="s">
        <v>17</v>
      </c>
      <c r="AA540" s="1" t="s">
        <v>17</v>
      </c>
      <c r="AB540" s="1">
        <v>0</v>
      </c>
      <c r="AC540" s="1" t="s">
        <v>17</v>
      </c>
    </row>
    <row r="541" spans="1:29">
      <c r="A541" s="1" t="s">
        <v>17</v>
      </c>
      <c r="B541" s="1" t="s">
        <v>2781</v>
      </c>
      <c r="C541" s="1" t="s">
        <v>2717</v>
      </c>
      <c r="D541" s="1" t="s">
        <v>42</v>
      </c>
      <c r="E541" s="1" t="s">
        <v>42</v>
      </c>
      <c r="F541" s="1" t="s">
        <v>17</v>
      </c>
      <c r="G541" s="1" t="s">
        <v>17</v>
      </c>
      <c r="H541" s="1" t="s">
        <v>17</v>
      </c>
      <c r="I541" s="1" t="s">
        <v>17</v>
      </c>
      <c r="J541" s="1" t="s">
        <v>17</v>
      </c>
      <c r="K541" s="1" t="s">
        <v>17</v>
      </c>
      <c r="L541" s="9">
        <v>0</v>
      </c>
      <c r="M541" s="1" t="s">
        <v>103</v>
      </c>
      <c r="N541" s="1" t="s">
        <v>469</v>
      </c>
      <c r="O541" s="1"/>
      <c r="P541" s="1" t="s">
        <v>2379</v>
      </c>
      <c r="Q541" s="1" t="s">
        <v>2380</v>
      </c>
      <c r="R541" s="1"/>
      <c r="S541" s="9">
        <v>15498.94</v>
      </c>
      <c r="T541" s="1">
        <v>15498.94</v>
      </c>
      <c r="U541" s="1" t="s">
        <v>2535</v>
      </c>
      <c r="V541" s="1" t="s">
        <v>15</v>
      </c>
      <c r="W541" s="1" t="s">
        <v>17</v>
      </c>
      <c r="X541" s="1" t="s">
        <v>17</v>
      </c>
      <c r="Y541" s="1" t="s">
        <v>17</v>
      </c>
      <c r="Z541" s="1" t="s">
        <v>17</v>
      </c>
      <c r="AA541" s="1" t="s">
        <v>17</v>
      </c>
      <c r="AB541" s="1">
        <v>0</v>
      </c>
      <c r="AC541" s="1" t="s">
        <v>17</v>
      </c>
    </row>
    <row r="542" spans="1:29">
      <c r="A542" s="1" t="s">
        <v>17</v>
      </c>
      <c r="B542" s="1" t="s">
        <v>2782</v>
      </c>
      <c r="C542" s="1" t="s">
        <v>2616</v>
      </c>
      <c r="D542" s="1" t="s">
        <v>42</v>
      </c>
      <c r="E542" s="1" t="s">
        <v>42</v>
      </c>
      <c r="F542" s="1" t="s">
        <v>17</v>
      </c>
      <c r="G542" s="1" t="s">
        <v>17</v>
      </c>
      <c r="H542" s="1" t="s">
        <v>17</v>
      </c>
      <c r="I542" s="1" t="s">
        <v>17</v>
      </c>
      <c r="J542" s="1" t="s">
        <v>17</v>
      </c>
      <c r="K542" s="1" t="s">
        <v>17</v>
      </c>
      <c r="L542" s="9">
        <v>0</v>
      </c>
      <c r="M542" s="1" t="s">
        <v>103</v>
      </c>
      <c r="N542" s="1" t="s">
        <v>1117</v>
      </c>
      <c r="O542" s="1"/>
      <c r="P542" s="1" t="s">
        <v>2379</v>
      </c>
      <c r="Q542" s="1" t="s">
        <v>2380</v>
      </c>
      <c r="R542" s="1"/>
      <c r="S542" s="9">
        <v>21572</v>
      </c>
      <c r="T542" s="1">
        <v>21572</v>
      </c>
      <c r="U542" s="1" t="s">
        <v>2535</v>
      </c>
      <c r="V542" s="1" t="s">
        <v>15</v>
      </c>
      <c r="W542" s="1" t="s">
        <v>17</v>
      </c>
      <c r="X542" s="1" t="s">
        <v>17</v>
      </c>
      <c r="Y542" s="1" t="s">
        <v>17</v>
      </c>
      <c r="Z542" s="1" t="s">
        <v>17</v>
      </c>
      <c r="AA542" s="1" t="s">
        <v>17</v>
      </c>
      <c r="AB542" s="1">
        <v>0</v>
      </c>
      <c r="AC542" s="1" t="s">
        <v>17</v>
      </c>
    </row>
    <row r="543" spans="1:29">
      <c r="A543" s="1" t="s">
        <v>17</v>
      </c>
      <c r="B543" s="1" t="s">
        <v>2783</v>
      </c>
      <c r="C543" s="1" t="s">
        <v>2784</v>
      </c>
      <c r="D543" s="1" t="s">
        <v>42</v>
      </c>
      <c r="E543" s="1" t="s">
        <v>42</v>
      </c>
      <c r="F543" s="1" t="s">
        <v>17</v>
      </c>
      <c r="G543" s="1" t="s">
        <v>17</v>
      </c>
      <c r="H543" s="1" t="s">
        <v>17</v>
      </c>
      <c r="I543" s="1" t="s">
        <v>17</v>
      </c>
      <c r="J543" s="1" t="s">
        <v>17</v>
      </c>
      <c r="K543" s="1" t="s">
        <v>17</v>
      </c>
      <c r="L543" s="9">
        <v>0</v>
      </c>
      <c r="M543" s="1" t="s">
        <v>103</v>
      </c>
      <c r="N543" s="1" t="s">
        <v>1624</v>
      </c>
      <c r="O543" s="1"/>
      <c r="P543" s="1" t="s">
        <v>2379</v>
      </c>
      <c r="Q543" s="1" t="s">
        <v>2380</v>
      </c>
      <c r="R543" s="1"/>
      <c r="S543" s="9">
        <v>16965</v>
      </c>
      <c r="T543" s="1">
        <v>16965</v>
      </c>
      <c r="U543" s="1" t="s">
        <v>2535</v>
      </c>
      <c r="V543" s="1" t="s">
        <v>15</v>
      </c>
      <c r="W543" s="1" t="s">
        <v>17</v>
      </c>
      <c r="X543" s="1" t="s">
        <v>17</v>
      </c>
      <c r="Y543" s="1" t="s">
        <v>17</v>
      </c>
      <c r="Z543" s="1" t="s">
        <v>17</v>
      </c>
      <c r="AA543" s="1" t="s">
        <v>17</v>
      </c>
      <c r="AB543" s="1">
        <v>0</v>
      </c>
      <c r="AC543" s="1" t="s">
        <v>17</v>
      </c>
    </row>
    <row r="544" spans="1:29">
      <c r="A544" s="1" t="s">
        <v>17</v>
      </c>
      <c r="B544" s="1" t="s">
        <v>2785</v>
      </c>
      <c r="C544" s="1" t="s">
        <v>2739</v>
      </c>
      <c r="D544" s="1" t="s">
        <v>42</v>
      </c>
      <c r="E544" s="1" t="s">
        <v>42</v>
      </c>
      <c r="F544" s="1" t="s">
        <v>17</v>
      </c>
      <c r="G544" s="1" t="s">
        <v>17</v>
      </c>
      <c r="H544" s="1" t="s">
        <v>17</v>
      </c>
      <c r="I544" s="1" t="s">
        <v>17</v>
      </c>
      <c r="J544" s="1" t="s">
        <v>17</v>
      </c>
      <c r="K544" s="1" t="s">
        <v>17</v>
      </c>
      <c r="L544" s="9">
        <v>0</v>
      </c>
      <c r="M544" s="1" t="s">
        <v>103</v>
      </c>
      <c r="N544" s="1" t="s">
        <v>528</v>
      </c>
      <c r="O544" s="1"/>
      <c r="P544" s="1" t="s">
        <v>2379</v>
      </c>
      <c r="Q544" s="1" t="s">
        <v>2380</v>
      </c>
      <c r="R544" s="1"/>
      <c r="S544" s="9">
        <v>-17802.84</v>
      </c>
      <c r="T544" s="1">
        <v>-17802.84</v>
      </c>
      <c r="U544" s="1" t="s">
        <v>2535</v>
      </c>
      <c r="V544" s="1" t="s">
        <v>15</v>
      </c>
      <c r="W544" s="1" t="s">
        <v>17</v>
      </c>
      <c r="X544" s="1" t="s">
        <v>17</v>
      </c>
      <c r="Y544" s="1" t="s">
        <v>17</v>
      </c>
      <c r="Z544" s="1" t="s">
        <v>17</v>
      </c>
      <c r="AA544" s="1" t="s">
        <v>17</v>
      </c>
      <c r="AB544" s="1">
        <v>0</v>
      </c>
      <c r="AC544" s="1" t="s">
        <v>17</v>
      </c>
    </row>
    <row r="545" spans="1:29">
      <c r="A545" s="1" t="s">
        <v>17</v>
      </c>
      <c r="B545" s="1" t="s">
        <v>2786</v>
      </c>
      <c r="C545" s="1" t="s">
        <v>2784</v>
      </c>
      <c r="D545" s="1" t="s">
        <v>42</v>
      </c>
      <c r="E545" s="1" t="s">
        <v>42</v>
      </c>
      <c r="F545" s="1" t="s">
        <v>17</v>
      </c>
      <c r="G545" s="1" t="s">
        <v>17</v>
      </c>
      <c r="H545" s="1" t="s">
        <v>17</v>
      </c>
      <c r="I545" s="1" t="s">
        <v>17</v>
      </c>
      <c r="J545" s="1" t="s">
        <v>17</v>
      </c>
      <c r="K545" s="1" t="s">
        <v>17</v>
      </c>
      <c r="L545" s="9">
        <v>0</v>
      </c>
      <c r="M545" s="1" t="s">
        <v>103</v>
      </c>
      <c r="N545" s="1" t="s">
        <v>1624</v>
      </c>
      <c r="O545" s="1"/>
      <c r="P545" s="1" t="s">
        <v>2379</v>
      </c>
      <c r="Q545" s="1" t="s">
        <v>2380</v>
      </c>
      <c r="R545" s="1"/>
      <c r="S545" s="9">
        <v>-16965.080000000002</v>
      </c>
      <c r="T545" s="1">
        <v>-16965.080000000002</v>
      </c>
      <c r="U545" s="1" t="s">
        <v>2535</v>
      </c>
      <c r="V545" s="1" t="s">
        <v>15</v>
      </c>
      <c r="W545" s="1" t="s">
        <v>17</v>
      </c>
      <c r="X545" s="1" t="s">
        <v>17</v>
      </c>
      <c r="Y545" s="1" t="s">
        <v>17</v>
      </c>
      <c r="Z545" s="1" t="s">
        <v>17</v>
      </c>
      <c r="AA545" s="1" t="s">
        <v>17</v>
      </c>
      <c r="AB545" s="1">
        <v>0</v>
      </c>
      <c r="AC545" s="1" t="s">
        <v>17</v>
      </c>
    </row>
    <row r="546" spans="1:29">
      <c r="A546" s="1" t="s">
        <v>17</v>
      </c>
      <c r="B546" s="1" t="s">
        <v>2787</v>
      </c>
      <c r="C546" s="1" t="s">
        <v>2788</v>
      </c>
      <c r="D546" s="1" t="s">
        <v>42</v>
      </c>
      <c r="E546" s="1" t="s">
        <v>42</v>
      </c>
      <c r="F546" s="1" t="s">
        <v>17</v>
      </c>
      <c r="G546" s="1" t="s">
        <v>17</v>
      </c>
      <c r="H546" s="1" t="s">
        <v>17</v>
      </c>
      <c r="I546" s="1" t="s">
        <v>17</v>
      </c>
      <c r="J546" s="1" t="s">
        <v>17</v>
      </c>
      <c r="K546" s="1" t="s">
        <v>17</v>
      </c>
      <c r="L546" s="9">
        <v>0</v>
      </c>
      <c r="M546" s="1" t="s">
        <v>103</v>
      </c>
      <c r="N546" s="1" t="s">
        <v>428</v>
      </c>
      <c r="O546" s="1"/>
      <c r="P546" s="1" t="s">
        <v>2379</v>
      </c>
      <c r="Q546" s="1" t="s">
        <v>2380</v>
      </c>
      <c r="R546" s="1"/>
      <c r="S546" s="9">
        <v>16546</v>
      </c>
      <c r="T546" s="1">
        <v>16546</v>
      </c>
      <c r="U546" s="1" t="s">
        <v>2535</v>
      </c>
      <c r="V546" s="1" t="s">
        <v>15</v>
      </c>
      <c r="W546" s="1" t="s">
        <v>17</v>
      </c>
      <c r="X546" s="1" t="s">
        <v>17</v>
      </c>
      <c r="Y546" s="1" t="s">
        <v>17</v>
      </c>
      <c r="Z546" s="1" t="s">
        <v>17</v>
      </c>
      <c r="AA546" s="1" t="s">
        <v>17</v>
      </c>
      <c r="AB546" s="1">
        <v>0</v>
      </c>
      <c r="AC546" s="1" t="s">
        <v>17</v>
      </c>
    </row>
    <row r="547" spans="1:29">
      <c r="A547" s="1" t="s">
        <v>17</v>
      </c>
      <c r="B547" s="1" t="s">
        <v>2789</v>
      </c>
      <c r="C547" s="1" t="s">
        <v>2755</v>
      </c>
      <c r="D547" s="1" t="s">
        <v>42</v>
      </c>
      <c r="E547" s="1" t="s">
        <v>42</v>
      </c>
      <c r="F547" s="1" t="s">
        <v>17</v>
      </c>
      <c r="G547" s="1" t="s">
        <v>17</v>
      </c>
      <c r="H547" s="1" t="s">
        <v>17</v>
      </c>
      <c r="I547" s="1" t="s">
        <v>17</v>
      </c>
      <c r="J547" s="1" t="s">
        <v>17</v>
      </c>
      <c r="K547" s="1" t="s">
        <v>17</v>
      </c>
      <c r="L547" s="9">
        <v>0</v>
      </c>
      <c r="M547" s="1" t="s">
        <v>103</v>
      </c>
      <c r="N547" s="1" t="s">
        <v>409</v>
      </c>
      <c r="O547" s="1"/>
      <c r="P547" s="1" t="s">
        <v>2379</v>
      </c>
      <c r="Q547" s="1" t="s">
        <v>2380</v>
      </c>
      <c r="R547" s="1"/>
      <c r="S547" s="9">
        <v>-29950.67</v>
      </c>
      <c r="T547" s="1">
        <v>-29950.67</v>
      </c>
      <c r="U547" s="1" t="s">
        <v>2535</v>
      </c>
      <c r="V547" s="1" t="s">
        <v>15</v>
      </c>
      <c r="W547" s="1" t="s">
        <v>17</v>
      </c>
      <c r="X547" s="1" t="s">
        <v>17</v>
      </c>
      <c r="Y547" s="1" t="s">
        <v>17</v>
      </c>
      <c r="Z547" s="1" t="s">
        <v>17</v>
      </c>
      <c r="AA547" s="1" t="s">
        <v>17</v>
      </c>
      <c r="AB547" s="1">
        <v>0</v>
      </c>
      <c r="AC547" s="1" t="s">
        <v>17</v>
      </c>
    </row>
    <row r="548" spans="1:29">
      <c r="A548" s="1" t="s">
        <v>17</v>
      </c>
      <c r="B548" s="1" t="s">
        <v>2790</v>
      </c>
      <c r="C548" s="1" t="s">
        <v>2652</v>
      </c>
      <c r="D548" s="1" t="s">
        <v>42</v>
      </c>
      <c r="E548" s="1" t="s">
        <v>42</v>
      </c>
      <c r="F548" s="1" t="s">
        <v>17</v>
      </c>
      <c r="G548" s="1" t="s">
        <v>17</v>
      </c>
      <c r="H548" s="1" t="s">
        <v>17</v>
      </c>
      <c r="I548" s="1" t="s">
        <v>17</v>
      </c>
      <c r="J548" s="1" t="s">
        <v>17</v>
      </c>
      <c r="K548" s="1" t="s">
        <v>17</v>
      </c>
      <c r="L548" s="9">
        <v>0</v>
      </c>
      <c r="M548" s="1" t="s">
        <v>103</v>
      </c>
      <c r="N548" s="1" t="s">
        <v>301</v>
      </c>
      <c r="O548" s="1"/>
      <c r="P548" s="1" t="s">
        <v>2379</v>
      </c>
      <c r="Q548" s="1" t="s">
        <v>2380</v>
      </c>
      <c r="R548" s="1"/>
      <c r="S548" s="9">
        <v>-15080.05</v>
      </c>
      <c r="T548" s="1">
        <v>-15080.05</v>
      </c>
      <c r="U548" s="1" t="s">
        <v>2535</v>
      </c>
      <c r="V548" s="1" t="s">
        <v>15</v>
      </c>
      <c r="W548" s="1" t="s">
        <v>17</v>
      </c>
      <c r="X548" s="1" t="s">
        <v>17</v>
      </c>
      <c r="Y548" s="1" t="s">
        <v>17</v>
      </c>
      <c r="Z548" s="1" t="s">
        <v>17</v>
      </c>
      <c r="AA548" s="1" t="s">
        <v>17</v>
      </c>
      <c r="AB548" s="1">
        <v>0</v>
      </c>
      <c r="AC548" s="1" t="s">
        <v>17</v>
      </c>
    </row>
    <row r="549" spans="1:29">
      <c r="A549" s="1" t="s">
        <v>17</v>
      </c>
      <c r="B549" s="1" t="s">
        <v>2791</v>
      </c>
      <c r="C549" s="1" t="s">
        <v>2713</v>
      </c>
      <c r="D549" s="1" t="s">
        <v>42</v>
      </c>
      <c r="E549" s="1" t="s">
        <v>42</v>
      </c>
      <c r="F549" s="1" t="s">
        <v>17</v>
      </c>
      <c r="G549" s="1" t="s">
        <v>17</v>
      </c>
      <c r="H549" s="1" t="s">
        <v>17</v>
      </c>
      <c r="I549" s="1" t="s">
        <v>17</v>
      </c>
      <c r="J549" s="1" t="s">
        <v>17</v>
      </c>
      <c r="K549" s="1" t="s">
        <v>17</v>
      </c>
      <c r="L549" s="9">
        <v>0</v>
      </c>
      <c r="M549" s="1" t="s">
        <v>103</v>
      </c>
      <c r="N549" s="1" t="s">
        <v>197</v>
      </c>
      <c r="O549" s="1"/>
      <c r="P549" s="1" t="s">
        <v>2379</v>
      </c>
      <c r="Q549" s="1" t="s">
        <v>2380</v>
      </c>
      <c r="R549" s="1"/>
      <c r="S549" s="9">
        <v>-15080.05</v>
      </c>
      <c r="T549" s="1">
        <v>-15080.05</v>
      </c>
      <c r="U549" s="1" t="s">
        <v>2535</v>
      </c>
      <c r="V549" s="1" t="s">
        <v>15</v>
      </c>
      <c r="W549" s="1" t="s">
        <v>17</v>
      </c>
      <c r="X549" s="1" t="s">
        <v>17</v>
      </c>
      <c r="Y549" s="1" t="s">
        <v>17</v>
      </c>
      <c r="Z549" s="1" t="s">
        <v>17</v>
      </c>
      <c r="AA549" s="1" t="s">
        <v>17</v>
      </c>
      <c r="AB549" s="1">
        <v>0</v>
      </c>
      <c r="AC549" s="1" t="s">
        <v>17</v>
      </c>
    </row>
    <row r="550" spans="1:29">
      <c r="A550" s="1" t="s">
        <v>17</v>
      </c>
      <c r="B550" s="1" t="s">
        <v>2792</v>
      </c>
      <c r="C550" s="1" t="s">
        <v>2704</v>
      </c>
      <c r="D550" s="1" t="s">
        <v>42</v>
      </c>
      <c r="E550" s="1" t="s">
        <v>42</v>
      </c>
      <c r="F550" s="1" t="s">
        <v>17</v>
      </c>
      <c r="G550" s="1" t="s">
        <v>17</v>
      </c>
      <c r="H550" s="1" t="s">
        <v>17</v>
      </c>
      <c r="I550" s="1" t="s">
        <v>17</v>
      </c>
      <c r="J550" s="1" t="s">
        <v>17</v>
      </c>
      <c r="K550" s="1" t="s">
        <v>17</v>
      </c>
      <c r="L550" s="9">
        <v>0</v>
      </c>
      <c r="M550" s="1" t="s">
        <v>103</v>
      </c>
      <c r="N550" s="1" t="s">
        <v>1616</v>
      </c>
      <c r="O550" s="1"/>
      <c r="P550" s="1" t="s">
        <v>2379</v>
      </c>
      <c r="Q550" s="1" t="s">
        <v>2380</v>
      </c>
      <c r="R550" s="1"/>
      <c r="S550" s="9">
        <v>14661</v>
      </c>
      <c r="T550" s="1">
        <v>14661</v>
      </c>
      <c r="U550" s="1" t="s">
        <v>2535</v>
      </c>
      <c r="V550" s="1" t="s">
        <v>15</v>
      </c>
      <c r="W550" s="1" t="s">
        <v>17</v>
      </c>
      <c r="X550" s="1" t="s">
        <v>17</v>
      </c>
      <c r="Y550" s="1" t="s">
        <v>17</v>
      </c>
      <c r="Z550" s="1" t="s">
        <v>17</v>
      </c>
      <c r="AA550" s="1" t="s">
        <v>17</v>
      </c>
      <c r="AB550" s="1">
        <v>0</v>
      </c>
      <c r="AC550" s="1" t="s">
        <v>17</v>
      </c>
    </row>
    <row r="551" spans="1:29">
      <c r="A551" s="1" t="s">
        <v>17</v>
      </c>
      <c r="B551" s="1" t="s">
        <v>2793</v>
      </c>
      <c r="C551" s="1" t="s">
        <v>2794</v>
      </c>
      <c r="D551" s="1" t="s">
        <v>42</v>
      </c>
      <c r="E551" s="1" t="s">
        <v>42</v>
      </c>
      <c r="F551" s="1" t="s">
        <v>17</v>
      </c>
      <c r="G551" s="1" t="s">
        <v>17</v>
      </c>
      <c r="H551" s="1" t="s">
        <v>17</v>
      </c>
      <c r="I551" s="1" t="s">
        <v>17</v>
      </c>
      <c r="J551" s="1" t="s">
        <v>17</v>
      </c>
      <c r="K551" s="1" t="s">
        <v>17</v>
      </c>
      <c r="L551" s="9">
        <v>0</v>
      </c>
      <c r="M551" s="1" t="s">
        <v>103</v>
      </c>
      <c r="N551" s="1" t="s">
        <v>464</v>
      </c>
      <c r="O551" s="1"/>
      <c r="P551" s="1" t="s">
        <v>2379</v>
      </c>
      <c r="Q551" s="1" t="s">
        <v>2380</v>
      </c>
      <c r="R551" s="1"/>
      <c r="S551" s="9">
        <v>-11100.61</v>
      </c>
      <c r="T551" s="1">
        <v>-11100.61</v>
      </c>
      <c r="U551" s="1" t="s">
        <v>2535</v>
      </c>
      <c r="V551" s="1" t="s">
        <v>15</v>
      </c>
      <c r="W551" s="1" t="s">
        <v>17</v>
      </c>
      <c r="X551" s="1" t="s">
        <v>17</v>
      </c>
      <c r="Y551" s="1" t="s">
        <v>17</v>
      </c>
      <c r="Z551" s="1" t="s">
        <v>17</v>
      </c>
      <c r="AA551" s="1" t="s">
        <v>17</v>
      </c>
      <c r="AB551" s="1">
        <v>0</v>
      </c>
      <c r="AC551" s="1" t="s">
        <v>17</v>
      </c>
    </row>
    <row r="552" spans="1:29">
      <c r="A552" s="1" t="s">
        <v>17</v>
      </c>
      <c r="B552" s="1" t="s">
        <v>2795</v>
      </c>
      <c r="C552" s="1" t="s">
        <v>2747</v>
      </c>
      <c r="D552" s="1" t="s">
        <v>42</v>
      </c>
      <c r="E552" s="1" t="s">
        <v>42</v>
      </c>
      <c r="F552" s="1" t="s">
        <v>17</v>
      </c>
      <c r="G552" s="1" t="s">
        <v>17</v>
      </c>
      <c r="H552" s="1" t="s">
        <v>17</v>
      </c>
      <c r="I552" s="1" t="s">
        <v>17</v>
      </c>
      <c r="J552" s="1" t="s">
        <v>17</v>
      </c>
      <c r="K552" s="1" t="s">
        <v>17</v>
      </c>
      <c r="L552" s="9">
        <v>0</v>
      </c>
      <c r="M552" s="1" t="s">
        <v>103</v>
      </c>
      <c r="N552" s="1" t="s">
        <v>528</v>
      </c>
      <c r="O552" s="1"/>
      <c r="P552" s="1" t="s">
        <v>2379</v>
      </c>
      <c r="Q552" s="1" t="s">
        <v>2380</v>
      </c>
      <c r="R552" s="1"/>
      <c r="S552" s="9">
        <v>17802.84</v>
      </c>
      <c r="T552" s="1">
        <v>17802.84</v>
      </c>
      <c r="U552" s="1" t="s">
        <v>2535</v>
      </c>
      <c r="V552" s="1" t="s">
        <v>15</v>
      </c>
      <c r="W552" s="1" t="s">
        <v>17</v>
      </c>
      <c r="X552" s="1" t="s">
        <v>17</v>
      </c>
      <c r="Y552" s="1" t="s">
        <v>17</v>
      </c>
      <c r="Z552" s="1" t="s">
        <v>17</v>
      </c>
      <c r="AA552" s="1" t="s">
        <v>17</v>
      </c>
      <c r="AB552" s="1">
        <v>0</v>
      </c>
      <c r="AC552" s="1" t="s">
        <v>17</v>
      </c>
    </row>
    <row r="553" spans="1:29">
      <c r="A553" s="1" t="s">
        <v>17</v>
      </c>
      <c r="B553" s="1" t="s">
        <v>2796</v>
      </c>
      <c r="C553" s="1" t="s">
        <v>2660</v>
      </c>
      <c r="D553" s="1" t="s">
        <v>42</v>
      </c>
      <c r="E553" s="1" t="s">
        <v>42</v>
      </c>
      <c r="F553" s="1" t="s">
        <v>17</v>
      </c>
      <c r="G553" s="1" t="s">
        <v>17</v>
      </c>
      <c r="H553" s="1" t="s">
        <v>17</v>
      </c>
      <c r="I553" s="1" t="s">
        <v>17</v>
      </c>
      <c r="J553" s="1" t="s">
        <v>17</v>
      </c>
      <c r="K553" s="1" t="s">
        <v>17</v>
      </c>
      <c r="L553" s="9">
        <v>0</v>
      </c>
      <c r="M553" s="1" t="s">
        <v>103</v>
      </c>
      <c r="N553" s="1" t="s">
        <v>1256</v>
      </c>
      <c r="O553" s="1"/>
      <c r="P553" s="1" t="s">
        <v>2379</v>
      </c>
      <c r="Q553" s="1" t="s">
        <v>2380</v>
      </c>
      <c r="R553" s="1"/>
      <c r="S553" s="9">
        <v>-63252.47</v>
      </c>
      <c r="T553" s="1">
        <v>-63252.47</v>
      </c>
      <c r="U553" s="1" t="s">
        <v>2535</v>
      </c>
      <c r="V553" s="1" t="s">
        <v>15</v>
      </c>
      <c r="W553" s="1" t="s">
        <v>17</v>
      </c>
      <c r="X553" s="1" t="s">
        <v>17</v>
      </c>
      <c r="Y553" s="1" t="s">
        <v>17</v>
      </c>
      <c r="Z553" s="1" t="s">
        <v>17</v>
      </c>
      <c r="AA553" s="1" t="s">
        <v>17</v>
      </c>
      <c r="AB553" s="1">
        <v>0</v>
      </c>
      <c r="AC553" s="1" t="s">
        <v>17</v>
      </c>
    </row>
    <row r="554" spans="1:29">
      <c r="A554" s="1" t="s">
        <v>17</v>
      </c>
      <c r="B554" s="1" t="s">
        <v>2797</v>
      </c>
      <c r="C554" s="1" t="s">
        <v>2702</v>
      </c>
      <c r="D554" s="1" t="s">
        <v>42</v>
      </c>
      <c r="E554" s="1" t="s">
        <v>42</v>
      </c>
      <c r="F554" s="1" t="s">
        <v>17</v>
      </c>
      <c r="G554" s="1" t="s">
        <v>17</v>
      </c>
      <c r="H554" s="1" t="s">
        <v>17</v>
      </c>
      <c r="I554" s="1" t="s">
        <v>17</v>
      </c>
      <c r="J554" s="1" t="s">
        <v>17</v>
      </c>
      <c r="K554" s="1" t="s">
        <v>17</v>
      </c>
      <c r="L554" s="9">
        <v>0</v>
      </c>
      <c r="M554" s="1" t="s">
        <v>103</v>
      </c>
      <c r="N554" s="1" t="s">
        <v>526</v>
      </c>
      <c r="O554" s="1"/>
      <c r="P554" s="1" t="s">
        <v>2379</v>
      </c>
      <c r="Q554" s="1" t="s">
        <v>2380</v>
      </c>
      <c r="R554" s="1"/>
      <c r="S554" s="9">
        <v>25761.759999999998</v>
      </c>
      <c r="T554" s="1">
        <v>25761.759999999998</v>
      </c>
      <c r="U554" s="1" t="s">
        <v>2535</v>
      </c>
      <c r="V554" s="1" t="s">
        <v>15</v>
      </c>
      <c r="W554" s="1" t="s">
        <v>17</v>
      </c>
      <c r="X554" s="1" t="s">
        <v>17</v>
      </c>
      <c r="Y554" s="1" t="s">
        <v>17</v>
      </c>
      <c r="Z554" s="1" t="s">
        <v>17</v>
      </c>
      <c r="AA554" s="1" t="s">
        <v>17</v>
      </c>
      <c r="AB554" s="1">
        <v>0</v>
      </c>
      <c r="AC554" s="1" t="s">
        <v>17</v>
      </c>
    </row>
    <row r="555" spans="1:29">
      <c r="A555" s="1" t="s">
        <v>17</v>
      </c>
      <c r="B555" s="1" t="s">
        <v>2798</v>
      </c>
      <c r="C555" s="1" t="s">
        <v>2711</v>
      </c>
      <c r="D555" s="1" t="s">
        <v>42</v>
      </c>
      <c r="E555" s="1" t="s">
        <v>42</v>
      </c>
      <c r="F555" s="1" t="s">
        <v>17</v>
      </c>
      <c r="G555" s="1" t="s">
        <v>17</v>
      </c>
      <c r="H555" s="1" t="s">
        <v>17</v>
      </c>
      <c r="I555" s="1" t="s">
        <v>17</v>
      </c>
      <c r="J555" s="1" t="s">
        <v>17</v>
      </c>
      <c r="K555" s="1" t="s">
        <v>17</v>
      </c>
      <c r="L555" s="9">
        <v>0</v>
      </c>
      <c r="M555" s="1" t="s">
        <v>103</v>
      </c>
      <c r="N555" s="1" t="s">
        <v>2251</v>
      </c>
      <c r="O555" s="1"/>
      <c r="P555" s="1" t="s">
        <v>2379</v>
      </c>
      <c r="Q555" s="1" t="s">
        <v>2380</v>
      </c>
      <c r="R555" s="1"/>
      <c r="S555" s="9">
        <v>45659.07</v>
      </c>
      <c r="T555" s="1">
        <v>45659.07</v>
      </c>
      <c r="U555" s="1" t="s">
        <v>2535</v>
      </c>
      <c r="V555" s="1" t="s">
        <v>15</v>
      </c>
      <c r="W555" s="1" t="s">
        <v>17</v>
      </c>
      <c r="X555" s="1" t="s">
        <v>17</v>
      </c>
      <c r="Y555" s="1" t="s">
        <v>17</v>
      </c>
      <c r="Z555" s="1" t="s">
        <v>17</v>
      </c>
      <c r="AA555" s="1" t="s">
        <v>17</v>
      </c>
      <c r="AB555" s="1">
        <v>0</v>
      </c>
      <c r="AC555" s="1" t="s">
        <v>17</v>
      </c>
    </row>
    <row r="556" spans="1:29">
      <c r="A556" s="1" t="s">
        <v>17</v>
      </c>
      <c r="B556" s="1" t="s">
        <v>2799</v>
      </c>
      <c r="C556" s="1" t="s">
        <v>2557</v>
      </c>
      <c r="D556" s="1" t="s">
        <v>42</v>
      </c>
      <c r="E556" s="1" t="s">
        <v>42</v>
      </c>
      <c r="F556" s="1" t="s">
        <v>17</v>
      </c>
      <c r="G556" s="1" t="s">
        <v>17</v>
      </c>
      <c r="H556" s="1" t="s">
        <v>17</v>
      </c>
      <c r="I556" s="1" t="s">
        <v>17</v>
      </c>
      <c r="J556" s="1" t="s">
        <v>17</v>
      </c>
      <c r="K556" s="1" t="s">
        <v>17</v>
      </c>
      <c r="L556" s="9">
        <v>0</v>
      </c>
      <c r="M556" s="1" t="s">
        <v>103</v>
      </c>
      <c r="N556" s="1" t="s">
        <v>2318</v>
      </c>
      <c r="O556" s="1"/>
      <c r="P556" s="1" t="s">
        <v>2379</v>
      </c>
      <c r="Q556" s="1" t="s">
        <v>2380</v>
      </c>
      <c r="R556" s="1"/>
      <c r="S556" s="9">
        <v>-55503</v>
      </c>
      <c r="T556" s="1">
        <v>-55503</v>
      </c>
      <c r="U556" s="1" t="s">
        <v>2535</v>
      </c>
      <c r="V556" s="1" t="s">
        <v>15</v>
      </c>
      <c r="W556" s="1" t="s">
        <v>17</v>
      </c>
      <c r="X556" s="1" t="s">
        <v>17</v>
      </c>
      <c r="Y556" s="1" t="s">
        <v>17</v>
      </c>
      <c r="Z556" s="1" t="s">
        <v>17</v>
      </c>
      <c r="AA556" s="1" t="s">
        <v>17</v>
      </c>
      <c r="AB556" s="1">
        <v>0</v>
      </c>
      <c r="AC556" s="1" t="s">
        <v>17</v>
      </c>
    </row>
    <row r="557" spans="1:29">
      <c r="A557" s="1" t="s">
        <v>17</v>
      </c>
      <c r="B557" s="1" t="s">
        <v>2800</v>
      </c>
      <c r="C557" s="1" t="s">
        <v>2794</v>
      </c>
      <c r="D557" s="1" t="s">
        <v>42</v>
      </c>
      <c r="E557" s="1" t="s">
        <v>42</v>
      </c>
      <c r="F557" s="1" t="s">
        <v>17</v>
      </c>
      <c r="G557" s="1" t="s">
        <v>17</v>
      </c>
      <c r="H557" s="1" t="s">
        <v>17</v>
      </c>
      <c r="I557" s="1" t="s">
        <v>17</v>
      </c>
      <c r="J557" s="1" t="s">
        <v>17</v>
      </c>
      <c r="K557" s="1" t="s">
        <v>17</v>
      </c>
      <c r="L557" s="9">
        <v>0</v>
      </c>
      <c r="M557" s="1" t="s">
        <v>103</v>
      </c>
      <c r="N557" s="1" t="s">
        <v>464</v>
      </c>
      <c r="O557" s="1"/>
      <c r="P557" s="1" t="s">
        <v>2379</v>
      </c>
      <c r="Q557" s="1" t="s">
        <v>2380</v>
      </c>
      <c r="R557" s="1"/>
      <c r="S557" s="9">
        <v>11100.61</v>
      </c>
      <c r="T557" s="1">
        <v>11100.61</v>
      </c>
      <c r="U557" s="1" t="s">
        <v>2535</v>
      </c>
      <c r="V557" s="1" t="s">
        <v>15</v>
      </c>
      <c r="W557" s="1" t="s">
        <v>17</v>
      </c>
      <c r="X557" s="1" t="s">
        <v>17</v>
      </c>
      <c r="Y557" s="1" t="s">
        <v>17</v>
      </c>
      <c r="Z557" s="1" t="s">
        <v>17</v>
      </c>
      <c r="AA557" s="1" t="s">
        <v>17</v>
      </c>
      <c r="AB557" s="1">
        <v>0</v>
      </c>
      <c r="AC557" s="1" t="s">
        <v>17</v>
      </c>
    </row>
    <row r="558" spans="1:29">
      <c r="A558" s="1" t="s">
        <v>17</v>
      </c>
      <c r="B558" s="1" t="s">
        <v>2801</v>
      </c>
      <c r="C558" s="1" t="s">
        <v>2737</v>
      </c>
      <c r="D558" s="1" t="s">
        <v>42</v>
      </c>
      <c r="E558" s="1" t="s">
        <v>42</v>
      </c>
      <c r="F558" s="1" t="s">
        <v>17</v>
      </c>
      <c r="G558" s="1" t="s">
        <v>17</v>
      </c>
      <c r="H558" s="1" t="s">
        <v>17</v>
      </c>
      <c r="I558" s="1" t="s">
        <v>17</v>
      </c>
      <c r="J558" s="1" t="s">
        <v>17</v>
      </c>
      <c r="K558" s="1" t="s">
        <v>17</v>
      </c>
      <c r="L558" s="9">
        <v>0</v>
      </c>
      <c r="M558" s="1" t="s">
        <v>103</v>
      </c>
      <c r="N558" s="1" t="s">
        <v>166</v>
      </c>
      <c r="O558" s="1"/>
      <c r="P558" s="1" t="s">
        <v>2379</v>
      </c>
      <c r="Q558" s="1" t="s">
        <v>2380</v>
      </c>
      <c r="R558" s="1"/>
      <c r="S558" s="9">
        <v>-16336.73</v>
      </c>
      <c r="T558" s="1">
        <v>-16336.73</v>
      </c>
      <c r="U558" s="1" t="s">
        <v>2535</v>
      </c>
      <c r="V558" s="1" t="s">
        <v>15</v>
      </c>
      <c r="W558" s="1" t="s">
        <v>17</v>
      </c>
      <c r="X558" s="1" t="s">
        <v>17</v>
      </c>
      <c r="Y558" s="1" t="s">
        <v>17</v>
      </c>
      <c r="Z558" s="1" t="s">
        <v>17</v>
      </c>
      <c r="AA558" s="1" t="s">
        <v>17</v>
      </c>
      <c r="AB558" s="1">
        <v>0</v>
      </c>
      <c r="AC558" s="1" t="s">
        <v>17</v>
      </c>
    </row>
    <row r="559" spans="1:29">
      <c r="A559" s="1" t="s">
        <v>17</v>
      </c>
      <c r="B559" s="1" t="s">
        <v>2802</v>
      </c>
      <c r="C559" s="1" t="s">
        <v>2685</v>
      </c>
      <c r="D559" s="1" t="s">
        <v>42</v>
      </c>
      <c r="E559" s="1" t="s">
        <v>42</v>
      </c>
      <c r="F559" s="1" t="s">
        <v>17</v>
      </c>
      <c r="G559" s="1" t="s">
        <v>17</v>
      </c>
      <c r="H559" s="1" t="s">
        <v>17</v>
      </c>
      <c r="I559" s="1" t="s">
        <v>17</v>
      </c>
      <c r="J559" s="1" t="s">
        <v>17</v>
      </c>
      <c r="K559" s="1" t="s">
        <v>17</v>
      </c>
      <c r="L559" s="9">
        <v>0</v>
      </c>
      <c r="M559" s="1" t="s">
        <v>103</v>
      </c>
      <c r="N559" s="1" t="s">
        <v>2686</v>
      </c>
      <c r="O559" s="1"/>
      <c r="P559" s="1" t="s">
        <v>2379</v>
      </c>
      <c r="Q559" s="1" t="s">
        <v>2380</v>
      </c>
      <c r="R559" s="1"/>
      <c r="S559" s="9">
        <v>13404.5</v>
      </c>
      <c r="T559" s="1">
        <v>13404.5</v>
      </c>
      <c r="U559" s="1" t="s">
        <v>2535</v>
      </c>
      <c r="V559" s="1" t="s">
        <v>15</v>
      </c>
      <c r="W559" s="1" t="s">
        <v>17</v>
      </c>
      <c r="X559" s="1" t="s">
        <v>17</v>
      </c>
      <c r="Y559" s="1" t="s">
        <v>17</v>
      </c>
      <c r="Z559" s="1" t="s">
        <v>17</v>
      </c>
      <c r="AA559" s="1" t="s">
        <v>17</v>
      </c>
      <c r="AB559" s="1">
        <v>0</v>
      </c>
      <c r="AC559" s="1" t="s">
        <v>17</v>
      </c>
    </row>
    <row r="560" spans="1:29">
      <c r="A560" s="1" t="s">
        <v>17</v>
      </c>
      <c r="B560" s="1" t="s">
        <v>2803</v>
      </c>
      <c r="C560" s="1" t="s">
        <v>2804</v>
      </c>
      <c r="D560" s="1" t="s">
        <v>42</v>
      </c>
      <c r="E560" s="1" t="s">
        <v>42</v>
      </c>
      <c r="F560" s="1" t="s">
        <v>17</v>
      </c>
      <c r="G560" s="1" t="s">
        <v>17</v>
      </c>
      <c r="H560" s="1" t="s">
        <v>17</v>
      </c>
      <c r="I560" s="1" t="s">
        <v>17</v>
      </c>
      <c r="J560" s="1" t="s">
        <v>17</v>
      </c>
      <c r="K560" s="1" t="s">
        <v>17</v>
      </c>
      <c r="L560" s="9">
        <v>0</v>
      </c>
      <c r="M560" s="1" t="s">
        <v>103</v>
      </c>
      <c r="N560" s="1" t="s">
        <v>104</v>
      </c>
      <c r="O560" s="1"/>
      <c r="P560" s="1" t="s">
        <v>2379</v>
      </c>
      <c r="Q560" s="1" t="s">
        <v>2380</v>
      </c>
      <c r="R560" s="1"/>
      <c r="S560" s="9">
        <v>23666.83</v>
      </c>
      <c r="T560" s="1">
        <v>23666.83</v>
      </c>
      <c r="U560" s="1" t="s">
        <v>2535</v>
      </c>
      <c r="V560" s="1" t="s">
        <v>15</v>
      </c>
      <c r="W560" s="1" t="s">
        <v>17</v>
      </c>
      <c r="X560" s="1" t="s">
        <v>17</v>
      </c>
      <c r="Y560" s="1" t="s">
        <v>17</v>
      </c>
      <c r="Z560" s="1" t="s">
        <v>17</v>
      </c>
      <c r="AA560" s="1" t="s">
        <v>17</v>
      </c>
      <c r="AB560" s="1">
        <v>0</v>
      </c>
      <c r="AC560" s="1" t="s">
        <v>17</v>
      </c>
    </row>
    <row r="561" spans="1:29">
      <c r="A561" s="1" t="s">
        <v>17</v>
      </c>
      <c r="B561" s="1" t="s">
        <v>2805</v>
      </c>
      <c r="C561" s="1" t="s">
        <v>2788</v>
      </c>
      <c r="D561" s="1" t="s">
        <v>42</v>
      </c>
      <c r="E561" s="1" t="s">
        <v>42</v>
      </c>
      <c r="F561" s="1" t="s">
        <v>17</v>
      </c>
      <c r="G561" s="1" t="s">
        <v>17</v>
      </c>
      <c r="H561" s="1" t="s">
        <v>17</v>
      </c>
      <c r="I561" s="1" t="s">
        <v>17</v>
      </c>
      <c r="J561" s="1" t="s">
        <v>17</v>
      </c>
      <c r="K561" s="1" t="s">
        <v>17</v>
      </c>
      <c r="L561" s="9">
        <v>0</v>
      </c>
      <c r="M561" s="1" t="s">
        <v>103</v>
      </c>
      <c r="N561" s="1" t="s">
        <v>428</v>
      </c>
      <c r="O561" s="1"/>
      <c r="P561" s="1" t="s">
        <v>2379</v>
      </c>
      <c r="Q561" s="1" t="s">
        <v>2380</v>
      </c>
      <c r="R561" s="1"/>
      <c r="S561" s="9">
        <v>-16546.18</v>
      </c>
      <c r="T561" s="1">
        <v>-16546.18</v>
      </c>
      <c r="U561" s="1" t="s">
        <v>2535</v>
      </c>
      <c r="V561" s="1" t="s">
        <v>15</v>
      </c>
      <c r="W561" s="1" t="s">
        <v>17</v>
      </c>
      <c r="X561" s="1" t="s">
        <v>17</v>
      </c>
      <c r="Y561" s="1" t="s">
        <v>17</v>
      </c>
      <c r="Z561" s="1" t="s">
        <v>17</v>
      </c>
      <c r="AA561" s="1" t="s">
        <v>17</v>
      </c>
      <c r="AB561" s="1">
        <v>0</v>
      </c>
      <c r="AC561" s="1" t="s">
        <v>17</v>
      </c>
    </row>
    <row r="562" spans="1:29">
      <c r="A562" s="1" t="s">
        <v>17</v>
      </c>
      <c r="B562" s="1" t="s">
        <v>2806</v>
      </c>
      <c r="C562" s="1" t="s">
        <v>2762</v>
      </c>
      <c r="D562" s="1" t="s">
        <v>42</v>
      </c>
      <c r="E562" s="1" t="s">
        <v>42</v>
      </c>
      <c r="F562" s="1" t="s">
        <v>17</v>
      </c>
      <c r="G562" s="1" t="s">
        <v>17</v>
      </c>
      <c r="H562" s="1" t="s">
        <v>17</v>
      </c>
      <c r="I562" s="1" t="s">
        <v>17</v>
      </c>
      <c r="J562" s="1" t="s">
        <v>17</v>
      </c>
      <c r="K562" s="1" t="s">
        <v>17</v>
      </c>
      <c r="L562" s="9">
        <v>0</v>
      </c>
      <c r="M562" s="1" t="s">
        <v>103</v>
      </c>
      <c r="N562" s="1" t="s">
        <v>1678</v>
      </c>
      <c r="O562" s="1"/>
      <c r="P562" s="1" t="s">
        <v>2379</v>
      </c>
      <c r="Q562" s="1" t="s">
        <v>2380</v>
      </c>
      <c r="R562" s="1"/>
      <c r="S562" s="9">
        <v>15498.94</v>
      </c>
      <c r="T562" s="1">
        <v>15498.94</v>
      </c>
      <c r="U562" s="1" t="s">
        <v>2535</v>
      </c>
      <c r="V562" s="1" t="s">
        <v>15</v>
      </c>
      <c r="W562" s="1" t="s">
        <v>17</v>
      </c>
      <c r="X562" s="1" t="s">
        <v>17</v>
      </c>
      <c r="Y562" s="1" t="s">
        <v>17</v>
      </c>
      <c r="Z562" s="1" t="s">
        <v>17</v>
      </c>
      <c r="AA562" s="1" t="s">
        <v>17</v>
      </c>
      <c r="AB562" s="1">
        <v>0</v>
      </c>
      <c r="AC562" s="1" t="s">
        <v>17</v>
      </c>
    </row>
    <row r="563" spans="1:29">
      <c r="A563" s="1" t="s">
        <v>17</v>
      </c>
      <c r="B563" s="1" t="s">
        <v>2807</v>
      </c>
      <c r="C563" s="1" t="s">
        <v>2804</v>
      </c>
      <c r="D563" s="1" t="s">
        <v>42</v>
      </c>
      <c r="E563" s="1" t="s">
        <v>42</v>
      </c>
      <c r="F563" s="1" t="s">
        <v>17</v>
      </c>
      <c r="G563" s="1" t="s">
        <v>17</v>
      </c>
      <c r="H563" s="1" t="s">
        <v>17</v>
      </c>
      <c r="I563" s="1" t="s">
        <v>17</v>
      </c>
      <c r="J563" s="1" t="s">
        <v>17</v>
      </c>
      <c r="K563" s="1" t="s">
        <v>17</v>
      </c>
      <c r="L563" s="9">
        <v>0</v>
      </c>
      <c r="M563" s="1" t="s">
        <v>103</v>
      </c>
      <c r="N563" s="1" t="s">
        <v>104</v>
      </c>
      <c r="O563" s="1"/>
      <c r="P563" s="1" t="s">
        <v>2379</v>
      </c>
      <c r="Q563" s="1" t="s">
        <v>2380</v>
      </c>
      <c r="R563" s="1"/>
      <c r="S563" s="9">
        <v>-23667.33</v>
      </c>
      <c r="T563" s="1">
        <v>-23667.33</v>
      </c>
      <c r="U563" s="1" t="s">
        <v>2535</v>
      </c>
      <c r="V563" s="1" t="s">
        <v>15</v>
      </c>
      <c r="W563" s="1" t="s">
        <v>17</v>
      </c>
      <c r="X563" s="1" t="s">
        <v>17</v>
      </c>
      <c r="Y563" s="1" t="s">
        <v>17</v>
      </c>
      <c r="Z563" s="1" t="s">
        <v>17</v>
      </c>
      <c r="AA563" s="1" t="s">
        <v>17</v>
      </c>
      <c r="AB563" s="1">
        <v>0</v>
      </c>
      <c r="AC563" s="1" t="s">
        <v>17</v>
      </c>
    </row>
  </sheetData>
  <autoFilter ref="A1:AT56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"/>
  <sheetViews>
    <sheetView workbookViewId="0"/>
  </sheetViews>
  <sheetFormatPr defaultRowHeight="15"/>
  <cols>
    <col min="1" max="25" width="15" customWidth="1"/>
  </cols>
  <sheetData>
    <row r="1" spans="1:25" ht="45">
      <c r="A1" s="8" t="s">
        <v>54</v>
      </c>
      <c r="B1" s="8" t="s">
        <v>55</v>
      </c>
      <c r="C1" s="8" t="s">
        <v>56</v>
      </c>
      <c r="D1" s="8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64</v>
      </c>
      <c r="K1" s="11" t="s">
        <v>65</v>
      </c>
      <c r="L1" s="11" t="s">
        <v>66</v>
      </c>
      <c r="M1" s="11" t="s">
        <v>67</v>
      </c>
      <c r="N1" s="11" t="s">
        <v>68</v>
      </c>
      <c r="O1" s="11" t="s">
        <v>69</v>
      </c>
      <c r="P1" s="11" t="s">
        <v>71</v>
      </c>
      <c r="Q1" s="12" t="s">
        <v>52</v>
      </c>
      <c r="R1" s="11" t="s">
        <v>2808</v>
      </c>
      <c r="S1" s="11" t="s">
        <v>2809</v>
      </c>
      <c r="T1" s="11" t="s">
        <v>2810</v>
      </c>
      <c r="U1" s="11" t="s">
        <v>2811</v>
      </c>
      <c r="V1" s="13" t="s">
        <v>90</v>
      </c>
      <c r="W1" s="13" t="s">
        <v>83</v>
      </c>
      <c r="X1" s="13" t="s">
        <v>2812</v>
      </c>
      <c r="Y1" s="13" t="s">
        <v>86</v>
      </c>
    </row>
    <row r="2" spans="1:25">
      <c r="A2" s="1" t="s">
        <v>2511</v>
      </c>
      <c r="B2" s="1" t="s">
        <v>17</v>
      </c>
      <c r="C2" s="1" t="s">
        <v>27</v>
      </c>
      <c r="D2" s="1" t="s">
        <v>2391</v>
      </c>
      <c r="E2" s="1"/>
      <c r="F2" s="1" t="s">
        <v>17</v>
      </c>
      <c r="G2" s="1" t="s">
        <v>17</v>
      </c>
      <c r="H2" s="1" t="s">
        <v>17</v>
      </c>
      <c r="I2" s="1" t="s">
        <v>17</v>
      </c>
      <c r="J2" s="9">
        <v>0</v>
      </c>
      <c r="K2" s="1" t="s">
        <v>103</v>
      </c>
      <c r="L2" s="1" t="s">
        <v>2512</v>
      </c>
      <c r="M2" s="1" t="s">
        <v>2513</v>
      </c>
      <c r="N2" s="1" t="s">
        <v>127</v>
      </c>
      <c r="O2" s="1" t="s">
        <v>131</v>
      </c>
      <c r="P2" s="9">
        <v>34947.879999999997</v>
      </c>
      <c r="Q2" s="9">
        <v>34947.879999999997</v>
      </c>
      <c r="R2" s="1" t="s">
        <v>2813</v>
      </c>
      <c r="S2" s="1" t="s">
        <v>2814</v>
      </c>
      <c r="T2" s="9">
        <v>0</v>
      </c>
      <c r="U2" s="1" t="s">
        <v>2512</v>
      </c>
      <c r="V2" s="1" t="s">
        <v>2815</v>
      </c>
      <c r="W2" s="1" t="s">
        <v>2816</v>
      </c>
      <c r="X2" s="1" t="s">
        <v>2817</v>
      </c>
      <c r="Y2" s="1" t="s">
        <v>17</v>
      </c>
    </row>
    <row r="3" spans="1:25">
      <c r="A3" s="1" t="s">
        <v>2501</v>
      </c>
      <c r="B3" s="1" t="s">
        <v>17</v>
      </c>
      <c r="C3" s="1" t="s">
        <v>27</v>
      </c>
      <c r="D3" s="1" t="s">
        <v>2391</v>
      </c>
      <c r="E3" s="1"/>
      <c r="F3" s="1" t="s">
        <v>17</v>
      </c>
      <c r="G3" s="1" t="s">
        <v>17</v>
      </c>
      <c r="H3" s="1" t="s">
        <v>17</v>
      </c>
      <c r="I3" s="1" t="s">
        <v>17</v>
      </c>
      <c r="J3" s="9">
        <v>0</v>
      </c>
      <c r="K3" s="1" t="s">
        <v>103</v>
      </c>
      <c r="L3" s="1" t="s">
        <v>2259</v>
      </c>
      <c r="M3" s="1" t="s">
        <v>2502</v>
      </c>
      <c r="N3" s="1" t="s">
        <v>127</v>
      </c>
      <c r="O3" s="1" t="s">
        <v>131</v>
      </c>
      <c r="P3" s="9">
        <v>29500</v>
      </c>
      <c r="Q3" s="9">
        <v>29500</v>
      </c>
      <c r="R3" s="1" t="s">
        <v>2818</v>
      </c>
      <c r="S3" s="1" t="s">
        <v>2819</v>
      </c>
      <c r="T3" s="9">
        <v>0</v>
      </c>
      <c r="U3" s="1" t="s">
        <v>2259</v>
      </c>
      <c r="V3" s="1" t="s">
        <v>2815</v>
      </c>
      <c r="W3" s="1" t="s">
        <v>2820</v>
      </c>
      <c r="X3" s="1" t="s">
        <v>2821</v>
      </c>
      <c r="Y3" s="1" t="s">
        <v>17</v>
      </c>
    </row>
    <row r="4" spans="1:25">
      <c r="A4" s="1" t="s">
        <v>2515</v>
      </c>
      <c r="B4" s="1" t="s">
        <v>17</v>
      </c>
      <c r="C4" s="1" t="s">
        <v>27</v>
      </c>
      <c r="D4" s="1" t="s">
        <v>2391</v>
      </c>
      <c r="E4" s="1"/>
      <c r="F4" s="1" t="s">
        <v>17</v>
      </c>
      <c r="G4" s="1" t="s">
        <v>17</v>
      </c>
      <c r="H4" s="1" t="s">
        <v>17</v>
      </c>
      <c r="I4" s="1" t="s">
        <v>17</v>
      </c>
      <c r="J4" s="9">
        <v>0</v>
      </c>
      <c r="K4" s="1" t="s">
        <v>103</v>
      </c>
      <c r="L4" s="1" t="s">
        <v>2482</v>
      </c>
      <c r="M4" s="1" t="s">
        <v>17</v>
      </c>
      <c r="N4" s="1" t="s">
        <v>127</v>
      </c>
      <c r="O4" s="1" t="s">
        <v>131</v>
      </c>
      <c r="P4" s="9">
        <v>139909.44</v>
      </c>
      <c r="Q4" s="9">
        <v>139909.44</v>
      </c>
      <c r="R4" s="1" t="s">
        <v>2822</v>
      </c>
      <c r="S4" s="1" t="s">
        <v>1117</v>
      </c>
      <c r="T4" s="9">
        <v>0</v>
      </c>
      <c r="U4" s="1" t="s">
        <v>17</v>
      </c>
      <c r="V4" s="1" t="s">
        <v>2823</v>
      </c>
      <c r="W4" s="1" t="s">
        <v>17</v>
      </c>
      <c r="X4" s="1" t="s">
        <v>17</v>
      </c>
      <c r="Y4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"/>
  <sheetViews>
    <sheetView workbookViewId="0"/>
  </sheetViews>
  <sheetFormatPr defaultRowHeight="15"/>
  <cols>
    <col min="1" max="38" width="15" customWidth="1"/>
  </cols>
  <sheetData>
    <row r="1" spans="1:38" ht="60">
      <c r="A1" s="8" t="s">
        <v>53</v>
      </c>
      <c r="B1" s="8" t="s">
        <v>55</v>
      </c>
      <c r="C1" s="8" t="s">
        <v>56</v>
      </c>
      <c r="D1" s="8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64</v>
      </c>
      <c r="K1" s="11" t="s">
        <v>65</v>
      </c>
      <c r="L1" s="11" t="s">
        <v>66</v>
      </c>
      <c r="M1" s="11" t="s">
        <v>67</v>
      </c>
      <c r="N1" s="11" t="s">
        <v>68</v>
      </c>
      <c r="O1" s="11" t="s">
        <v>69</v>
      </c>
      <c r="P1" s="11" t="s">
        <v>71</v>
      </c>
      <c r="Q1" s="12" t="s">
        <v>52</v>
      </c>
      <c r="R1" s="10" t="s">
        <v>77</v>
      </c>
      <c r="S1" s="10" t="s">
        <v>78</v>
      </c>
      <c r="T1" s="10" t="s">
        <v>79</v>
      </c>
      <c r="U1" s="10" t="s">
        <v>80</v>
      </c>
      <c r="V1" s="13" t="s">
        <v>81</v>
      </c>
      <c r="W1" s="13" t="s">
        <v>82</v>
      </c>
      <c r="X1" s="13" t="s">
        <v>83</v>
      </c>
      <c r="Y1" s="13" t="s">
        <v>84</v>
      </c>
      <c r="Z1" s="13" t="s">
        <v>85</v>
      </c>
      <c r="AA1" s="13" t="s">
        <v>86</v>
      </c>
      <c r="AB1" s="13" t="s">
        <v>87</v>
      </c>
      <c r="AC1" s="13" t="s">
        <v>88</v>
      </c>
      <c r="AD1" s="13" t="s">
        <v>89</v>
      </c>
      <c r="AE1" s="13" t="s">
        <v>90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95</v>
      </c>
      <c r="AK1" s="13" t="s">
        <v>96</v>
      </c>
      <c r="AL1" s="13" t="s">
        <v>97</v>
      </c>
    </row>
    <row r="2" spans="1:38">
      <c r="A2" s="1" t="s">
        <v>2390</v>
      </c>
      <c r="B2" s="1" t="s">
        <v>17</v>
      </c>
      <c r="C2" s="1" t="s">
        <v>30</v>
      </c>
      <c r="D2" s="1" t="s">
        <v>2391</v>
      </c>
      <c r="E2" s="1" t="s">
        <v>103</v>
      </c>
      <c r="F2" s="1" t="s">
        <v>1342</v>
      </c>
      <c r="G2" s="1"/>
      <c r="H2" s="1" t="s">
        <v>2392</v>
      </c>
      <c r="I2" s="1" t="s">
        <v>2393</v>
      </c>
      <c r="J2" s="9">
        <v>17174.509999999998</v>
      </c>
      <c r="K2" s="1"/>
      <c r="L2" s="1" t="s">
        <v>17</v>
      </c>
      <c r="M2" s="1" t="s">
        <v>17</v>
      </c>
      <c r="N2" s="1" t="s">
        <v>17</v>
      </c>
      <c r="O2" s="1" t="s">
        <v>17</v>
      </c>
      <c r="P2" s="9">
        <v>0</v>
      </c>
      <c r="Q2" s="9">
        <v>17174.509999999998</v>
      </c>
      <c r="R2" s="1" t="s">
        <v>2395</v>
      </c>
      <c r="S2" s="1" t="s">
        <v>17</v>
      </c>
      <c r="T2" s="9">
        <v>0</v>
      </c>
      <c r="U2" s="1" t="s">
        <v>17</v>
      </c>
      <c r="V2" s="1" t="s">
        <v>112</v>
      </c>
      <c r="W2" s="1" t="s">
        <v>113</v>
      </c>
      <c r="X2" s="1" t="s">
        <v>2396</v>
      </c>
      <c r="Y2" s="1" t="s">
        <v>114</v>
      </c>
      <c r="Z2" s="1" t="s">
        <v>2397</v>
      </c>
      <c r="AA2" s="1" t="s">
        <v>2398</v>
      </c>
      <c r="AB2" s="1" t="s">
        <v>2399</v>
      </c>
      <c r="AC2" s="1" t="s">
        <v>179</v>
      </c>
      <c r="AD2" s="1" t="s">
        <v>137</v>
      </c>
      <c r="AE2" s="1" t="s">
        <v>117</v>
      </c>
      <c r="AF2" s="1" t="s">
        <v>320</v>
      </c>
      <c r="AG2" s="1" t="s">
        <v>2386</v>
      </c>
      <c r="AH2" s="1" t="s">
        <v>119</v>
      </c>
      <c r="AI2" s="1" t="s">
        <v>119</v>
      </c>
      <c r="AJ2" s="1" t="s">
        <v>664</v>
      </c>
      <c r="AK2" s="1" t="s">
        <v>2387</v>
      </c>
      <c r="AL2" s="1" t="s">
        <v>1342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9"/>
  <sheetViews>
    <sheetView workbookViewId="0"/>
  </sheetViews>
  <sheetFormatPr defaultRowHeight="15"/>
  <cols>
    <col min="1" max="25" width="15" customWidth="1"/>
  </cols>
  <sheetData>
    <row r="1" spans="1:25" ht="45">
      <c r="A1" s="8" t="s">
        <v>54</v>
      </c>
      <c r="B1" s="8" t="s">
        <v>55</v>
      </c>
      <c r="C1" s="8" t="s">
        <v>56</v>
      </c>
      <c r="D1" s="8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64</v>
      </c>
      <c r="K1" s="11" t="s">
        <v>65</v>
      </c>
      <c r="L1" s="11" t="s">
        <v>66</v>
      </c>
      <c r="M1" s="11" t="s">
        <v>67</v>
      </c>
      <c r="N1" s="11" t="s">
        <v>68</v>
      </c>
      <c r="O1" s="11" t="s">
        <v>69</v>
      </c>
      <c r="P1" s="11" t="s">
        <v>71</v>
      </c>
      <c r="Q1" s="12" t="s">
        <v>52</v>
      </c>
      <c r="R1" s="11" t="s">
        <v>2808</v>
      </c>
      <c r="S1" s="11" t="s">
        <v>2809</v>
      </c>
      <c r="T1" s="11" t="s">
        <v>2810</v>
      </c>
      <c r="U1" s="11" t="s">
        <v>2811</v>
      </c>
      <c r="V1" s="13" t="s">
        <v>90</v>
      </c>
      <c r="W1" s="13" t="s">
        <v>83</v>
      </c>
      <c r="X1" s="13" t="s">
        <v>2812</v>
      </c>
      <c r="Y1" s="13" t="s">
        <v>86</v>
      </c>
    </row>
    <row r="2" spans="1:25">
      <c r="A2" s="1" t="s">
        <v>2499</v>
      </c>
      <c r="B2" s="1" t="s">
        <v>17</v>
      </c>
      <c r="C2" s="1" t="s">
        <v>33</v>
      </c>
      <c r="D2" s="1" t="s">
        <v>2391</v>
      </c>
      <c r="E2" s="1"/>
      <c r="F2" s="1" t="s">
        <v>17</v>
      </c>
      <c r="G2" s="1" t="s">
        <v>17</v>
      </c>
      <c r="H2" s="1" t="s">
        <v>17</v>
      </c>
      <c r="I2" s="1" t="s">
        <v>17</v>
      </c>
      <c r="J2" s="9">
        <v>0</v>
      </c>
      <c r="K2" s="1" t="s">
        <v>103</v>
      </c>
      <c r="L2" s="1" t="s">
        <v>752</v>
      </c>
      <c r="M2" s="1" t="s">
        <v>17</v>
      </c>
      <c r="N2" s="1" t="s">
        <v>2379</v>
      </c>
      <c r="O2" s="1" t="s">
        <v>2380</v>
      </c>
      <c r="P2" s="9">
        <v>-38420.120000000003</v>
      </c>
      <c r="Q2" s="9">
        <v>-38420.120000000003</v>
      </c>
      <c r="R2" s="1" t="s">
        <v>2824</v>
      </c>
      <c r="S2" s="1" t="s">
        <v>752</v>
      </c>
      <c r="T2" s="9">
        <v>0</v>
      </c>
      <c r="U2" s="1" t="s">
        <v>752</v>
      </c>
      <c r="V2" s="1" t="s">
        <v>2825</v>
      </c>
      <c r="W2" s="1" t="s">
        <v>2824</v>
      </c>
      <c r="X2" s="1" t="s">
        <v>17</v>
      </c>
      <c r="Y2" s="1" t="s">
        <v>17</v>
      </c>
    </row>
    <row r="3" spans="1:25">
      <c r="A3" s="1" t="s">
        <v>2500</v>
      </c>
      <c r="B3" s="1" t="s">
        <v>17</v>
      </c>
      <c r="C3" s="1" t="s">
        <v>33</v>
      </c>
      <c r="D3" s="1" t="s">
        <v>2391</v>
      </c>
      <c r="E3" s="1"/>
      <c r="F3" s="1" t="s">
        <v>17</v>
      </c>
      <c r="G3" s="1" t="s">
        <v>17</v>
      </c>
      <c r="H3" s="1" t="s">
        <v>17</v>
      </c>
      <c r="I3" s="1" t="s">
        <v>17</v>
      </c>
      <c r="J3" s="9">
        <v>0</v>
      </c>
      <c r="K3" s="1" t="s">
        <v>103</v>
      </c>
      <c r="L3" s="1" t="s">
        <v>1094</v>
      </c>
      <c r="M3" s="1" t="s">
        <v>17</v>
      </c>
      <c r="N3" s="1" t="s">
        <v>2379</v>
      </c>
      <c r="O3" s="1" t="s">
        <v>2380</v>
      </c>
      <c r="P3" s="9">
        <v>8120</v>
      </c>
      <c r="Q3" s="9">
        <v>8120</v>
      </c>
      <c r="R3" s="1" t="s">
        <v>2826</v>
      </c>
      <c r="S3" s="1" t="s">
        <v>1094</v>
      </c>
      <c r="T3" s="9">
        <v>0</v>
      </c>
      <c r="U3" s="1" t="s">
        <v>1094</v>
      </c>
      <c r="V3" s="1" t="s">
        <v>2825</v>
      </c>
      <c r="W3" s="1" t="s">
        <v>2826</v>
      </c>
      <c r="X3" s="1" t="s">
        <v>17</v>
      </c>
      <c r="Y3" s="1" t="s">
        <v>17</v>
      </c>
    </row>
    <row r="4" spans="1:25">
      <c r="A4" s="1" t="s">
        <v>2507</v>
      </c>
      <c r="B4" s="1" t="s">
        <v>17</v>
      </c>
      <c r="C4" s="1" t="s">
        <v>33</v>
      </c>
      <c r="D4" s="1" t="s">
        <v>2391</v>
      </c>
      <c r="E4" s="1"/>
      <c r="F4" s="1" t="s">
        <v>17</v>
      </c>
      <c r="G4" s="1" t="s">
        <v>17</v>
      </c>
      <c r="H4" s="1" t="s">
        <v>17</v>
      </c>
      <c r="I4" s="1" t="s">
        <v>17</v>
      </c>
      <c r="J4" s="9">
        <v>0</v>
      </c>
      <c r="K4" s="1" t="s">
        <v>103</v>
      </c>
      <c r="L4" s="1" t="s">
        <v>258</v>
      </c>
      <c r="M4" s="1" t="s">
        <v>17</v>
      </c>
      <c r="N4" s="1" t="s">
        <v>2379</v>
      </c>
      <c r="O4" s="1" t="s">
        <v>2380</v>
      </c>
      <c r="P4" s="9">
        <v>108280.51</v>
      </c>
      <c r="Q4" s="9">
        <v>108280.51</v>
      </c>
      <c r="R4" s="1" t="s">
        <v>2827</v>
      </c>
      <c r="S4" s="1" t="s">
        <v>258</v>
      </c>
      <c r="T4" s="9">
        <v>0</v>
      </c>
      <c r="U4" s="1" t="s">
        <v>258</v>
      </c>
      <c r="V4" s="1" t="s">
        <v>2825</v>
      </c>
      <c r="W4" s="1" t="s">
        <v>2827</v>
      </c>
      <c r="X4" s="1" t="s">
        <v>17</v>
      </c>
      <c r="Y4" s="1" t="s">
        <v>17</v>
      </c>
    </row>
    <row r="5" spans="1:25">
      <c r="A5" s="1" t="s">
        <v>2522</v>
      </c>
      <c r="B5" s="1" t="s">
        <v>17</v>
      </c>
      <c r="C5" s="1" t="s">
        <v>33</v>
      </c>
      <c r="D5" s="1" t="s">
        <v>2391</v>
      </c>
      <c r="E5" s="1"/>
      <c r="F5" s="1" t="s">
        <v>17</v>
      </c>
      <c r="G5" s="1" t="s">
        <v>17</v>
      </c>
      <c r="H5" s="1" t="s">
        <v>17</v>
      </c>
      <c r="I5" s="1" t="s">
        <v>17</v>
      </c>
      <c r="J5" s="9">
        <v>0</v>
      </c>
      <c r="K5" s="1" t="s">
        <v>103</v>
      </c>
      <c r="L5" s="1" t="s">
        <v>625</v>
      </c>
      <c r="M5" s="1" t="s">
        <v>17</v>
      </c>
      <c r="N5" s="1" t="s">
        <v>2379</v>
      </c>
      <c r="O5" s="1" t="s">
        <v>2380</v>
      </c>
      <c r="P5" s="9">
        <v>-8260</v>
      </c>
      <c r="Q5" s="9">
        <v>-8260</v>
      </c>
      <c r="R5" s="1" t="s">
        <v>2828</v>
      </c>
      <c r="S5" s="1" t="s">
        <v>625</v>
      </c>
      <c r="T5" s="9">
        <v>0</v>
      </c>
      <c r="U5" s="1" t="s">
        <v>625</v>
      </c>
      <c r="V5" s="1" t="s">
        <v>2825</v>
      </c>
      <c r="W5" s="1" t="s">
        <v>2828</v>
      </c>
      <c r="X5" s="1" t="s">
        <v>17</v>
      </c>
      <c r="Y5" s="1" t="s">
        <v>17</v>
      </c>
    </row>
    <row r="6" spans="1:25">
      <c r="A6" s="1" t="s">
        <v>2528</v>
      </c>
      <c r="B6" s="1" t="s">
        <v>17</v>
      </c>
      <c r="C6" s="1" t="s">
        <v>33</v>
      </c>
      <c r="D6" s="1" t="s">
        <v>2391</v>
      </c>
      <c r="E6" s="1"/>
      <c r="F6" s="1" t="s">
        <v>17</v>
      </c>
      <c r="G6" s="1" t="s">
        <v>17</v>
      </c>
      <c r="H6" s="1" t="s">
        <v>17</v>
      </c>
      <c r="I6" s="1" t="s">
        <v>17</v>
      </c>
      <c r="J6" s="9">
        <v>0</v>
      </c>
      <c r="K6" s="1" t="s">
        <v>103</v>
      </c>
      <c r="L6" s="1" t="s">
        <v>1196</v>
      </c>
      <c r="M6" s="1" t="s">
        <v>17</v>
      </c>
      <c r="N6" s="1" t="s">
        <v>2379</v>
      </c>
      <c r="O6" s="1" t="s">
        <v>2380</v>
      </c>
      <c r="P6" s="9">
        <v>-24387.29</v>
      </c>
      <c r="Q6" s="9">
        <v>-24387.29</v>
      </c>
      <c r="R6" s="1" t="s">
        <v>2829</v>
      </c>
      <c r="S6" s="1" t="s">
        <v>1196</v>
      </c>
      <c r="T6" s="9">
        <v>0</v>
      </c>
      <c r="U6" s="1" t="s">
        <v>1196</v>
      </c>
      <c r="V6" s="1" t="s">
        <v>2825</v>
      </c>
      <c r="W6" s="1" t="s">
        <v>2829</v>
      </c>
      <c r="X6" s="1" t="s">
        <v>17</v>
      </c>
      <c r="Y6" s="1" t="s">
        <v>17</v>
      </c>
    </row>
    <row r="7" spans="1:25">
      <c r="A7" s="1" t="s">
        <v>2496</v>
      </c>
      <c r="B7" s="1" t="s">
        <v>17</v>
      </c>
      <c r="C7" s="1" t="s">
        <v>33</v>
      </c>
      <c r="D7" s="1" t="s">
        <v>2391</v>
      </c>
      <c r="E7" s="1"/>
      <c r="F7" s="1" t="s">
        <v>17</v>
      </c>
      <c r="G7" s="1" t="s">
        <v>17</v>
      </c>
      <c r="H7" s="1" t="s">
        <v>17</v>
      </c>
      <c r="I7" s="1" t="s">
        <v>17</v>
      </c>
      <c r="J7" s="9">
        <v>0</v>
      </c>
      <c r="K7" s="1" t="s">
        <v>103</v>
      </c>
      <c r="L7" s="1" t="s">
        <v>1986</v>
      </c>
      <c r="M7" s="1" t="s">
        <v>17</v>
      </c>
      <c r="N7" s="1" t="s">
        <v>2379</v>
      </c>
      <c r="O7" s="1" t="s">
        <v>2380</v>
      </c>
      <c r="P7" s="9">
        <v>95505.13</v>
      </c>
      <c r="Q7" s="9">
        <v>95505.13</v>
      </c>
      <c r="R7" s="1" t="s">
        <v>2830</v>
      </c>
      <c r="S7" s="1" t="s">
        <v>1986</v>
      </c>
      <c r="T7" s="9">
        <v>0</v>
      </c>
      <c r="U7" s="1" t="s">
        <v>1986</v>
      </c>
      <c r="V7" s="1" t="s">
        <v>2823</v>
      </c>
      <c r="W7" s="1" t="s">
        <v>2830</v>
      </c>
      <c r="X7" s="1" t="s">
        <v>17</v>
      </c>
      <c r="Y7" s="1" t="s">
        <v>17</v>
      </c>
    </row>
    <row r="8" spans="1:25">
      <c r="A8" s="1" t="s">
        <v>2497</v>
      </c>
      <c r="B8" s="1" t="s">
        <v>17</v>
      </c>
      <c r="C8" s="1" t="s">
        <v>33</v>
      </c>
      <c r="D8" s="1" t="s">
        <v>2391</v>
      </c>
      <c r="E8" s="1"/>
      <c r="F8" s="1" t="s">
        <v>17</v>
      </c>
      <c r="G8" s="1" t="s">
        <v>17</v>
      </c>
      <c r="H8" s="1" t="s">
        <v>17</v>
      </c>
      <c r="I8" s="1" t="s">
        <v>17</v>
      </c>
      <c r="J8" s="9">
        <v>0</v>
      </c>
      <c r="K8" s="1" t="s">
        <v>103</v>
      </c>
      <c r="L8" s="1" t="s">
        <v>1418</v>
      </c>
      <c r="M8" s="1" t="s">
        <v>17</v>
      </c>
      <c r="N8" s="1" t="s">
        <v>2379</v>
      </c>
      <c r="O8" s="1" t="s">
        <v>2380</v>
      </c>
      <c r="P8" s="9">
        <v>8120</v>
      </c>
      <c r="Q8" s="9">
        <v>8120</v>
      </c>
      <c r="R8" s="1" t="s">
        <v>2831</v>
      </c>
      <c r="S8" s="1" t="s">
        <v>1418</v>
      </c>
      <c r="T8" s="9">
        <v>0</v>
      </c>
      <c r="U8" s="1" t="s">
        <v>1418</v>
      </c>
      <c r="V8" s="1" t="s">
        <v>2825</v>
      </c>
      <c r="W8" s="1" t="s">
        <v>2831</v>
      </c>
      <c r="X8" s="1" t="s">
        <v>17</v>
      </c>
      <c r="Y8" s="1" t="s">
        <v>17</v>
      </c>
    </row>
    <row r="9" spans="1:25">
      <c r="A9" s="1" t="s">
        <v>2498</v>
      </c>
      <c r="B9" s="1" t="s">
        <v>17</v>
      </c>
      <c r="C9" s="1" t="s">
        <v>33</v>
      </c>
      <c r="D9" s="1" t="s">
        <v>2391</v>
      </c>
      <c r="E9" s="1"/>
      <c r="F9" s="1" t="s">
        <v>17</v>
      </c>
      <c r="G9" s="1" t="s">
        <v>17</v>
      </c>
      <c r="H9" s="1" t="s">
        <v>17</v>
      </c>
      <c r="I9" s="1" t="s">
        <v>17</v>
      </c>
      <c r="J9" s="9">
        <v>0</v>
      </c>
      <c r="K9" s="1" t="s">
        <v>103</v>
      </c>
      <c r="L9" s="1" t="s">
        <v>298</v>
      </c>
      <c r="M9" s="1" t="s">
        <v>17</v>
      </c>
      <c r="N9" s="1" t="s">
        <v>2379</v>
      </c>
      <c r="O9" s="1" t="s">
        <v>2380</v>
      </c>
      <c r="P9" s="9">
        <v>-68999.12</v>
      </c>
      <c r="Q9" s="9">
        <v>-68999.12</v>
      </c>
      <c r="R9" s="1" t="s">
        <v>2832</v>
      </c>
      <c r="S9" s="1" t="s">
        <v>298</v>
      </c>
      <c r="T9" s="9">
        <v>0</v>
      </c>
      <c r="U9" s="1" t="s">
        <v>298</v>
      </c>
      <c r="V9" s="1" t="s">
        <v>2825</v>
      </c>
      <c r="W9" s="1" t="s">
        <v>2832</v>
      </c>
      <c r="X9" s="1" t="s">
        <v>17</v>
      </c>
      <c r="Y9" s="1" t="s">
        <v>17</v>
      </c>
    </row>
    <row r="10" spans="1:25">
      <c r="A10" s="1" t="s">
        <v>2505</v>
      </c>
      <c r="B10" s="1" t="s">
        <v>17</v>
      </c>
      <c r="C10" s="1" t="s">
        <v>33</v>
      </c>
      <c r="D10" s="1" t="s">
        <v>2391</v>
      </c>
      <c r="E10" s="1"/>
      <c r="F10" s="1" t="s">
        <v>17</v>
      </c>
      <c r="G10" s="1" t="s">
        <v>17</v>
      </c>
      <c r="H10" s="1" t="s">
        <v>17</v>
      </c>
      <c r="I10" s="1" t="s">
        <v>17</v>
      </c>
      <c r="J10" s="9">
        <v>0</v>
      </c>
      <c r="K10" s="1" t="s">
        <v>103</v>
      </c>
      <c r="L10" s="1" t="s">
        <v>258</v>
      </c>
      <c r="M10" s="1" t="s">
        <v>17</v>
      </c>
      <c r="N10" s="1" t="s">
        <v>2379</v>
      </c>
      <c r="O10" s="1" t="s">
        <v>2380</v>
      </c>
      <c r="P10" s="9">
        <v>-108283.19</v>
      </c>
      <c r="Q10" s="9">
        <v>-108283.19</v>
      </c>
      <c r="R10" s="1" t="s">
        <v>2827</v>
      </c>
      <c r="S10" s="1" t="s">
        <v>258</v>
      </c>
      <c r="T10" s="9">
        <v>0</v>
      </c>
      <c r="U10" s="1" t="s">
        <v>258</v>
      </c>
      <c r="V10" s="1" t="s">
        <v>2825</v>
      </c>
      <c r="W10" s="1" t="s">
        <v>2827</v>
      </c>
      <c r="X10" s="1" t="s">
        <v>17</v>
      </c>
      <c r="Y10" s="1" t="s">
        <v>17</v>
      </c>
    </row>
    <row r="11" spans="1:25">
      <c r="A11" s="1" t="s">
        <v>2508</v>
      </c>
      <c r="B11" s="1" t="s">
        <v>17</v>
      </c>
      <c r="C11" s="1" t="s">
        <v>33</v>
      </c>
      <c r="D11" s="1" t="s">
        <v>2391</v>
      </c>
      <c r="E11" s="1"/>
      <c r="F11" s="1" t="s">
        <v>17</v>
      </c>
      <c r="G11" s="1" t="s">
        <v>17</v>
      </c>
      <c r="H11" s="1" t="s">
        <v>17</v>
      </c>
      <c r="I11" s="1" t="s">
        <v>17</v>
      </c>
      <c r="J11" s="9">
        <v>0</v>
      </c>
      <c r="K11" s="1" t="s">
        <v>103</v>
      </c>
      <c r="L11" s="1" t="s">
        <v>964</v>
      </c>
      <c r="M11" s="1" t="s">
        <v>17</v>
      </c>
      <c r="N11" s="1" t="s">
        <v>2379</v>
      </c>
      <c r="O11" s="1" t="s">
        <v>2380</v>
      </c>
      <c r="P11" s="9">
        <v>-334308.40000000002</v>
      </c>
      <c r="Q11" s="9">
        <v>-334308.40000000002</v>
      </c>
      <c r="R11" s="1" t="s">
        <v>2833</v>
      </c>
      <c r="S11" s="1" t="s">
        <v>964</v>
      </c>
      <c r="T11" s="9">
        <v>0</v>
      </c>
      <c r="U11" s="1" t="s">
        <v>964</v>
      </c>
      <c r="V11" s="1" t="s">
        <v>2823</v>
      </c>
      <c r="W11" s="1" t="s">
        <v>2833</v>
      </c>
      <c r="X11" s="1" t="s">
        <v>17</v>
      </c>
      <c r="Y11" s="1" t="s">
        <v>17</v>
      </c>
    </row>
    <row r="12" spans="1:25">
      <c r="A12" s="1" t="s">
        <v>2510</v>
      </c>
      <c r="B12" s="1" t="s">
        <v>17</v>
      </c>
      <c r="C12" s="1" t="s">
        <v>33</v>
      </c>
      <c r="D12" s="1" t="s">
        <v>2391</v>
      </c>
      <c r="E12" s="1"/>
      <c r="F12" s="1" t="s">
        <v>17</v>
      </c>
      <c r="G12" s="1" t="s">
        <v>17</v>
      </c>
      <c r="H12" s="1" t="s">
        <v>17</v>
      </c>
      <c r="I12" s="1" t="s">
        <v>17</v>
      </c>
      <c r="J12" s="9">
        <v>0</v>
      </c>
      <c r="K12" s="1" t="s">
        <v>103</v>
      </c>
      <c r="L12" s="1" t="s">
        <v>1117</v>
      </c>
      <c r="M12" s="1" t="s">
        <v>17</v>
      </c>
      <c r="N12" s="1" t="s">
        <v>2379</v>
      </c>
      <c r="O12" s="1" t="s">
        <v>2380</v>
      </c>
      <c r="P12" s="9">
        <v>61574</v>
      </c>
      <c r="Q12" s="9">
        <v>61574</v>
      </c>
      <c r="R12" s="1" t="s">
        <v>2834</v>
      </c>
      <c r="S12" s="1" t="s">
        <v>1117</v>
      </c>
      <c r="T12" s="9">
        <v>0</v>
      </c>
      <c r="U12" s="1" t="s">
        <v>1117</v>
      </c>
      <c r="V12" s="1" t="s">
        <v>2823</v>
      </c>
      <c r="W12" s="1" t="s">
        <v>2834</v>
      </c>
      <c r="X12" s="1" t="s">
        <v>17</v>
      </c>
      <c r="Y12" s="1" t="s">
        <v>17</v>
      </c>
    </row>
    <row r="13" spans="1:25">
      <c r="A13" s="1" t="s">
        <v>2516</v>
      </c>
      <c r="B13" s="1" t="s">
        <v>17</v>
      </c>
      <c r="C13" s="1" t="s">
        <v>33</v>
      </c>
      <c r="D13" s="1" t="s">
        <v>2391</v>
      </c>
      <c r="E13" s="1"/>
      <c r="F13" s="1" t="s">
        <v>17</v>
      </c>
      <c r="G13" s="1" t="s">
        <v>17</v>
      </c>
      <c r="H13" s="1" t="s">
        <v>17</v>
      </c>
      <c r="I13" s="1" t="s">
        <v>17</v>
      </c>
      <c r="J13" s="9">
        <v>0</v>
      </c>
      <c r="K13" s="1" t="s">
        <v>103</v>
      </c>
      <c r="L13" s="1" t="s">
        <v>204</v>
      </c>
      <c r="M13" s="1" t="s">
        <v>17</v>
      </c>
      <c r="N13" s="1" t="s">
        <v>2379</v>
      </c>
      <c r="O13" s="1" t="s">
        <v>2380</v>
      </c>
      <c r="P13" s="9">
        <v>-55804.07</v>
      </c>
      <c r="Q13" s="9">
        <v>-55804.07</v>
      </c>
      <c r="R13" s="1" t="s">
        <v>2835</v>
      </c>
      <c r="S13" s="1" t="s">
        <v>204</v>
      </c>
      <c r="T13" s="9">
        <v>0</v>
      </c>
      <c r="U13" s="1" t="s">
        <v>204</v>
      </c>
      <c r="V13" s="1" t="s">
        <v>2825</v>
      </c>
      <c r="W13" s="1" t="s">
        <v>2835</v>
      </c>
      <c r="X13" s="1" t="s">
        <v>17</v>
      </c>
      <c r="Y13" s="1" t="s">
        <v>17</v>
      </c>
    </row>
    <row r="14" spans="1:25">
      <c r="A14" s="1" t="s">
        <v>2519</v>
      </c>
      <c r="B14" s="1" t="s">
        <v>17</v>
      </c>
      <c r="C14" s="1" t="s">
        <v>33</v>
      </c>
      <c r="D14" s="1" t="s">
        <v>2391</v>
      </c>
      <c r="E14" s="1"/>
      <c r="F14" s="1" t="s">
        <v>17</v>
      </c>
      <c r="G14" s="1" t="s">
        <v>17</v>
      </c>
      <c r="H14" s="1" t="s">
        <v>17</v>
      </c>
      <c r="I14" s="1" t="s">
        <v>17</v>
      </c>
      <c r="J14" s="9">
        <v>0</v>
      </c>
      <c r="K14" s="1" t="s">
        <v>103</v>
      </c>
      <c r="L14" s="1" t="s">
        <v>625</v>
      </c>
      <c r="M14" s="1" t="s">
        <v>17</v>
      </c>
      <c r="N14" s="1" t="s">
        <v>2379</v>
      </c>
      <c r="O14" s="1" t="s">
        <v>2380</v>
      </c>
      <c r="P14" s="9">
        <v>8120</v>
      </c>
      <c r="Q14" s="9">
        <v>8120</v>
      </c>
      <c r="R14" s="1" t="s">
        <v>2828</v>
      </c>
      <c r="S14" s="1" t="s">
        <v>625</v>
      </c>
      <c r="T14" s="9">
        <v>0</v>
      </c>
      <c r="U14" s="1" t="s">
        <v>625</v>
      </c>
      <c r="V14" s="1" t="s">
        <v>2825</v>
      </c>
      <c r="W14" s="1" t="s">
        <v>2828</v>
      </c>
      <c r="X14" s="1" t="s">
        <v>17</v>
      </c>
      <c r="Y14" s="1" t="s">
        <v>17</v>
      </c>
    </row>
    <row r="15" spans="1:25">
      <c r="A15" s="1" t="s">
        <v>2521</v>
      </c>
      <c r="B15" s="1" t="s">
        <v>17</v>
      </c>
      <c r="C15" s="1" t="s">
        <v>33</v>
      </c>
      <c r="D15" s="1" t="s">
        <v>2391</v>
      </c>
      <c r="E15" s="1"/>
      <c r="F15" s="1" t="s">
        <v>17</v>
      </c>
      <c r="G15" s="1" t="s">
        <v>17</v>
      </c>
      <c r="H15" s="1" t="s">
        <v>17</v>
      </c>
      <c r="I15" s="1" t="s">
        <v>17</v>
      </c>
      <c r="J15" s="9">
        <v>0</v>
      </c>
      <c r="K15" s="1" t="s">
        <v>103</v>
      </c>
      <c r="L15" s="1" t="s">
        <v>2518</v>
      </c>
      <c r="M15" s="1" t="s">
        <v>17</v>
      </c>
      <c r="N15" s="1" t="s">
        <v>2379</v>
      </c>
      <c r="O15" s="1" t="s">
        <v>2380</v>
      </c>
      <c r="P15" s="9">
        <v>8120</v>
      </c>
      <c r="Q15" s="9">
        <v>8120</v>
      </c>
      <c r="R15" s="1" t="s">
        <v>2836</v>
      </c>
      <c r="S15" s="1" t="s">
        <v>2518</v>
      </c>
      <c r="T15" s="9">
        <v>0</v>
      </c>
      <c r="U15" s="1" t="s">
        <v>2518</v>
      </c>
      <c r="V15" s="1" t="s">
        <v>2825</v>
      </c>
      <c r="W15" s="1" t="s">
        <v>2836</v>
      </c>
      <c r="X15" s="1" t="s">
        <v>17</v>
      </c>
      <c r="Y15" s="1" t="s">
        <v>17</v>
      </c>
    </row>
    <row r="16" spans="1:25">
      <c r="A16" s="1" t="s">
        <v>2523</v>
      </c>
      <c r="B16" s="1" t="s">
        <v>17</v>
      </c>
      <c r="C16" s="1" t="s">
        <v>33</v>
      </c>
      <c r="D16" s="1" t="s">
        <v>2391</v>
      </c>
      <c r="E16" s="1"/>
      <c r="F16" s="1" t="s">
        <v>17</v>
      </c>
      <c r="G16" s="1" t="s">
        <v>17</v>
      </c>
      <c r="H16" s="1" t="s">
        <v>17</v>
      </c>
      <c r="I16" s="1" t="s">
        <v>17</v>
      </c>
      <c r="J16" s="9">
        <v>0</v>
      </c>
      <c r="K16" s="1" t="s">
        <v>103</v>
      </c>
      <c r="L16" s="1" t="s">
        <v>454</v>
      </c>
      <c r="M16" s="1" t="s">
        <v>17</v>
      </c>
      <c r="N16" s="1" t="s">
        <v>2379</v>
      </c>
      <c r="O16" s="1" t="s">
        <v>2380</v>
      </c>
      <c r="P16" s="9">
        <v>-8260</v>
      </c>
      <c r="Q16" s="9">
        <v>-8260</v>
      </c>
      <c r="R16" s="1" t="s">
        <v>2837</v>
      </c>
      <c r="S16" s="1" t="s">
        <v>454</v>
      </c>
      <c r="T16" s="9">
        <v>0</v>
      </c>
      <c r="U16" s="1" t="s">
        <v>454</v>
      </c>
      <c r="V16" s="1" t="s">
        <v>2825</v>
      </c>
      <c r="W16" s="1" t="s">
        <v>2837</v>
      </c>
      <c r="X16" s="1" t="s">
        <v>17</v>
      </c>
      <c r="Y16" s="1" t="s">
        <v>17</v>
      </c>
    </row>
    <row r="17" spans="1:25">
      <c r="A17" s="1" t="s">
        <v>2524</v>
      </c>
      <c r="B17" s="1" t="s">
        <v>17</v>
      </c>
      <c r="C17" s="1" t="s">
        <v>33</v>
      </c>
      <c r="D17" s="1" t="s">
        <v>2391</v>
      </c>
      <c r="E17" s="1"/>
      <c r="F17" s="1" t="s">
        <v>17</v>
      </c>
      <c r="G17" s="1" t="s">
        <v>17</v>
      </c>
      <c r="H17" s="1" t="s">
        <v>17</v>
      </c>
      <c r="I17" s="1" t="s">
        <v>17</v>
      </c>
      <c r="J17" s="9">
        <v>0</v>
      </c>
      <c r="K17" s="1" t="s">
        <v>103</v>
      </c>
      <c r="L17" s="1" t="s">
        <v>454</v>
      </c>
      <c r="M17" s="1" t="s">
        <v>17</v>
      </c>
      <c r="N17" s="1" t="s">
        <v>2379</v>
      </c>
      <c r="O17" s="1" t="s">
        <v>2380</v>
      </c>
      <c r="P17" s="9">
        <v>8120</v>
      </c>
      <c r="Q17" s="9">
        <v>8120</v>
      </c>
      <c r="R17" s="1" t="s">
        <v>2837</v>
      </c>
      <c r="S17" s="1" t="s">
        <v>454</v>
      </c>
      <c r="T17" s="9">
        <v>0</v>
      </c>
      <c r="U17" s="1" t="s">
        <v>454</v>
      </c>
      <c r="V17" s="1" t="s">
        <v>2825</v>
      </c>
      <c r="W17" s="1" t="s">
        <v>2837</v>
      </c>
      <c r="X17" s="1" t="s">
        <v>17</v>
      </c>
      <c r="Y17" s="1" t="s">
        <v>17</v>
      </c>
    </row>
    <row r="18" spans="1:25">
      <c r="A18" s="1" t="s">
        <v>2526</v>
      </c>
      <c r="B18" s="1" t="s">
        <v>17</v>
      </c>
      <c r="C18" s="1" t="s">
        <v>33</v>
      </c>
      <c r="D18" s="1" t="s">
        <v>2391</v>
      </c>
      <c r="E18" s="1"/>
      <c r="F18" s="1" t="s">
        <v>17</v>
      </c>
      <c r="G18" s="1" t="s">
        <v>17</v>
      </c>
      <c r="H18" s="1" t="s">
        <v>17</v>
      </c>
      <c r="I18" s="1" t="s">
        <v>17</v>
      </c>
      <c r="J18" s="9">
        <v>0</v>
      </c>
      <c r="K18" s="1" t="s">
        <v>103</v>
      </c>
      <c r="L18" s="1" t="s">
        <v>1094</v>
      </c>
      <c r="M18" s="1" t="s">
        <v>17</v>
      </c>
      <c r="N18" s="1" t="s">
        <v>2379</v>
      </c>
      <c r="O18" s="1" t="s">
        <v>2380</v>
      </c>
      <c r="P18" s="9">
        <v>-8260</v>
      </c>
      <c r="Q18" s="9">
        <v>-8260</v>
      </c>
      <c r="R18" s="1" t="s">
        <v>2826</v>
      </c>
      <c r="S18" s="1" t="s">
        <v>1094</v>
      </c>
      <c r="T18" s="9">
        <v>0</v>
      </c>
      <c r="U18" s="1" t="s">
        <v>1094</v>
      </c>
      <c r="V18" s="1" t="s">
        <v>2825</v>
      </c>
      <c r="W18" s="1" t="s">
        <v>2826</v>
      </c>
      <c r="X18" s="1" t="s">
        <v>17</v>
      </c>
      <c r="Y18" s="1" t="s">
        <v>17</v>
      </c>
    </row>
    <row r="19" spans="1:25">
      <c r="A19" s="1" t="s">
        <v>2493</v>
      </c>
      <c r="B19" s="1" t="s">
        <v>17</v>
      </c>
      <c r="C19" s="1" t="s">
        <v>33</v>
      </c>
      <c r="D19" s="1" t="s">
        <v>2391</v>
      </c>
      <c r="E19" s="1"/>
      <c r="F19" s="1" t="s">
        <v>17</v>
      </c>
      <c r="G19" s="1" t="s">
        <v>17</v>
      </c>
      <c r="H19" s="1" t="s">
        <v>17</v>
      </c>
      <c r="I19" s="1" t="s">
        <v>17</v>
      </c>
      <c r="J19" s="9">
        <v>0</v>
      </c>
      <c r="K19" s="1" t="s">
        <v>103</v>
      </c>
      <c r="L19" s="1" t="s">
        <v>1196</v>
      </c>
      <c r="M19" s="1" t="s">
        <v>17</v>
      </c>
      <c r="N19" s="1" t="s">
        <v>2379</v>
      </c>
      <c r="O19" s="1" t="s">
        <v>2380</v>
      </c>
      <c r="P19" s="9">
        <v>24247.29</v>
      </c>
      <c r="Q19" s="9">
        <v>24247.29</v>
      </c>
      <c r="R19" s="1" t="s">
        <v>2829</v>
      </c>
      <c r="S19" s="1" t="s">
        <v>1196</v>
      </c>
      <c r="T19" s="9">
        <v>0</v>
      </c>
      <c r="U19" s="1" t="s">
        <v>1196</v>
      </c>
      <c r="V19" s="1" t="s">
        <v>2825</v>
      </c>
      <c r="W19" s="1" t="s">
        <v>2829</v>
      </c>
      <c r="X19" s="1" t="s">
        <v>17</v>
      </c>
      <c r="Y19" s="1" t="s">
        <v>17</v>
      </c>
    </row>
    <row r="20" spans="1:25">
      <c r="A20" s="1" t="s">
        <v>2495</v>
      </c>
      <c r="B20" s="1" t="s">
        <v>17</v>
      </c>
      <c r="C20" s="1" t="s">
        <v>33</v>
      </c>
      <c r="D20" s="1" t="s">
        <v>2391</v>
      </c>
      <c r="E20" s="1"/>
      <c r="F20" s="1" t="s">
        <v>17</v>
      </c>
      <c r="G20" s="1" t="s">
        <v>17</v>
      </c>
      <c r="H20" s="1" t="s">
        <v>17</v>
      </c>
      <c r="I20" s="1" t="s">
        <v>17</v>
      </c>
      <c r="J20" s="9">
        <v>0</v>
      </c>
      <c r="K20" s="1" t="s">
        <v>103</v>
      </c>
      <c r="L20" s="1" t="s">
        <v>204</v>
      </c>
      <c r="M20" s="1" t="s">
        <v>17</v>
      </c>
      <c r="N20" s="1" t="s">
        <v>2379</v>
      </c>
      <c r="O20" s="1" t="s">
        <v>2380</v>
      </c>
      <c r="P20" s="9">
        <v>55663.4</v>
      </c>
      <c r="Q20" s="9">
        <v>55663.4</v>
      </c>
      <c r="R20" s="1" t="s">
        <v>2835</v>
      </c>
      <c r="S20" s="1" t="s">
        <v>204</v>
      </c>
      <c r="T20" s="9">
        <v>0</v>
      </c>
      <c r="U20" s="1" t="s">
        <v>204</v>
      </c>
      <c r="V20" s="1" t="s">
        <v>2825</v>
      </c>
      <c r="W20" s="1" t="s">
        <v>2835</v>
      </c>
      <c r="X20" s="1" t="s">
        <v>17</v>
      </c>
      <c r="Y20" s="1" t="s">
        <v>17</v>
      </c>
    </row>
    <row r="21" spans="1:25">
      <c r="A21" s="1" t="s">
        <v>2504</v>
      </c>
      <c r="B21" s="1" t="s">
        <v>17</v>
      </c>
      <c r="C21" s="1" t="s">
        <v>33</v>
      </c>
      <c r="D21" s="1" t="s">
        <v>2391</v>
      </c>
      <c r="E21" s="1"/>
      <c r="F21" s="1" t="s">
        <v>17</v>
      </c>
      <c r="G21" s="1" t="s">
        <v>17</v>
      </c>
      <c r="H21" s="1" t="s">
        <v>17</v>
      </c>
      <c r="I21" s="1" t="s">
        <v>17</v>
      </c>
      <c r="J21" s="9">
        <v>0</v>
      </c>
      <c r="K21" s="1" t="s">
        <v>103</v>
      </c>
      <c r="L21" s="1" t="s">
        <v>964</v>
      </c>
      <c r="M21" s="1" t="s">
        <v>17</v>
      </c>
      <c r="N21" s="1" t="s">
        <v>2379</v>
      </c>
      <c r="O21" s="1" t="s">
        <v>2380</v>
      </c>
      <c r="P21" s="9">
        <v>328908.40000000002</v>
      </c>
      <c r="Q21" s="9">
        <v>328908.40000000002</v>
      </c>
      <c r="R21" s="1" t="s">
        <v>2833</v>
      </c>
      <c r="S21" s="1" t="s">
        <v>964</v>
      </c>
      <c r="T21" s="9">
        <v>0</v>
      </c>
      <c r="U21" s="1" t="s">
        <v>964</v>
      </c>
      <c r="V21" s="1" t="s">
        <v>2823</v>
      </c>
      <c r="W21" s="1" t="s">
        <v>2833</v>
      </c>
      <c r="X21" s="1" t="s">
        <v>17</v>
      </c>
      <c r="Y21" s="1" t="s">
        <v>17</v>
      </c>
    </row>
    <row r="22" spans="1:25">
      <c r="A22" s="1" t="s">
        <v>2506</v>
      </c>
      <c r="B22" s="1" t="s">
        <v>17</v>
      </c>
      <c r="C22" s="1" t="s">
        <v>33</v>
      </c>
      <c r="D22" s="1" t="s">
        <v>2391</v>
      </c>
      <c r="E22" s="1"/>
      <c r="F22" s="1" t="s">
        <v>17</v>
      </c>
      <c r="G22" s="1" t="s">
        <v>17</v>
      </c>
      <c r="H22" s="1" t="s">
        <v>17</v>
      </c>
      <c r="I22" s="1" t="s">
        <v>17</v>
      </c>
      <c r="J22" s="9">
        <v>0</v>
      </c>
      <c r="K22" s="1" t="s">
        <v>103</v>
      </c>
      <c r="L22" s="1" t="s">
        <v>1418</v>
      </c>
      <c r="M22" s="1" t="s">
        <v>17</v>
      </c>
      <c r="N22" s="1" t="s">
        <v>2379</v>
      </c>
      <c r="O22" s="1" t="s">
        <v>2380</v>
      </c>
      <c r="P22" s="9">
        <v>-8260</v>
      </c>
      <c r="Q22" s="9">
        <v>-8260</v>
      </c>
      <c r="R22" s="1" t="s">
        <v>2831</v>
      </c>
      <c r="S22" s="1" t="s">
        <v>1418</v>
      </c>
      <c r="T22" s="9">
        <v>0</v>
      </c>
      <c r="U22" s="1" t="s">
        <v>1418</v>
      </c>
      <c r="V22" s="1" t="s">
        <v>2825</v>
      </c>
      <c r="W22" s="1" t="s">
        <v>2831</v>
      </c>
      <c r="X22" s="1" t="s">
        <v>17</v>
      </c>
      <c r="Y22" s="1" t="s">
        <v>17</v>
      </c>
    </row>
    <row r="23" spans="1:25">
      <c r="A23" s="1" t="s">
        <v>2509</v>
      </c>
      <c r="B23" s="1" t="s">
        <v>17</v>
      </c>
      <c r="C23" s="1" t="s">
        <v>33</v>
      </c>
      <c r="D23" s="1" t="s">
        <v>2391</v>
      </c>
      <c r="E23" s="1"/>
      <c r="F23" s="1" t="s">
        <v>17</v>
      </c>
      <c r="G23" s="1" t="s">
        <v>17</v>
      </c>
      <c r="H23" s="1" t="s">
        <v>17</v>
      </c>
      <c r="I23" s="1" t="s">
        <v>17</v>
      </c>
      <c r="J23" s="9">
        <v>0</v>
      </c>
      <c r="K23" s="1" t="s">
        <v>103</v>
      </c>
      <c r="L23" s="1" t="s">
        <v>752</v>
      </c>
      <c r="M23" s="1" t="s">
        <v>17</v>
      </c>
      <c r="N23" s="1" t="s">
        <v>2379</v>
      </c>
      <c r="O23" s="1" t="s">
        <v>2380</v>
      </c>
      <c r="P23" s="9">
        <v>38279.5</v>
      </c>
      <c r="Q23" s="9">
        <v>38279.5</v>
      </c>
      <c r="R23" s="1" t="s">
        <v>2824</v>
      </c>
      <c r="S23" s="1" t="s">
        <v>752</v>
      </c>
      <c r="T23" s="9">
        <v>0</v>
      </c>
      <c r="U23" s="1" t="s">
        <v>752</v>
      </c>
      <c r="V23" s="1" t="s">
        <v>2825</v>
      </c>
      <c r="W23" s="1" t="s">
        <v>2824</v>
      </c>
      <c r="X23" s="1" t="s">
        <v>17</v>
      </c>
      <c r="Y23" s="1" t="s">
        <v>17</v>
      </c>
    </row>
    <row r="24" spans="1:25">
      <c r="A24" s="1" t="s">
        <v>2514</v>
      </c>
      <c r="B24" s="1" t="s">
        <v>17</v>
      </c>
      <c r="C24" s="1" t="s">
        <v>33</v>
      </c>
      <c r="D24" s="1" t="s">
        <v>2391</v>
      </c>
      <c r="E24" s="1"/>
      <c r="F24" s="1" t="s">
        <v>17</v>
      </c>
      <c r="G24" s="1" t="s">
        <v>17</v>
      </c>
      <c r="H24" s="1" t="s">
        <v>17</v>
      </c>
      <c r="I24" s="1" t="s">
        <v>17</v>
      </c>
      <c r="J24" s="9">
        <v>0</v>
      </c>
      <c r="K24" s="1" t="s">
        <v>103</v>
      </c>
      <c r="L24" s="1" t="s">
        <v>1337</v>
      </c>
      <c r="M24" s="1" t="s">
        <v>17</v>
      </c>
      <c r="N24" s="1" t="s">
        <v>2379</v>
      </c>
      <c r="O24" s="1" t="s">
        <v>2380</v>
      </c>
      <c r="P24" s="9">
        <v>8120</v>
      </c>
      <c r="Q24" s="9">
        <v>8120</v>
      </c>
      <c r="R24" s="1" t="s">
        <v>2838</v>
      </c>
      <c r="S24" s="1" t="s">
        <v>1337</v>
      </c>
      <c r="T24" s="9">
        <v>0</v>
      </c>
      <c r="U24" s="1" t="s">
        <v>1337</v>
      </c>
      <c r="V24" s="1" t="s">
        <v>2825</v>
      </c>
      <c r="W24" s="1" t="s">
        <v>2838</v>
      </c>
      <c r="X24" s="1" t="s">
        <v>17</v>
      </c>
      <c r="Y24" s="1" t="s">
        <v>17</v>
      </c>
    </row>
    <row r="25" spans="1:25">
      <c r="A25" s="1" t="s">
        <v>2517</v>
      </c>
      <c r="B25" s="1" t="s">
        <v>17</v>
      </c>
      <c r="C25" s="1" t="s">
        <v>33</v>
      </c>
      <c r="D25" s="1" t="s">
        <v>2391</v>
      </c>
      <c r="E25" s="1"/>
      <c r="F25" s="1" t="s">
        <v>17</v>
      </c>
      <c r="G25" s="1" t="s">
        <v>17</v>
      </c>
      <c r="H25" s="1" t="s">
        <v>17</v>
      </c>
      <c r="I25" s="1" t="s">
        <v>17</v>
      </c>
      <c r="J25" s="9">
        <v>0</v>
      </c>
      <c r="K25" s="1" t="s">
        <v>103</v>
      </c>
      <c r="L25" s="1" t="s">
        <v>2518</v>
      </c>
      <c r="M25" s="1" t="s">
        <v>17</v>
      </c>
      <c r="N25" s="1" t="s">
        <v>2379</v>
      </c>
      <c r="O25" s="1" t="s">
        <v>2380</v>
      </c>
      <c r="P25" s="9">
        <v>-8260</v>
      </c>
      <c r="Q25" s="9">
        <v>-8260</v>
      </c>
      <c r="R25" s="1" t="s">
        <v>2836</v>
      </c>
      <c r="S25" s="1" t="s">
        <v>2518</v>
      </c>
      <c r="T25" s="9">
        <v>0</v>
      </c>
      <c r="U25" s="1" t="s">
        <v>2518</v>
      </c>
      <c r="V25" s="1" t="s">
        <v>2825</v>
      </c>
      <c r="W25" s="1" t="s">
        <v>2836</v>
      </c>
      <c r="X25" s="1" t="s">
        <v>17</v>
      </c>
      <c r="Y25" s="1" t="s">
        <v>17</v>
      </c>
    </row>
    <row r="26" spans="1:25">
      <c r="A26" s="1" t="s">
        <v>2520</v>
      </c>
      <c r="B26" s="1" t="s">
        <v>17</v>
      </c>
      <c r="C26" s="1" t="s">
        <v>33</v>
      </c>
      <c r="D26" s="1" t="s">
        <v>2391</v>
      </c>
      <c r="E26" s="1"/>
      <c r="F26" s="1" t="s">
        <v>17</v>
      </c>
      <c r="G26" s="1" t="s">
        <v>17</v>
      </c>
      <c r="H26" s="1" t="s">
        <v>17</v>
      </c>
      <c r="I26" s="1" t="s">
        <v>17</v>
      </c>
      <c r="J26" s="9">
        <v>0</v>
      </c>
      <c r="K26" s="1" t="s">
        <v>103</v>
      </c>
      <c r="L26" s="1" t="s">
        <v>1337</v>
      </c>
      <c r="M26" s="1" t="s">
        <v>17</v>
      </c>
      <c r="N26" s="1" t="s">
        <v>2379</v>
      </c>
      <c r="O26" s="1" t="s">
        <v>2380</v>
      </c>
      <c r="P26" s="9">
        <v>-8260</v>
      </c>
      <c r="Q26" s="9">
        <v>-8260</v>
      </c>
      <c r="R26" s="1" t="s">
        <v>2838</v>
      </c>
      <c r="S26" s="1" t="s">
        <v>1337</v>
      </c>
      <c r="T26" s="9">
        <v>0</v>
      </c>
      <c r="U26" s="1" t="s">
        <v>1337</v>
      </c>
      <c r="V26" s="1" t="s">
        <v>2825</v>
      </c>
      <c r="W26" s="1" t="s">
        <v>2838</v>
      </c>
      <c r="X26" s="1" t="s">
        <v>17</v>
      </c>
      <c r="Y26" s="1" t="s">
        <v>17</v>
      </c>
    </row>
    <row r="27" spans="1:25">
      <c r="A27" s="1" t="s">
        <v>2525</v>
      </c>
      <c r="B27" s="1" t="s">
        <v>17</v>
      </c>
      <c r="C27" s="1" t="s">
        <v>33</v>
      </c>
      <c r="D27" s="1" t="s">
        <v>2391</v>
      </c>
      <c r="E27" s="1"/>
      <c r="F27" s="1" t="s">
        <v>17</v>
      </c>
      <c r="G27" s="1" t="s">
        <v>17</v>
      </c>
      <c r="H27" s="1" t="s">
        <v>17</v>
      </c>
      <c r="I27" s="1" t="s">
        <v>17</v>
      </c>
      <c r="J27" s="9">
        <v>0</v>
      </c>
      <c r="K27" s="1" t="s">
        <v>103</v>
      </c>
      <c r="L27" s="1" t="s">
        <v>298</v>
      </c>
      <c r="M27" s="1" t="s">
        <v>17</v>
      </c>
      <c r="N27" s="1" t="s">
        <v>2379</v>
      </c>
      <c r="O27" s="1" t="s">
        <v>2380</v>
      </c>
      <c r="P27" s="9">
        <v>68858.83</v>
      </c>
      <c r="Q27" s="9">
        <v>68858.83</v>
      </c>
      <c r="R27" s="1" t="s">
        <v>2832</v>
      </c>
      <c r="S27" s="1" t="s">
        <v>298</v>
      </c>
      <c r="T27" s="9">
        <v>0</v>
      </c>
      <c r="U27" s="1" t="s">
        <v>298</v>
      </c>
      <c r="V27" s="1" t="s">
        <v>2825</v>
      </c>
      <c r="W27" s="1" t="s">
        <v>2832</v>
      </c>
      <c r="X27" s="1" t="s">
        <v>17</v>
      </c>
      <c r="Y27" s="1" t="s">
        <v>17</v>
      </c>
    </row>
    <row r="28" spans="1:25">
      <c r="A28" s="1" t="s">
        <v>2527</v>
      </c>
      <c r="B28" s="1" t="s">
        <v>17</v>
      </c>
      <c r="C28" s="1" t="s">
        <v>33</v>
      </c>
      <c r="D28" s="1" t="s">
        <v>2391</v>
      </c>
      <c r="E28" s="1"/>
      <c r="F28" s="1" t="s">
        <v>17</v>
      </c>
      <c r="G28" s="1" t="s">
        <v>17</v>
      </c>
      <c r="H28" s="1" t="s">
        <v>17</v>
      </c>
      <c r="I28" s="1" t="s">
        <v>17</v>
      </c>
      <c r="J28" s="9">
        <v>0</v>
      </c>
      <c r="K28" s="1" t="s">
        <v>103</v>
      </c>
      <c r="L28" s="1" t="s">
        <v>1117</v>
      </c>
      <c r="M28" s="1" t="s">
        <v>17</v>
      </c>
      <c r="N28" s="1" t="s">
        <v>2379</v>
      </c>
      <c r="O28" s="1" t="s">
        <v>2380</v>
      </c>
      <c r="P28" s="9">
        <v>-61576.9</v>
      </c>
      <c r="Q28" s="9">
        <v>-61576.9</v>
      </c>
      <c r="R28" s="1" t="s">
        <v>2834</v>
      </c>
      <c r="S28" s="1" t="s">
        <v>1117</v>
      </c>
      <c r="T28" s="9">
        <v>0</v>
      </c>
      <c r="U28" s="1" t="s">
        <v>1117</v>
      </c>
      <c r="V28" s="1" t="s">
        <v>2823</v>
      </c>
      <c r="W28" s="1" t="s">
        <v>2834</v>
      </c>
      <c r="X28" s="1" t="s">
        <v>17</v>
      </c>
      <c r="Y28" s="1" t="s">
        <v>17</v>
      </c>
    </row>
    <row r="29" spans="1:25">
      <c r="A29" s="1" t="s">
        <v>2529</v>
      </c>
      <c r="B29" s="1" t="s">
        <v>17</v>
      </c>
      <c r="C29" s="1" t="s">
        <v>33</v>
      </c>
      <c r="D29" s="1" t="s">
        <v>2391</v>
      </c>
      <c r="E29" s="1"/>
      <c r="F29" s="1" t="s">
        <v>17</v>
      </c>
      <c r="G29" s="1" t="s">
        <v>17</v>
      </c>
      <c r="H29" s="1" t="s">
        <v>17</v>
      </c>
      <c r="I29" s="1" t="s">
        <v>17</v>
      </c>
      <c r="J29" s="9">
        <v>0</v>
      </c>
      <c r="K29" s="1" t="s">
        <v>103</v>
      </c>
      <c r="L29" s="1" t="s">
        <v>1986</v>
      </c>
      <c r="M29" s="1" t="s">
        <v>17</v>
      </c>
      <c r="N29" s="1" t="s">
        <v>2379</v>
      </c>
      <c r="O29" s="1" t="s">
        <v>2380</v>
      </c>
      <c r="P29" s="9">
        <v>-95507.05</v>
      </c>
      <c r="Q29" s="9">
        <v>-95507.05</v>
      </c>
      <c r="R29" s="1" t="s">
        <v>2830</v>
      </c>
      <c r="S29" s="1" t="s">
        <v>1986</v>
      </c>
      <c r="T29" s="9">
        <v>0</v>
      </c>
      <c r="U29" s="1" t="s">
        <v>1986</v>
      </c>
      <c r="V29" s="1" t="s">
        <v>2823</v>
      </c>
      <c r="W29" s="1" t="s">
        <v>2830</v>
      </c>
      <c r="X29" s="1" t="s">
        <v>17</v>
      </c>
      <c r="Y29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"/>
  <sheetViews>
    <sheetView workbookViewId="0"/>
  </sheetViews>
  <sheetFormatPr defaultRowHeight="15"/>
  <cols>
    <col min="1" max="38" width="15" customWidth="1"/>
  </cols>
  <sheetData>
    <row r="1" spans="1:38" ht="60">
      <c r="A1" s="8" t="s">
        <v>53</v>
      </c>
      <c r="B1" s="8" t="s">
        <v>55</v>
      </c>
      <c r="C1" s="8" t="s">
        <v>56</v>
      </c>
      <c r="D1" s="8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64</v>
      </c>
      <c r="K1" s="11" t="s">
        <v>65</v>
      </c>
      <c r="L1" s="11" t="s">
        <v>66</v>
      </c>
      <c r="M1" s="11" t="s">
        <v>67</v>
      </c>
      <c r="N1" s="11" t="s">
        <v>68</v>
      </c>
      <c r="O1" s="11" t="s">
        <v>69</v>
      </c>
      <c r="P1" s="11" t="s">
        <v>71</v>
      </c>
      <c r="Q1" s="12" t="s">
        <v>52</v>
      </c>
      <c r="R1" s="10" t="s">
        <v>77</v>
      </c>
      <c r="S1" s="10" t="s">
        <v>78</v>
      </c>
      <c r="T1" s="10" t="s">
        <v>79</v>
      </c>
      <c r="U1" s="10" t="s">
        <v>80</v>
      </c>
      <c r="V1" s="13" t="s">
        <v>81</v>
      </c>
      <c r="W1" s="13" t="s">
        <v>82</v>
      </c>
      <c r="X1" s="13" t="s">
        <v>83</v>
      </c>
      <c r="Y1" s="13" t="s">
        <v>84</v>
      </c>
      <c r="Z1" s="13" t="s">
        <v>85</v>
      </c>
      <c r="AA1" s="13" t="s">
        <v>86</v>
      </c>
      <c r="AB1" s="13" t="s">
        <v>87</v>
      </c>
      <c r="AC1" s="13" t="s">
        <v>88</v>
      </c>
      <c r="AD1" s="13" t="s">
        <v>89</v>
      </c>
      <c r="AE1" s="13" t="s">
        <v>90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95</v>
      </c>
      <c r="AK1" s="13" t="s">
        <v>96</v>
      </c>
      <c r="AL1" s="13" t="s">
        <v>97</v>
      </c>
    </row>
    <row r="2" spans="1:38">
      <c r="A2" s="1" t="s">
        <v>2447</v>
      </c>
      <c r="B2" s="1" t="s">
        <v>17</v>
      </c>
      <c r="C2" s="1" t="s">
        <v>34</v>
      </c>
      <c r="D2" s="1" t="s">
        <v>2391</v>
      </c>
      <c r="E2" s="1" t="s">
        <v>103</v>
      </c>
      <c r="F2" s="1" t="s">
        <v>1342</v>
      </c>
      <c r="G2" s="1"/>
      <c r="H2" s="1" t="s">
        <v>2448</v>
      </c>
      <c r="I2" s="1" t="s">
        <v>2449</v>
      </c>
      <c r="J2" s="9">
        <v>-17174.509999999998</v>
      </c>
      <c r="K2" s="1"/>
      <c r="L2" s="1" t="s">
        <v>17</v>
      </c>
      <c r="M2" s="1" t="s">
        <v>17</v>
      </c>
      <c r="N2" s="1" t="s">
        <v>17</v>
      </c>
      <c r="O2" s="1" t="s">
        <v>17</v>
      </c>
      <c r="P2" s="9">
        <v>0</v>
      </c>
      <c r="Q2" s="9">
        <v>-17174.509999999998</v>
      </c>
      <c r="R2" s="1" t="s">
        <v>2395</v>
      </c>
      <c r="S2" s="1" t="s">
        <v>17</v>
      </c>
      <c r="T2" s="9">
        <v>0</v>
      </c>
      <c r="U2" s="1" t="s">
        <v>17</v>
      </c>
      <c r="V2" s="1" t="s">
        <v>112</v>
      </c>
      <c r="W2" s="1" t="s">
        <v>113</v>
      </c>
      <c r="X2" s="1" t="s">
        <v>2395</v>
      </c>
      <c r="Y2" s="1" t="s">
        <v>114</v>
      </c>
      <c r="Z2" s="1" t="s">
        <v>2397</v>
      </c>
      <c r="AA2" s="1" t="s">
        <v>2398</v>
      </c>
      <c r="AB2" s="1" t="s">
        <v>2399</v>
      </c>
      <c r="AC2" s="1" t="s">
        <v>179</v>
      </c>
      <c r="AD2" s="1" t="s">
        <v>137</v>
      </c>
      <c r="AE2" s="1" t="s">
        <v>117</v>
      </c>
      <c r="AF2" s="1" t="s">
        <v>320</v>
      </c>
      <c r="AG2" s="1" t="s">
        <v>321</v>
      </c>
      <c r="AH2" s="1" t="s">
        <v>119</v>
      </c>
      <c r="AI2" s="1" t="s">
        <v>119</v>
      </c>
      <c r="AJ2" s="1" t="s">
        <v>664</v>
      </c>
      <c r="AK2" s="1" t="s">
        <v>322</v>
      </c>
      <c r="AL2" s="1" t="s">
        <v>1342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"/>
  <sheetViews>
    <sheetView workbookViewId="0"/>
  </sheetViews>
  <sheetFormatPr defaultRowHeight="15"/>
  <cols>
    <col min="1" max="20" width="15" customWidth="1"/>
  </cols>
  <sheetData>
    <row r="1" spans="1:20" ht="45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1" t="s">
        <v>65</v>
      </c>
      <c r="N1" s="11" t="s">
        <v>66</v>
      </c>
      <c r="O1" s="11" t="s">
        <v>67</v>
      </c>
      <c r="P1" s="11" t="s">
        <v>68</v>
      </c>
      <c r="Q1" s="11" t="s">
        <v>69</v>
      </c>
      <c r="R1" s="11" t="s">
        <v>70</v>
      </c>
      <c r="S1" s="11" t="s">
        <v>71</v>
      </c>
      <c r="T1" s="12" t="s">
        <v>52</v>
      </c>
    </row>
    <row r="2" spans="1:20">
      <c r="A2" s="1" t="s">
        <v>236</v>
      </c>
      <c r="B2" s="1" t="s">
        <v>237</v>
      </c>
      <c r="C2" s="1" t="s">
        <v>238</v>
      </c>
      <c r="D2" s="1" t="s">
        <v>36</v>
      </c>
      <c r="E2" s="1" t="s">
        <v>124</v>
      </c>
      <c r="F2" s="1" t="s">
        <v>103</v>
      </c>
      <c r="G2" s="1" t="s">
        <v>239</v>
      </c>
      <c r="H2" s="1" t="s">
        <v>240</v>
      </c>
      <c r="I2" s="1" t="s">
        <v>127</v>
      </c>
      <c r="J2" s="1" t="s">
        <v>241</v>
      </c>
      <c r="K2" s="1" t="s">
        <v>242</v>
      </c>
      <c r="L2" s="9">
        <v>-8120</v>
      </c>
      <c r="M2" s="1" t="s">
        <v>103</v>
      </c>
      <c r="N2" s="1" t="s">
        <v>239</v>
      </c>
      <c r="O2" s="1" t="s">
        <v>240</v>
      </c>
      <c r="P2" s="1" t="s">
        <v>127</v>
      </c>
      <c r="Q2" s="1" t="s">
        <v>131</v>
      </c>
      <c r="R2" s="1" t="s">
        <v>17</v>
      </c>
      <c r="S2" s="9">
        <v>8260</v>
      </c>
      <c r="T2" s="9">
        <v>140</v>
      </c>
    </row>
    <row r="3" spans="1:20">
      <c r="A3" s="1" t="s">
        <v>1358</v>
      </c>
      <c r="B3" s="1" t="s">
        <v>1359</v>
      </c>
      <c r="C3" s="1" t="s">
        <v>1360</v>
      </c>
      <c r="D3" s="1" t="s">
        <v>36</v>
      </c>
      <c r="E3" s="1" t="s">
        <v>124</v>
      </c>
      <c r="F3" s="1" t="s">
        <v>103</v>
      </c>
      <c r="G3" s="1" t="s">
        <v>1361</v>
      </c>
      <c r="H3" s="1" t="s">
        <v>1362</v>
      </c>
      <c r="I3" s="1" t="s">
        <v>127</v>
      </c>
      <c r="J3" s="1" t="s">
        <v>241</v>
      </c>
      <c r="K3" s="1" t="s">
        <v>1363</v>
      </c>
      <c r="L3" s="9">
        <v>-8120</v>
      </c>
      <c r="M3" s="1" t="s">
        <v>103</v>
      </c>
      <c r="N3" s="1" t="s">
        <v>1361</v>
      </c>
      <c r="O3" s="1" t="s">
        <v>1362</v>
      </c>
      <c r="P3" s="1" t="s">
        <v>127</v>
      </c>
      <c r="Q3" s="1" t="s">
        <v>131</v>
      </c>
      <c r="R3" s="1" t="s">
        <v>17</v>
      </c>
      <c r="S3" s="9">
        <v>8260</v>
      </c>
      <c r="T3" s="9">
        <v>140</v>
      </c>
    </row>
    <row r="4" spans="1:20">
      <c r="A4" s="1" t="s">
        <v>1114</v>
      </c>
      <c r="B4" s="1" t="s">
        <v>1115</v>
      </c>
      <c r="C4" s="1" t="s">
        <v>1116</v>
      </c>
      <c r="D4" s="1" t="s">
        <v>36</v>
      </c>
      <c r="E4" s="1" t="s">
        <v>124</v>
      </c>
      <c r="F4" s="1" t="s">
        <v>103</v>
      </c>
      <c r="G4" s="1" t="s">
        <v>1117</v>
      </c>
      <c r="H4" s="1" t="s">
        <v>1118</v>
      </c>
      <c r="I4" s="1" t="s">
        <v>127</v>
      </c>
      <c r="J4" s="1" t="s">
        <v>241</v>
      </c>
      <c r="K4" s="1" t="s">
        <v>1119</v>
      </c>
      <c r="L4" s="9">
        <v>-8120</v>
      </c>
      <c r="M4" s="1" t="s">
        <v>103</v>
      </c>
      <c r="N4" s="1" t="s">
        <v>1117</v>
      </c>
      <c r="O4" s="1" t="s">
        <v>1118</v>
      </c>
      <c r="P4" s="1" t="s">
        <v>127</v>
      </c>
      <c r="Q4" s="1" t="s">
        <v>131</v>
      </c>
      <c r="R4" s="1" t="s">
        <v>17</v>
      </c>
      <c r="S4" s="9">
        <v>8260</v>
      </c>
      <c r="T4" s="9">
        <v>140</v>
      </c>
    </row>
    <row r="5" spans="1:20">
      <c r="A5" s="1" t="s">
        <v>1628</v>
      </c>
      <c r="B5" s="1" t="s">
        <v>1629</v>
      </c>
      <c r="C5" s="1" t="s">
        <v>1630</v>
      </c>
      <c r="D5" s="1" t="s">
        <v>36</v>
      </c>
      <c r="E5" s="1" t="s">
        <v>124</v>
      </c>
      <c r="F5" s="1" t="s">
        <v>103</v>
      </c>
      <c r="G5" s="1" t="s">
        <v>1472</v>
      </c>
      <c r="H5" s="1" t="s">
        <v>1631</v>
      </c>
      <c r="I5" s="1" t="s">
        <v>127</v>
      </c>
      <c r="J5" s="1" t="s">
        <v>241</v>
      </c>
      <c r="K5" s="1" t="s">
        <v>1632</v>
      </c>
      <c r="L5" s="9">
        <v>-8120</v>
      </c>
      <c r="M5" s="1" t="s">
        <v>103</v>
      </c>
      <c r="N5" s="1" t="s">
        <v>1472</v>
      </c>
      <c r="O5" s="1" t="s">
        <v>1631</v>
      </c>
      <c r="P5" s="1" t="s">
        <v>127</v>
      </c>
      <c r="Q5" s="1" t="s">
        <v>131</v>
      </c>
      <c r="R5" s="1" t="s">
        <v>17</v>
      </c>
      <c r="S5" s="9">
        <v>8260</v>
      </c>
      <c r="T5" s="9">
        <v>140</v>
      </c>
    </row>
    <row r="6" spans="1:20">
      <c r="A6" s="1" t="s">
        <v>402</v>
      </c>
      <c r="B6" s="1" t="s">
        <v>403</v>
      </c>
      <c r="C6" s="1" t="s">
        <v>404</v>
      </c>
      <c r="D6" s="1" t="s">
        <v>36</v>
      </c>
      <c r="E6" s="1" t="s">
        <v>124</v>
      </c>
      <c r="F6" s="1" t="s">
        <v>103</v>
      </c>
      <c r="G6" s="1" t="s">
        <v>261</v>
      </c>
      <c r="H6" s="1" t="s">
        <v>405</v>
      </c>
      <c r="I6" s="1" t="s">
        <v>127</v>
      </c>
      <c r="J6" s="1" t="s">
        <v>241</v>
      </c>
      <c r="K6" s="1" t="s">
        <v>406</v>
      </c>
      <c r="L6" s="9">
        <v>-29000</v>
      </c>
      <c r="M6" s="1" t="s">
        <v>103</v>
      </c>
      <c r="N6" s="1" t="s">
        <v>261</v>
      </c>
      <c r="O6" s="1" t="s">
        <v>405</v>
      </c>
      <c r="P6" s="1" t="s">
        <v>127</v>
      </c>
      <c r="Q6" s="1" t="s">
        <v>131</v>
      </c>
      <c r="R6" s="1" t="s">
        <v>17</v>
      </c>
      <c r="S6" s="9">
        <v>29500</v>
      </c>
      <c r="T6" s="9">
        <v>500</v>
      </c>
    </row>
    <row r="7" spans="1:20">
      <c r="A7" s="1" t="s">
        <v>1793</v>
      </c>
      <c r="B7" s="1" t="s">
        <v>1794</v>
      </c>
      <c r="C7" s="1" t="s">
        <v>1795</v>
      </c>
      <c r="D7" s="1" t="s">
        <v>36</v>
      </c>
      <c r="E7" s="1" t="s">
        <v>124</v>
      </c>
      <c r="F7" s="1" t="s">
        <v>103</v>
      </c>
      <c r="G7" s="1" t="s">
        <v>333</v>
      </c>
      <c r="H7" s="1" t="s">
        <v>1796</v>
      </c>
      <c r="I7" s="1" t="s">
        <v>127</v>
      </c>
      <c r="J7" s="1" t="s">
        <v>241</v>
      </c>
      <c r="K7" s="1" t="s">
        <v>1797</v>
      </c>
      <c r="L7" s="9">
        <v>-191400</v>
      </c>
      <c r="M7" s="1" t="s">
        <v>103</v>
      </c>
      <c r="N7" s="1" t="s">
        <v>333</v>
      </c>
      <c r="O7" s="1" t="s">
        <v>1796</v>
      </c>
      <c r="P7" s="1" t="s">
        <v>127</v>
      </c>
      <c r="Q7" s="1" t="s">
        <v>131</v>
      </c>
      <c r="R7" s="1" t="s">
        <v>17</v>
      </c>
      <c r="S7" s="9">
        <v>194700</v>
      </c>
      <c r="T7" s="9">
        <v>3300</v>
      </c>
    </row>
    <row r="8" spans="1:20">
      <c r="A8" s="1" t="s">
        <v>1495</v>
      </c>
      <c r="B8" s="1" t="s">
        <v>1496</v>
      </c>
      <c r="C8" s="1" t="s">
        <v>1497</v>
      </c>
      <c r="D8" s="1" t="s">
        <v>36</v>
      </c>
      <c r="E8" s="1" t="s">
        <v>124</v>
      </c>
      <c r="F8" s="1" t="s">
        <v>103</v>
      </c>
      <c r="G8" s="1" t="s">
        <v>484</v>
      </c>
      <c r="H8" s="1" t="s">
        <v>1498</v>
      </c>
      <c r="I8" s="1" t="s">
        <v>127</v>
      </c>
      <c r="J8" s="1" t="s">
        <v>241</v>
      </c>
      <c r="K8" s="1" t="s">
        <v>1499</v>
      </c>
      <c r="L8" s="9">
        <v>-8120</v>
      </c>
      <c r="M8" s="1" t="s">
        <v>103</v>
      </c>
      <c r="N8" s="1" t="s">
        <v>484</v>
      </c>
      <c r="O8" s="1" t="s">
        <v>1498</v>
      </c>
      <c r="P8" s="1" t="s">
        <v>127</v>
      </c>
      <c r="Q8" s="1" t="s">
        <v>131</v>
      </c>
      <c r="R8" s="1" t="s">
        <v>17</v>
      </c>
      <c r="S8" s="9">
        <v>8260</v>
      </c>
      <c r="T8" s="9">
        <v>140</v>
      </c>
    </row>
    <row r="9" spans="1:20">
      <c r="A9" s="1" t="s">
        <v>2201</v>
      </c>
      <c r="B9" s="1" t="s">
        <v>2202</v>
      </c>
      <c r="C9" s="1" t="s">
        <v>2203</v>
      </c>
      <c r="D9" s="1" t="s">
        <v>36</v>
      </c>
      <c r="E9" s="1" t="s">
        <v>124</v>
      </c>
      <c r="F9" s="1" t="s">
        <v>103</v>
      </c>
      <c r="G9" s="1" t="s">
        <v>673</v>
      </c>
      <c r="H9" s="1" t="s">
        <v>2204</v>
      </c>
      <c r="I9" s="1" t="s">
        <v>127</v>
      </c>
      <c r="J9" s="1" t="s">
        <v>241</v>
      </c>
      <c r="K9" s="1" t="s">
        <v>2205</v>
      </c>
      <c r="L9" s="9">
        <v>-8120</v>
      </c>
      <c r="M9" s="1" t="s">
        <v>103</v>
      </c>
      <c r="N9" s="1" t="s">
        <v>673</v>
      </c>
      <c r="O9" s="1" t="s">
        <v>2204</v>
      </c>
      <c r="P9" s="1" t="s">
        <v>127</v>
      </c>
      <c r="Q9" s="1" t="s">
        <v>131</v>
      </c>
      <c r="R9" s="1" t="s">
        <v>17</v>
      </c>
      <c r="S9" s="9">
        <v>8260</v>
      </c>
      <c r="T9" s="9">
        <v>140</v>
      </c>
    </row>
    <row r="10" spans="1:20">
      <c r="A10" s="1" t="s">
        <v>330</v>
      </c>
      <c r="B10" s="1" t="s">
        <v>331</v>
      </c>
      <c r="C10" s="1" t="s">
        <v>332</v>
      </c>
      <c r="D10" s="1" t="s">
        <v>36</v>
      </c>
      <c r="E10" s="1" t="s">
        <v>124</v>
      </c>
      <c r="F10" s="1" t="s">
        <v>103</v>
      </c>
      <c r="G10" s="1" t="s">
        <v>333</v>
      </c>
      <c r="H10" s="1" t="s">
        <v>334</v>
      </c>
      <c r="I10" s="1" t="s">
        <v>127</v>
      </c>
      <c r="J10" s="1" t="s">
        <v>241</v>
      </c>
      <c r="K10" s="1" t="s">
        <v>335</v>
      </c>
      <c r="L10" s="9">
        <v>-121800</v>
      </c>
      <c r="M10" s="1" t="s">
        <v>103</v>
      </c>
      <c r="N10" s="1" t="s">
        <v>333</v>
      </c>
      <c r="O10" s="1" t="s">
        <v>334</v>
      </c>
      <c r="P10" s="1" t="s">
        <v>127</v>
      </c>
      <c r="Q10" s="1" t="s">
        <v>131</v>
      </c>
      <c r="R10" s="1" t="s">
        <v>17</v>
      </c>
      <c r="S10" s="9">
        <v>123900</v>
      </c>
      <c r="T10" s="9">
        <v>2100</v>
      </c>
    </row>
    <row r="11" spans="1:20">
      <c r="A11" s="1" t="s">
        <v>1641</v>
      </c>
      <c r="B11" s="1" t="s">
        <v>1642</v>
      </c>
      <c r="C11" s="1" t="s">
        <v>1643</v>
      </c>
      <c r="D11" s="1" t="s">
        <v>36</v>
      </c>
      <c r="E11" s="1" t="s">
        <v>124</v>
      </c>
      <c r="F11" s="1" t="s">
        <v>103</v>
      </c>
      <c r="G11" s="1" t="s">
        <v>1644</v>
      </c>
      <c r="H11" s="1" t="s">
        <v>1645</v>
      </c>
      <c r="I11" s="1" t="s">
        <v>127</v>
      </c>
      <c r="J11" s="1" t="s">
        <v>241</v>
      </c>
      <c r="K11" s="1" t="s">
        <v>1646</v>
      </c>
      <c r="L11" s="9">
        <v>-8120</v>
      </c>
      <c r="M11" s="1" t="s">
        <v>103</v>
      </c>
      <c r="N11" s="1" t="s">
        <v>1644</v>
      </c>
      <c r="O11" s="1" t="s">
        <v>1645</v>
      </c>
      <c r="P11" s="1" t="s">
        <v>127</v>
      </c>
      <c r="Q11" s="1" t="s">
        <v>131</v>
      </c>
      <c r="R11" s="1" t="s">
        <v>17</v>
      </c>
      <c r="S11" s="9">
        <v>8260</v>
      </c>
      <c r="T11" s="9">
        <v>140</v>
      </c>
    </row>
    <row r="12" spans="1:20">
      <c r="A12" s="1" t="s">
        <v>1502</v>
      </c>
      <c r="B12" s="1" t="s">
        <v>1503</v>
      </c>
      <c r="C12" s="1" t="s">
        <v>1504</v>
      </c>
      <c r="D12" s="1" t="s">
        <v>36</v>
      </c>
      <c r="E12" s="1" t="s">
        <v>124</v>
      </c>
      <c r="F12" s="1" t="s">
        <v>103</v>
      </c>
      <c r="G12" s="1" t="s">
        <v>1505</v>
      </c>
      <c r="H12" s="1" t="s">
        <v>1506</v>
      </c>
      <c r="I12" s="1" t="s">
        <v>127</v>
      </c>
      <c r="J12" s="1" t="s">
        <v>241</v>
      </c>
      <c r="K12" s="1" t="s">
        <v>1507</v>
      </c>
      <c r="L12" s="9">
        <v>-8120</v>
      </c>
      <c r="M12" s="1" t="s">
        <v>103</v>
      </c>
      <c r="N12" s="1" t="s">
        <v>1505</v>
      </c>
      <c r="O12" s="1" t="s">
        <v>1506</v>
      </c>
      <c r="P12" s="1" t="s">
        <v>127</v>
      </c>
      <c r="Q12" s="1" t="s">
        <v>131</v>
      </c>
      <c r="R12" s="1" t="s">
        <v>17</v>
      </c>
      <c r="S12" s="9">
        <v>8260</v>
      </c>
      <c r="T12" s="9">
        <v>140</v>
      </c>
    </row>
    <row r="13" spans="1:20">
      <c r="A13" s="1" t="s">
        <v>1442</v>
      </c>
      <c r="B13" s="1" t="s">
        <v>1443</v>
      </c>
      <c r="C13" s="1" t="s">
        <v>1444</v>
      </c>
      <c r="D13" s="1" t="s">
        <v>36</v>
      </c>
      <c r="E13" s="1" t="s">
        <v>124</v>
      </c>
      <c r="F13" s="1" t="s">
        <v>103</v>
      </c>
      <c r="G13" s="1" t="s">
        <v>1402</v>
      </c>
      <c r="H13" s="1" t="s">
        <v>1445</v>
      </c>
      <c r="I13" s="1" t="s">
        <v>127</v>
      </c>
      <c r="J13" s="1" t="s">
        <v>241</v>
      </c>
      <c r="K13" s="1" t="s">
        <v>1446</v>
      </c>
      <c r="L13" s="9">
        <v>-8120</v>
      </c>
      <c r="M13" s="1" t="s">
        <v>103</v>
      </c>
      <c r="N13" s="1" t="s">
        <v>1402</v>
      </c>
      <c r="O13" s="1" t="s">
        <v>1445</v>
      </c>
      <c r="P13" s="1" t="s">
        <v>127</v>
      </c>
      <c r="Q13" s="1" t="s">
        <v>131</v>
      </c>
      <c r="R13" s="1" t="s">
        <v>17</v>
      </c>
      <c r="S13" s="9">
        <v>8260</v>
      </c>
      <c r="T13" s="9">
        <v>140</v>
      </c>
    </row>
    <row r="14" spans="1:20">
      <c r="A14" s="1" t="s">
        <v>262</v>
      </c>
      <c r="B14" s="1" t="s">
        <v>263</v>
      </c>
      <c r="C14" s="1" t="s">
        <v>264</v>
      </c>
      <c r="D14" s="1" t="s">
        <v>36</v>
      </c>
      <c r="E14" s="1" t="s">
        <v>124</v>
      </c>
      <c r="F14" s="1" t="s">
        <v>103</v>
      </c>
      <c r="G14" s="1" t="s">
        <v>265</v>
      </c>
      <c r="H14" s="1" t="s">
        <v>266</v>
      </c>
      <c r="I14" s="1" t="s">
        <v>127</v>
      </c>
      <c r="J14" s="1" t="s">
        <v>241</v>
      </c>
      <c r="K14" s="1" t="s">
        <v>267</v>
      </c>
      <c r="L14" s="9">
        <v>-8120</v>
      </c>
      <c r="M14" s="1" t="s">
        <v>103</v>
      </c>
      <c r="N14" s="1" t="s">
        <v>265</v>
      </c>
      <c r="O14" s="1" t="s">
        <v>266</v>
      </c>
      <c r="P14" s="1" t="s">
        <v>127</v>
      </c>
      <c r="Q14" s="1" t="s">
        <v>131</v>
      </c>
      <c r="R14" s="1" t="s">
        <v>17</v>
      </c>
      <c r="S14" s="9">
        <v>8260</v>
      </c>
      <c r="T14" s="9">
        <v>140</v>
      </c>
    </row>
    <row r="15" spans="1:20">
      <c r="A15" s="1" t="s">
        <v>1021</v>
      </c>
      <c r="B15" s="1" t="s">
        <v>1022</v>
      </c>
      <c r="C15" s="1" t="s">
        <v>1023</v>
      </c>
      <c r="D15" s="1" t="s">
        <v>36</v>
      </c>
      <c r="E15" s="1" t="s">
        <v>124</v>
      </c>
      <c r="F15" s="1" t="s">
        <v>103</v>
      </c>
      <c r="G15" s="1" t="s">
        <v>673</v>
      </c>
      <c r="H15" s="1" t="s">
        <v>1024</v>
      </c>
      <c r="I15" s="1" t="s">
        <v>127</v>
      </c>
      <c r="J15" s="1" t="s">
        <v>241</v>
      </c>
      <c r="K15" s="1" t="s">
        <v>1025</v>
      </c>
      <c r="L15" s="9">
        <v>-29000</v>
      </c>
      <c r="M15" s="1" t="s">
        <v>103</v>
      </c>
      <c r="N15" s="1" t="s">
        <v>673</v>
      </c>
      <c r="O15" s="1" t="s">
        <v>1024</v>
      </c>
      <c r="P15" s="1" t="s">
        <v>127</v>
      </c>
      <c r="Q15" s="1" t="s">
        <v>131</v>
      </c>
      <c r="R15" s="1" t="s">
        <v>17</v>
      </c>
      <c r="S15" s="9">
        <v>29500</v>
      </c>
      <c r="T15" s="9">
        <v>500</v>
      </c>
    </row>
    <row r="16" spans="1:20">
      <c r="A16" s="1" t="s">
        <v>1064</v>
      </c>
      <c r="B16" s="1" t="s">
        <v>1065</v>
      </c>
      <c r="C16" s="1" t="s">
        <v>1066</v>
      </c>
      <c r="D16" s="1" t="s">
        <v>38</v>
      </c>
      <c r="E16" s="1" t="s">
        <v>1067</v>
      </c>
      <c r="F16" s="1" t="s">
        <v>103</v>
      </c>
      <c r="G16" s="1" t="s">
        <v>1068</v>
      </c>
      <c r="H16" s="1" t="s">
        <v>254</v>
      </c>
      <c r="I16" s="1" t="s">
        <v>106</v>
      </c>
      <c r="J16" s="1" t="s">
        <v>107</v>
      </c>
      <c r="K16" s="1" t="s">
        <v>17</v>
      </c>
      <c r="L16" s="9">
        <v>187950.57</v>
      </c>
      <c r="M16" s="1" t="s">
        <v>103</v>
      </c>
      <c r="N16" s="1" t="s">
        <v>1068</v>
      </c>
      <c r="O16" s="1" t="s">
        <v>17</v>
      </c>
      <c r="P16" s="1" t="s">
        <v>106</v>
      </c>
      <c r="Q16" s="1" t="s">
        <v>108</v>
      </c>
      <c r="R16" s="1" t="s">
        <v>17</v>
      </c>
      <c r="S16" s="9">
        <v>-188950.58</v>
      </c>
      <c r="T16" s="9">
        <v>-1000.0099999999802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26"/>
  <sheetViews>
    <sheetView workbookViewId="0"/>
  </sheetViews>
  <sheetFormatPr defaultRowHeight="15"/>
  <cols>
    <col min="1" max="21" width="15" customWidth="1"/>
  </cols>
  <sheetData>
    <row r="1" spans="1:21" ht="45">
      <c r="A1" s="8" t="s">
        <v>54</v>
      </c>
      <c r="B1" s="8" t="s">
        <v>55</v>
      </c>
      <c r="C1" s="8" t="s">
        <v>56</v>
      </c>
      <c r="D1" s="8" t="s">
        <v>57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8" t="s">
        <v>72</v>
      </c>
      <c r="M1" s="8" t="s">
        <v>73</v>
      </c>
      <c r="N1" s="11" t="s">
        <v>2808</v>
      </c>
      <c r="O1" s="11" t="s">
        <v>2809</v>
      </c>
      <c r="P1" s="11" t="s">
        <v>2810</v>
      </c>
      <c r="Q1" s="11" t="s">
        <v>2811</v>
      </c>
      <c r="R1" s="13" t="s">
        <v>90</v>
      </c>
      <c r="S1" s="13" t="s">
        <v>83</v>
      </c>
      <c r="T1" s="13" t="s">
        <v>2812</v>
      </c>
      <c r="U1" s="13" t="s">
        <v>86</v>
      </c>
    </row>
    <row r="2" spans="1:21">
      <c r="A2" s="1" t="s">
        <v>668</v>
      </c>
      <c r="B2" s="1" t="s">
        <v>669</v>
      </c>
      <c r="C2" s="1" t="s">
        <v>101</v>
      </c>
      <c r="D2" s="1" t="s">
        <v>124</v>
      </c>
      <c r="E2" s="1" t="s">
        <v>103</v>
      </c>
      <c r="F2" s="1" t="s">
        <v>398</v>
      </c>
      <c r="G2" s="1" t="s">
        <v>670</v>
      </c>
      <c r="H2" s="1" t="s">
        <v>127</v>
      </c>
      <c r="I2" s="1" t="s">
        <v>131</v>
      </c>
      <c r="J2" s="1"/>
      <c r="K2" s="9">
        <v>15498.94</v>
      </c>
      <c r="L2" s="1" t="s">
        <v>132</v>
      </c>
      <c r="M2" s="1" t="s">
        <v>15</v>
      </c>
      <c r="N2" s="1" t="s">
        <v>2839</v>
      </c>
      <c r="O2" s="1" t="s">
        <v>338</v>
      </c>
      <c r="P2" s="1">
        <v>0</v>
      </c>
      <c r="Q2" s="1" t="s">
        <v>398</v>
      </c>
      <c r="R2" t="s">
        <v>2825</v>
      </c>
      <c r="S2" t="s">
        <v>2840</v>
      </c>
      <c r="T2" t="s">
        <v>2841</v>
      </c>
      <c r="U2" t="s">
        <v>17</v>
      </c>
    </row>
    <row r="3" spans="1:21">
      <c r="A3" s="1" t="s">
        <v>804</v>
      </c>
      <c r="B3" s="1" t="s">
        <v>805</v>
      </c>
      <c r="C3" s="1" t="s">
        <v>101</v>
      </c>
      <c r="D3" s="1" t="s">
        <v>102</v>
      </c>
      <c r="E3" s="1" t="s">
        <v>103</v>
      </c>
      <c r="F3" s="1" t="s">
        <v>806</v>
      </c>
      <c r="G3" s="1"/>
      <c r="H3" s="1" t="s">
        <v>106</v>
      </c>
      <c r="I3" s="1" t="s">
        <v>108</v>
      </c>
      <c r="J3" s="1" t="s">
        <v>109</v>
      </c>
      <c r="K3" s="9">
        <v>-56131.33</v>
      </c>
      <c r="L3" s="1" t="s">
        <v>110</v>
      </c>
      <c r="M3" s="1" t="s">
        <v>15</v>
      </c>
      <c r="N3" s="1" t="s">
        <v>2842</v>
      </c>
      <c r="O3" s="1" t="s">
        <v>378</v>
      </c>
      <c r="P3" s="1">
        <v>0</v>
      </c>
      <c r="Q3" s="1" t="s">
        <v>806</v>
      </c>
      <c r="R3" t="s">
        <v>2823</v>
      </c>
      <c r="S3" t="s">
        <v>2843</v>
      </c>
      <c r="T3" t="s">
        <v>17</v>
      </c>
      <c r="U3" t="s">
        <v>2844</v>
      </c>
    </row>
    <row r="4" spans="1:21">
      <c r="A4" s="1" t="s">
        <v>1775</v>
      </c>
      <c r="B4" s="1" t="s">
        <v>1776</v>
      </c>
      <c r="C4" s="1" t="s">
        <v>101</v>
      </c>
      <c r="D4" s="1" t="s">
        <v>352</v>
      </c>
      <c r="E4" s="1" t="s">
        <v>103</v>
      </c>
      <c r="F4" s="1" t="s">
        <v>1672</v>
      </c>
      <c r="G4" s="1"/>
      <c r="H4" s="1" t="s">
        <v>106</v>
      </c>
      <c r="I4" s="1" t="s">
        <v>108</v>
      </c>
      <c r="J4" s="1" t="s">
        <v>109</v>
      </c>
      <c r="K4" s="9">
        <v>-43774.06</v>
      </c>
      <c r="L4" s="1" t="s">
        <v>356</v>
      </c>
      <c r="M4" s="1" t="s">
        <v>15</v>
      </c>
      <c r="N4" s="1" t="s">
        <v>2845</v>
      </c>
      <c r="O4" s="1" t="s">
        <v>1672</v>
      </c>
      <c r="P4" s="1">
        <v>0</v>
      </c>
      <c r="Q4" s="1" t="s">
        <v>1672</v>
      </c>
      <c r="R4" t="s">
        <v>2823</v>
      </c>
      <c r="S4" t="s">
        <v>2846</v>
      </c>
      <c r="T4" t="s">
        <v>17</v>
      </c>
      <c r="U4" t="s">
        <v>2847</v>
      </c>
    </row>
    <row r="5" spans="1:21">
      <c r="A5" s="1" t="s">
        <v>422</v>
      </c>
      <c r="B5" s="1" t="s">
        <v>423</v>
      </c>
      <c r="C5" s="1" t="s">
        <v>101</v>
      </c>
      <c r="D5" s="1" t="s">
        <v>124</v>
      </c>
      <c r="E5" s="1" t="s">
        <v>103</v>
      </c>
      <c r="F5" s="1" t="s">
        <v>424</v>
      </c>
      <c r="G5" s="1" t="s">
        <v>425</v>
      </c>
      <c r="H5" s="1" t="s">
        <v>127</v>
      </c>
      <c r="I5" s="1" t="s">
        <v>131</v>
      </c>
      <c r="J5" s="1"/>
      <c r="K5" s="9">
        <v>15289.51</v>
      </c>
      <c r="L5" s="1" t="s">
        <v>132</v>
      </c>
      <c r="M5" s="1" t="s">
        <v>15</v>
      </c>
      <c r="N5" s="1" t="s">
        <v>2848</v>
      </c>
      <c r="O5" s="1" t="s">
        <v>2251</v>
      </c>
      <c r="P5" s="1">
        <v>0</v>
      </c>
      <c r="Q5" s="1" t="s">
        <v>424</v>
      </c>
      <c r="R5" t="s">
        <v>2825</v>
      </c>
      <c r="S5" t="s">
        <v>2849</v>
      </c>
      <c r="T5" t="s">
        <v>2850</v>
      </c>
      <c r="U5" t="s">
        <v>17</v>
      </c>
    </row>
    <row r="6" spans="1:21">
      <c r="A6" s="1" t="s">
        <v>797</v>
      </c>
      <c r="B6" s="1" t="s">
        <v>798</v>
      </c>
      <c r="C6" s="1" t="s">
        <v>101</v>
      </c>
      <c r="D6" s="1" t="s">
        <v>102</v>
      </c>
      <c r="E6" s="1" t="s">
        <v>103</v>
      </c>
      <c r="F6" s="1" t="s">
        <v>799</v>
      </c>
      <c r="G6" s="1"/>
      <c r="H6" s="1" t="s">
        <v>106</v>
      </c>
      <c r="I6" s="1" t="s">
        <v>108</v>
      </c>
      <c r="J6" s="1" t="s">
        <v>109</v>
      </c>
      <c r="K6" s="9">
        <v>-40841</v>
      </c>
      <c r="L6" s="1" t="s">
        <v>110</v>
      </c>
      <c r="M6" s="1" t="s">
        <v>15</v>
      </c>
      <c r="N6" s="1" t="s">
        <v>2851</v>
      </c>
      <c r="O6" s="1" t="s">
        <v>1464</v>
      </c>
      <c r="P6" s="1">
        <v>0</v>
      </c>
      <c r="Q6" s="1" t="s">
        <v>799</v>
      </c>
      <c r="R6" t="s">
        <v>2823</v>
      </c>
      <c r="S6" t="s">
        <v>2852</v>
      </c>
      <c r="T6" t="s">
        <v>17</v>
      </c>
      <c r="U6" t="s">
        <v>2853</v>
      </c>
    </row>
    <row r="7" spans="1:21">
      <c r="A7" s="1" t="s">
        <v>369</v>
      </c>
      <c r="B7" s="1" t="s">
        <v>370</v>
      </c>
      <c r="C7" s="1" t="s">
        <v>101</v>
      </c>
      <c r="D7" s="1" t="s">
        <v>124</v>
      </c>
      <c r="E7" s="1" t="s">
        <v>103</v>
      </c>
      <c r="F7" s="1" t="s">
        <v>371</v>
      </c>
      <c r="G7" s="1" t="s">
        <v>372</v>
      </c>
      <c r="H7" s="1" t="s">
        <v>127</v>
      </c>
      <c r="I7" s="1" t="s">
        <v>131</v>
      </c>
      <c r="J7" s="1"/>
      <c r="K7" s="9">
        <v>18431.189999999999</v>
      </c>
      <c r="L7" s="1" t="s">
        <v>132</v>
      </c>
      <c r="M7" s="1" t="s">
        <v>15</v>
      </c>
      <c r="N7" s="1" t="s">
        <v>2854</v>
      </c>
      <c r="O7" s="1" t="s">
        <v>314</v>
      </c>
      <c r="P7" s="1">
        <v>0</v>
      </c>
      <c r="Q7" s="1" t="s">
        <v>371</v>
      </c>
      <c r="R7" t="s">
        <v>2825</v>
      </c>
      <c r="S7" t="s">
        <v>2855</v>
      </c>
      <c r="T7" t="s">
        <v>2856</v>
      </c>
      <c r="U7" t="s">
        <v>17</v>
      </c>
    </row>
    <row r="8" spans="1:21">
      <c r="A8" s="1" t="s">
        <v>2533</v>
      </c>
      <c r="B8" s="1" t="s">
        <v>2534</v>
      </c>
      <c r="C8" s="1" t="s">
        <v>42</v>
      </c>
      <c r="D8" s="1" t="s">
        <v>42</v>
      </c>
      <c r="E8" s="1" t="s">
        <v>103</v>
      </c>
      <c r="F8" s="1" t="s">
        <v>395</v>
      </c>
      <c r="G8" s="1"/>
      <c r="H8" s="1" t="s">
        <v>2379</v>
      </c>
      <c r="I8" s="1" t="s">
        <v>2380</v>
      </c>
      <c r="J8" s="1"/>
      <c r="K8" s="9">
        <v>28903</v>
      </c>
      <c r="L8" s="1" t="s">
        <v>2535</v>
      </c>
      <c r="M8" s="1" t="s">
        <v>15</v>
      </c>
      <c r="N8" s="1" t="s">
        <v>2857</v>
      </c>
      <c r="O8" s="1" t="s">
        <v>395</v>
      </c>
      <c r="P8" s="1">
        <v>0</v>
      </c>
      <c r="Q8" s="1" t="s">
        <v>395</v>
      </c>
      <c r="R8" t="s">
        <v>2825</v>
      </c>
      <c r="S8" t="s">
        <v>2857</v>
      </c>
      <c r="T8" t="s">
        <v>17</v>
      </c>
      <c r="U8" t="s">
        <v>17</v>
      </c>
    </row>
    <row r="9" spans="1:21">
      <c r="A9" s="1" t="s">
        <v>1614</v>
      </c>
      <c r="B9" s="1" t="s">
        <v>1615</v>
      </c>
      <c r="C9" s="1" t="s">
        <v>101</v>
      </c>
      <c r="D9" s="1" t="s">
        <v>102</v>
      </c>
      <c r="E9" s="1" t="s">
        <v>103</v>
      </c>
      <c r="F9" s="1" t="s">
        <v>1616</v>
      </c>
      <c r="G9" s="1"/>
      <c r="H9" s="1" t="s">
        <v>106</v>
      </c>
      <c r="I9" s="1" t="s">
        <v>108</v>
      </c>
      <c r="J9" s="1" t="s">
        <v>109</v>
      </c>
      <c r="K9" s="9">
        <v>-13404.5</v>
      </c>
      <c r="L9" s="1" t="s">
        <v>110</v>
      </c>
      <c r="M9" s="1" t="s">
        <v>15</v>
      </c>
      <c r="N9" s="1" t="s">
        <v>2858</v>
      </c>
      <c r="O9" s="1" t="s">
        <v>2686</v>
      </c>
      <c r="P9" s="1">
        <v>0</v>
      </c>
      <c r="Q9" s="1" t="s">
        <v>1616</v>
      </c>
      <c r="R9" t="s">
        <v>2823</v>
      </c>
      <c r="S9" t="s">
        <v>2859</v>
      </c>
      <c r="T9" t="s">
        <v>17</v>
      </c>
      <c r="U9" t="s">
        <v>2860</v>
      </c>
    </row>
    <row r="10" spans="1:21">
      <c r="A10" s="1" t="s">
        <v>2024</v>
      </c>
      <c r="B10" s="1" t="s">
        <v>2025</v>
      </c>
      <c r="C10" s="1" t="s">
        <v>101</v>
      </c>
      <c r="D10" s="1" t="s">
        <v>102</v>
      </c>
      <c r="E10" s="1" t="s">
        <v>103</v>
      </c>
      <c r="F10" s="1" t="s">
        <v>2026</v>
      </c>
      <c r="G10" s="1"/>
      <c r="H10" s="1" t="s">
        <v>106</v>
      </c>
      <c r="I10" s="1" t="s">
        <v>108</v>
      </c>
      <c r="J10" s="1" t="s">
        <v>109</v>
      </c>
      <c r="K10" s="9">
        <v>-55503</v>
      </c>
      <c r="L10" s="1" t="s">
        <v>110</v>
      </c>
      <c r="M10" s="1" t="s">
        <v>15</v>
      </c>
      <c r="N10" s="1" t="s">
        <v>2861</v>
      </c>
      <c r="O10" s="1" t="s">
        <v>2318</v>
      </c>
      <c r="P10" s="1">
        <v>0</v>
      </c>
      <c r="Q10" s="1" t="s">
        <v>2026</v>
      </c>
      <c r="R10" t="s">
        <v>2823</v>
      </c>
      <c r="S10" t="s">
        <v>2862</v>
      </c>
      <c r="T10" t="s">
        <v>17</v>
      </c>
      <c r="U10" t="s">
        <v>2863</v>
      </c>
    </row>
    <row r="11" spans="1:21">
      <c r="A11" s="1" t="s">
        <v>2536</v>
      </c>
      <c r="B11" s="1" t="s">
        <v>2537</v>
      </c>
      <c r="C11" s="1" t="s">
        <v>42</v>
      </c>
      <c r="D11" s="1" t="s">
        <v>42</v>
      </c>
      <c r="E11" s="1" t="s">
        <v>103</v>
      </c>
      <c r="F11" s="1" t="s">
        <v>1335</v>
      </c>
      <c r="G11" s="1"/>
      <c r="H11" s="1" t="s">
        <v>2379</v>
      </c>
      <c r="I11" s="1" t="s">
        <v>2380</v>
      </c>
      <c r="J11" s="1"/>
      <c r="K11" s="9">
        <v>18012</v>
      </c>
      <c r="L11" s="1" t="s">
        <v>2535</v>
      </c>
      <c r="M11" s="1" t="s">
        <v>15</v>
      </c>
      <c r="N11" s="1" t="s">
        <v>2864</v>
      </c>
      <c r="O11" s="1" t="s">
        <v>1335</v>
      </c>
      <c r="P11" s="1">
        <v>0</v>
      </c>
      <c r="Q11" s="1" t="s">
        <v>1335</v>
      </c>
      <c r="R11" t="s">
        <v>2825</v>
      </c>
      <c r="S11" t="s">
        <v>2864</v>
      </c>
      <c r="T11" t="s">
        <v>17</v>
      </c>
      <c r="U11" t="s">
        <v>17</v>
      </c>
    </row>
    <row r="12" spans="1:21">
      <c r="A12" s="1" t="s">
        <v>1769</v>
      </c>
      <c r="B12" s="1" t="s">
        <v>1770</v>
      </c>
      <c r="C12" s="1" t="s">
        <v>101</v>
      </c>
      <c r="D12" s="1" t="s">
        <v>102</v>
      </c>
      <c r="E12" s="1" t="s">
        <v>103</v>
      </c>
      <c r="F12" s="1" t="s">
        <v>817</v>
      </c>
      <c r="G12" s="1"/>
      <c r="H12" s="1" t="s">
        <v>106</v>
      </c>
      <c r="I12" s="1" t="s">
        <v>108</v>
      </c>
      <c r="J12" s="1" t="s">
        <v>109</v>
      </c>
      <c r="K12" s="9">
        <v>-89013.58</v>
      </c>
      <c r="L12" s="1" t="s">
        <v>110</v>
      </c>
      <c r="M12" s="1" t="s">
        <v>15</v>
      </c>
      <c r="N12" s="1" t="s">
        <v>2865</v>
      </c>
      <c r="O12" s="1" t="s">
        <v>1052</v>
      </c>
      <c r="P12" s="1">
        <v>0</v>
      </c>
      <c r="Q12" s="1" t="s">
        <v>817</v>
      </c>
      <c r="R12" t="s">
        <v>2823</v>
      </c>
      <c r="S12" t="s">
        <v>2866</v>
      </c>
      <c r="T12" t="s">
        <v>17</v>
      </c>
      <c r="U12" t="s">
        <v>2867</v>
      </c>
    </row>
    <row r="13" spans="1:21">
      <c r="A13" s="1" t="s">
        <v>990</v>
      </c>
      <c r="B13" s="1" t="s">
        <v>991</v>
      </c>
      <c r="C13" s="1" t="s">
        <v>101</v>
      </c>
      <c r="D13" s="1" t="s">
        <v>102</v>
      </c>
      <c r="E13" s="1" t="s">
        <v>103</v>
      </c>
      <c r="F13" s="1" t="s">
        <v>629</v>
      </c>
      <c r="G13" s="1"/>
      <c r="H13" s="1" t="s">
        <v>106</v>
      </c>
      <c r="I13" s="1" t="s">
        <v>108</v>
      </c>
      <c r="J13" s="1" t="s">
        <v>109</v>
      </c>
      <c r="K13" s="9">
        <v>-46496.71</v>
      </c>
      <c r="L13" s="1" t="s">
        <v>110</v>
      </c>
      <c r="M13" s="1" t="s">
        <v>15</v>
      </c>
      <c r="N13" s="1" t="s">
        <v>2868</v>
      </c>
      <c r="O13" s="1" t="s">
        <v>1572</v>
      </c>
      <c r="P13" s="1">
        <v>0</v>
      </c>
      <c r="Q13" s="1" t="s">
        <v>629</v>
      </c>
      <c r="R13" t="s">
        <v>2823</v>
      </c>
      <c r="S13" t="s">
        <v>2869</v>
      </c>
      <c r="T13" t="s">
        <v>17</v>
      </c>
      <c r="U13" t="s">
        <v>2870</v>
      </c>
    </row>
    <row r="14" spans="1:21">
      <c r="A14" s="1" t="s">
        <v>1757</v>
      </c>
      <c r="B14" s="1" t="s">
        <v>1758</v>
      </c>
      <c r="C14" s="1" t="s">
        <v>101</v>
      </c>
      <c r="D14" s="1" t="s">
        <v>102</v>
      </c>
      <c r="E14" s="1" t="s">
        <v>103</v>
      </c>
      <c r="F14" s="1" t="s">
        <v>1759</v>
      </c>
      <c r="G14" s="1"/>
      <c r="H14" s="1" t="s">
        <v>106</v>
      </c>
      <c r="I14" s="1" t="s">
        <v>108</v>
      </c>
      <c r="J14" s="1" t="s">
        <v>109</v>
      </c>
      <c r="K14" s="9">
        <v>-29950.67</v>
      </c>
      <c r="L14" s="1" t="s">
        <v>110</v>
      </c>
      <c r="M14" s="1" t="s">
        <v>15</v>
      </c>
      <c r="N14" s="1" t="s">
        <v>2871</v>
      </c>
      <c r="O14" s="1" t="s">
        <v>409</v>
      </c>
      <c r="P14" s="1">
        <v>0</v>
      </c>
      <c r="Q14" s="1" t="s">
        <v>1759</v>
      </c>
      <c r="R14" t="s">
        <v>2823</v>
      </c>
      <c r="S14" t="s">
        <v>2872</v>
      </c>
      <c r="T14" t="s">
        <v>17</v>
      </c>
      <c r="U14" t="s">
        <v>2873</v>
      </c>
    </row>
    <row r="15" spans="1:21">
      <c r="A15" s="1" t="s">
        <v>2538</v>
      </c>
      <c r="B15" s="1" t="s">
        <v>2539</v>
      </c>
      <c r="C15" s="1" t="s">
        <v>42</v>
      </c>
      <c r="D15" s="1" t="s">
        <v>42</v>
      </c>
      <c r="E15" s="1" t="s">
        <v>103</v>
      </c>
      <c r="F15" s="1" t="s">
        <v>1154</v>
      </c>
      <c r="G15" s="1"/>
      <c r="H15" s="1" t="s">
        <v>2379</v>
      </c>
      <c r="I15" s="1" t="s">
        <v>2380</v>
      </c>
      <c r="J15" s="1"/>
      <c r="K15" s="9">
        <v>-14451.72</v>
      </c>
      <c r="L15" s="1" t="s">
        <v>2535</v>
      </c>
      <c r="M15" s="1" t="s">
        <v>15</v>
      </c>
      <c r="N15" s="1" t="s">
        <v>2874</v>
      </c>
      <c r="O15" s="1" t="s">
        <v>1154</v>
      </c>
      <c r="P15" s="1">
        <v>0</v>
      </c>
      <c r="Q15" s="1" t="s">
        <v>1154</v>
      </c>
      <c r="R15" t="s">
        <v>2825</v>
      </c>
      <c r="S15" t="s">
        <v>2874</v>
      </c>
      <c r="T15" t="s">
        <v>17</v>
      </c>
      <c r="U15" t="s">
        <v>17</v>
      </c>
    </row>
    <row r="16" spans="1:21">
      <c r="A16" s="1" t="s">
        <v>2540</v>
      </c>
      <c r="B16" s="1" t="s">
        <v>2541</v>
      </c>
      <c r="C16" s="1" t="s">
        <v>42</v>
      </c>
      <c r="D16" s="1" t="s">
        <v>42</v>
      </c>
      <c r="E16" s="1" t="s">
        <v>103</v>
      </c>
      <c r="F16" s="1" t="s">
        <v>517</v>
      </c>
      <c r="G16" s="1"/>
      <c r="H16" s="1" t="s">
        <v>2379</v>
      </c>
      <c r="I16" s="1" t="s">
        <v>2380</v>
      </c>
      <c r="J16" s="1"/>
      <c r="K16" s="9">
        <v>-29531.78</v>
      </c>
      <c r="L16" s="1" t="s">
        <v>2535</v>
      </c>
      <c r="M16" s="1" t="s">
        <v>15</v>
      </c>
      <c r="N16" s="1" t="s">
        <v>2875</v>
      </c>
      <c r="O16" s="1" t="s">
        <v>517</v>
      </c>
      <c r="P16" s="1">
        <v>0</v>
      </c>
      <c r="Q16" s="1" t="s">
        <v>517</v>
      </c>
      <c r="R16" t="s">
        <v>2825</v>
      </c>
      <c r="S16" t="s">
        <v>2875</v>
      </c>
      <c r="T16" t="s">
        <v>17</v>
      </c>
      <c r="U16" t="s">
        <v>17</v>
      </c>
    </row>
    <row r="17" spans="1:21">
      <c r="A17" s="1" t="s">
        <v>2542</v>
      </c>
      <c r="B17" s="1" t="s">
        <v>2543</v>
      </c>
      <c r="C17" s="1" t="s">
        <v>42</v>
      </c>
      <c r="D17" s="1" t="s">
        <v>42</v>
      </c>
      <c r="E17" s="1" t="s">
        <v>103</v>
      </c>
      <c r="F17" s="1" t="s">
        <v>901</v>
      </c>
      <c r="G17" s="1"/>
      <c r="H17" s="1" t="s">
        <v>2379</v>
      </c>
      <c r="I17" s="1" t="s">
        <v>2380</v>
      </c>
      <c r="J17" s="1"/>
      <c r="K17" s="9">
        <v>25342</v>
      </c>
      <c r="L17" s="1" t="s">
        <v>2535</v>
      </c>
      <c r="M17" s="1" t="s">
        <v>15</v>
      </c>
      <c r="N17" s="1" t="s">
        <v>2876</v>
      </c>
      <c r="O17" s="1" t="s">
        <v>901</v>
      </c>
      <c r="P17" s="1">
        <v>0</v>
      </c>
      <c r="Q17" s="1" t="s">
        <v>901</v>
      </c>
      <c r="R17" t="s">
        <v>2825</v>
      </c>
      <c r="S17" t="s">
        <v>2876</v>
      </c>
      <c r="T17" t="s">
        <v>17</v>
      </c>
      <c r="U17" t="s">
        <v>17</v>
      </c>
    </row>
    <row r="18" spans="1:21">
      <c r="A18" s="1" t="s">
        <v>1157</v>
      </c>
      <c r="B18" s="1" t="s">
        <v>1158</v>
      </c>
      <c r="C18" s="1" t="s">
        <v>40</v>
      </c>
      <c r="D18" s="1" t="s">
        <v>124</v>
      </c>
      <c r="E18" s="1" t="s">
        <v>103</v>
      </c>
      <c r="F18" s="1" t="s">
        <v>1159</v>
      </c>
      <c r="G18" s="1" t="s">
        <v>1160</v>
      </c>
      <c r="H18" s="1" t="s">
        <v>127</v>
      </c>
      <c r="I18" s="1" t="s">
        <v>131</v>
      </c>
      <c r="J18" s="1"/>
      <c r="K18" s="9">
        <v>13823.4</v>
      </c>
      <c r="L18" s="1" t="s">
        <v>146</v>
      </c>
      <c r="M18" s="1" t="s">
        <v>15</v>
      </c>
      <c r="N18" s="1" t="s">
        <v>2876</v>
      </c>
      <c r="O18" s="1" t="s">
        <v>901</v>
      </c>
      <c r="P18" s="1">
        <v>0</v>
      </c>
      <c r="Q18" s="1" t="s">
        <v>1159</v>
      </c>
      <c r="R18" t="s">
        <v>2825</v>
      </c>
      <c r="S18" t="s">
        <v>2877</v>
      </c>
      <c r="T18" t="s">
        <v>2878</v>
      </c>
      <c r="U18" t="s">
        <v>17</v>
      </c>
    </row>
    <row r="19" spans="1:21">
      <c r="A19" s="1" t="s">
        <v>2544</v>
      </c>
      <c r="B19" s="1" t="s">
        <v>2545</v>
      </c>
      <c r="C19" s="1" t="s">
        <v>42</v>
      </c>
      <c r="D19" s="1" t="s">
        <v>42</v>
      </c>
      <c r="E19" s="1" t="s">
        <v>103</v>
      </c>
      <c r="F19" s="1" t="s">
        <v>278</v>
      </c>
      <c r="G19" s="1"/>
      <c r="H19" s="1" t="s">
        <v>2379</v>
      </c>
      <c r="I19" s="1" t="s">
        <v>2380</v>
      </c>
      <c r="J19" s="1"/>
      <c r="K19" s="9">
        <v>-68069.73</v>
      </c>
      <c r="L19" s="1" t="s">
        <v>2535</v>
      </c>
      <c r="M19" s="1" t="s">
        <v>15</v>
      </c>
      <c r="N19" s="1" t="s">
        <v>2879</v>
      </c>
      <c r="O19" s="1" t="s">
        <v>278</v>
      </c>
      <c r="P19" s="1">
        <v>0</v>
      </c>
      <c r="Q19" s="1" t="s">
        <v>278</v>
      </c>
      <c r="R19" t="s">
        <v>2825</v>
      </c>
      <c r="S19" t="s">
        <v>2879</v>
      </c>
      <c r="T19" t="s">
        <v>17</v>
      </c>
      <c r="U19" t="s">
        <v>17</v>
      </c>
    </row>
    <row r="20" spans="1:21">
      <c r="A20" s="1" t="s">
        <v>970</v>
      </c>
      <c r="B20" s="1" t="s">
        <v>971</v>
      </c>
      <c r="C20" s="1" t="s">
        <v>101</v>
      </c>
      <c r="D20" s="1" t="s">
        <v>102</v>
      </c>
      <c r="E20" s="1" t="s">
        <v>103</v>
      </c>
      <c r="F20" s="1" t="s">
        <v>569</v>
      </c>
      <c r="G20" s="1"/>
      <c r="H20" s="1" t="s">
        <v>106</v>
      </c>
      <c r="I20" s="1" t="s">
        <v>108</v>
      </c>
      <c r="J20" s="1" t="s">
        <v>109</v>
      </c>
      <c r="K20" s="9">
        <v>-24247.29</v>
      </c>
      <c r="L20" s="1" t="s">
        <v>110</v>
      </c>
      <c r="M20" s="1" t="s">
        <v>15</v>
      </c>
      <c r="N20" s="1" t="s">
        <v>2829</v>
      </c>
      <c r="O20" s="1" t="s">
        <v>1196</v>
      </c>
      <c r="P20" s="1">
        <v>0</v>
      </c>
      <c r="Q20" s="1" t="s">
        <v>569</v>
      </c>
      <c r="R20" t="s">
        <v>2823</v>
      </c>
      <c r="S20" t="s">
        <v>2880</v>
      </c>
      <c r="T20" t="s">
        <v>17</v>
      </c>
      <c r="U20" t="s">
        <v>2881</v>
      </c>
    </row>
    <row r="21" spans="1:21">
      <c r="A21" s="1" t="s">
        <v>1125</v>
      </c>
      <c r="B21" s="1" t="s">
        <v>1126</v>
      </c>
      <c r="C21" s="1" t="s">
        <v>101</v>
      </c>
      <c r="D21" s="1" t="s">
        <v>102</v>
      </c>
      <c r="E21" s="1" t="s">
        <v>103</v>
      </c>
      <c r="F21" s="1" t="s">
        <v>431</v>
      </c>
      <c r="G21" s="1"/>
      <c r="H21" s="1" t="s">
        <v>106</v>
      </c>
      <c r="I21" s="1" t="s">
        <v>108</v>
      </c>
      <c r="J21" s="1" t="s">
        <v>109</v>
      </c>
      <c r="K21" s="9">
        <v>-328908.40000000002</v>
      </c>
      <c r="L21" s="1" t="s">
        <v>110</v>
      </c>
      <c r="M21" s="1" t="s">
        <v>15</v>
      </c>
      <c r="N21" s="1" t="s">
        <v>2833</v>
      </c>
      <c r="O21" s="1" t="s">
        <v>964</v>
      </c>
      <c r="P21" s="1">
        <v>0</v>
      </c>
      <c r="Q21" s="1" t="s">
        <v>431</v>
      </c>
      <c r="R21" t="s">
        <v>2823</v>
      </c>
      <c r="S21" t="s">
        <v>2882</v>
      </c>
      <c r="T21" t="s">
        <v>17</v>
      </c>
      <c r="U21" t="s">
        <v>2883</v>
      </c>
    </row>
    <row r="22" spans="1:21">
      <c r="A22" s="1" t="s">
        <v>2546</v>
      </c>
      <c r="B22" s="1" t="s">
        <v>2547</v>
      </c>
      <c r="C22" s="1" t="s">
        <v>42</v>
      </c>
      <c r="D22" s="1" t="s">
        <v>42</v>
      </c>
      <c r="E22" s="1" t="s">
        <v>103</v>
      </c>
      <c r="F22" s="1" t="s">
        <v>921</v>
      </c>
      <c r="G22" s="1"/>
      <c r="H22" s="1" t="s">
        <v>2379</v>
      </c>
      <c r="I22" s="1" t="s">
        <v>2380</v>
      </c>
      <c r="J22" s="1"/>
      <c r="K22" s="9">
        <v>-69745.289999999994</v>
      </c>
      <c r="L22" s="1" t="s">
        <v>2535</v>
      </c>
      <c r="M22" s="1" t="s">
        <v>15</v>
      </c>
      <c r="N22" s="1" t="s">
        <v>2884</v>
      </c>
      <c r="O22" s="1" t="s">
        <v>921</v>
      </c>
      <c r="P22" s="1">
        <v>0</v>
      </c>
      <c r="Q22" s="1" t="s">
        <v>921</v>
      </c>
      <c r="R22" t="s">
        <v>2825</v>
      </c>
      <c r="S22" t="s">
        <v>2884</v>
      </c>
      <c r="T22" t="s">
        <v>17</v>
      </c>
      <c r="U22" t="s">
        <v>17</v>
      </c>
    </row>
    <row r="23" spans="1:21">
      <c r="A23" s="1" t="s">
        <v>172</v>
      </c>
      <c r="B23" s="1" t="s">
        <v>173</v>
      </c>
      <c r="C23" s="1" t="s">
        <v>101</v>
      </c>
      <c r="D23" s="1" t="s">
        <v>124</v>
      </c>
      <c r="E23" s="1" t="s">
        <v>103</v>
      </c>
      <c r="F23" s="1" t="s">
        <v>176</v>
      </c>
      <c r="G23" s="1" t="s">
        <v>175</v>
      </c>
      <c r="H23" s="1" t="s">
        <v>127</v>
      </c>
      <c r="I23" s="1" t="s">
        <v>131</v>
      </c>
      <c r="J23" s="1"/>
      <c r="K23" s="9">
        <v>19687.86</v>
      </c>
      <c r="L23" s="1" t="s">
        <v>132</v>
      </c>
      <c r="M23" s="1" t="s">
        <v>15</v>
      </c>
      <c r="N23" s="1" t="s">
        <v>2885</v>
      </c>
      <c r="O23" s="1" t="s">
        <v>314</v>
      </c>
      <c r="P23" s="1">
        <v>0</v>
      </c>
      <c r="Q23" s="1" t="s">
        <v>176</v>
      </c>
      <c r="R23" t="s">
        <v>2825</v>
      </c>
      <c r="S23" t="s">
        <v>2886</v>
      </c>
      <c r="T23" t="s">
        <v>2887</v>
      </c>
      <c r="U23" t="s">
        <v>17</v>
      </c>
    </row>
    <row r="24" spans="1:21">
      <c r="A24" s="1" t="s">
        <v>2548</v>
      </c>
      <c r="B24" s="1" t="s">
        <v>2549</v>
      </c>
      <c r="C24" s="1" t="s">
        <v>42</v>
      </c>
      <c r="D24" s="1" t="s">
        <v>42</v>
      </c>
      <c r="E24" s="1" t="s">
        <v>103</v>
      </c>
      <c r="F24" s="1" t="s">
        <v>1473</v>
      </c>
      <c r="G24" s="1"/>
      <c r="H24" s="1" t="s">
        <v>2379</v>
      </c>
      <c r="I24" s="1" t="s">
        <v>2380</v>
      </c>
      <c r="J24" s="1"/>
      <c r="K24" s="9">
        <v>32464.02</v>
      </c>
      <c r="L24" s="1" t="s">
        <v>2535</v>
      </c>
      <c r="M24" s="1" t="s">
        <v>15</v>
      </c>
      <c r="N24" s="1" t="s">
        <v>2888</v>
      </c>
      <c r="O24" s="1" t="s">
        <v>1473</v>
      </c>
      <c r="P24" s="1">
        <v>0</v>
      </c>
      <c r="Q24" s="1" t="s">
        <v>1473</v>
      </c>
      <c r="R24" t="s">
        <v>2825</v>
      </c>
      <c r="S24" t="s">
        <v>2888</v>
      </c>
      <c r="T24" t="s">
        <v>17</v>
      </c>
      <c r="U24" t="s">
        <v>17</v>
      </c>
    </row>
    <row r="25" spans="1:21">
      <c r="A25" s="1" t="s">
        <v>2550</v>
      </c>
      <c r="B25" s="1" t="s">
        <v>2551</v>
      </c>
      <c r="C25" s="1" t="s">
        <v>42</v>
      </c>
      <c r="D25" s="1" t="s">
        <v>42</v>
      </c>
      <c r="E25" s="1" t="s">
        <v>103</v>
      </c>
      <c r="F25" s="1" t="s">
        <v>895</v>
      </c>
      <c r="G25" s="1"/>
      <c r="H25" s="1" t="s">
        <v>2379</v>
      </c>
      <c r="I25" s="1" t="s">
        <v>2380</v>
      </c>
      <c r="J25" s="1"/>
      <c r="K25" s="9">
        <v>17383.97</v>
      </c>
      <c r="L25" s="1" t="s">
        <v>2535</v>
      </c>
      <c r="M25" s="1" t="s">
        <v>15</v>
      </c>
      <c r="N25" s="1" t="s">
        <v>2889</v>
      </c>
      <c r="O25" s="1" t="s">
        <v>895</v>
      </c>
      <c r="P25" s="1">
        <v>0</v>
      </c>
      <c r="Q25" s="1" t="s">
        <v>895</v>
      </c>
      <c r="R25" t="s">
        <v>2825</v>
      </c>
      <c r="S25" t="s">
        <v>2889</v>
      </c>
      <c r="T25" t="s">
        <v>17</v>
      </c>
      <c r="U25" t="s">
        <v>17</v>
      </c>
    </row>
    <row r="26" spans="1:21">
      <c r="A26" s="1" t="s">
        <v>544</v>
      </c>
      <c r="B26" s="1" t="s">
        <v>545</v>
      </c>
      <c r="C26" s="1" t="s">
        <v>101</v>
      </c>
      <c r="D26" s="1" t="s">
        <v>124</v>
      </c>
      <c r="E26" s="1" t="s">
        <v>103</v>
      </c>
      <c r="F26" s="1" t="s">
        <v>547</v>
      </c>
      <c r="G26" s="1" t="s">
        <v>546</v>
      </c>
      <c r="H26" s="1" t="s">
        <v>127</v>
      </c>
      <c r="I26" s="1" t="s">
        <v>131</v>
      </c>
      <c r="J26" s="1"/>
      <c r="K26" s="9">
        <v>4817.25</v>
      </c>
      <c r="L26" s="1" t="s">
        <v>132</v>
      </c>
      <c r="M26" s="1" t="s">
        <v>15</v>
      </c>
      <c r="N26" s="1" t="s">
        <v>2885</v>
      </c>
      <c r="O26" s="1" t="s">
        <v>314</v>
      </c>
      <c r="P26" s="1">
        <v>0</v>
      </c>
      <c r="Q26" s="1" t="s">
        <v>547</v>
      </c>
      <c r="R26" t="s">
        <v>2825</v>
      </c>
      <c r="S26" t="s">
        <v>2890</v>
      </c>
      <c r="T26" t="s">
        <v>2891</v>
      </c>
      <c r="U26" t="s">
        <v>17</v>
      </c>
    </row>
    <row r="27" spans="1:21">
      <c r="A27" s="1" t="s">
        <v>781</v>
      </c>
      <c r="B27" s="1" t="s">
        <v>782</v>
      </c>
      <c r="C27" s="1" t="s">
        <v>40</v>
      </c>
      <c r="D27" s="1" t="s">
        <v>124</v>
      </c>
      <c r="E27" s="1" t="s">
        <v>103</v>
      </c>
      <c r="F27" s="1" t="s">
        <v>783</v>
      </c>
      <c r="G27" s="1" t="s">
        <v>784</v>
      </c>
      <c r="H27" s="1" t="s">
        <v>127</v>
      </c>
      <c r="I27" s="1" t="s">
        <v>131</v>
      </c>
      <c r="J27" s="1"/>
      <c r="K27" s="9">
        <v>15708.4</v>
      </c>
      <c r="L27" s="1" t="s">
        <v>146</v>
      </c>
      <c r="M27" s="1" t="s">
        <v>15</v>
      </c>
      <c r="N27" s="1" t="s">
        <v>2892</v>
      </c>
      <c r="O27" s="1" t="s">
        <v>1110</v>
      </c>
      <c r="P27" s="1">
        <v>0</v>
      </c>
      <c r="Q27" s="1" t="s">
        <v>783</v>
      </c>
      <c r="R27" t="s">
        <v>2825</v>
      </c>
      <c r="S27" t="s">
        <v>2893</v>
      </c>
      <c r="T27" t="s">
        <v>2894</v>
      </c>
      <c r="U27" t="s">
        <v>17</v>
      </c>
    </row>
    <row r="28" spans="1:21">
      <c r="A28" s="1" t="s">
        <v>2493</v>
      </c>
      <c r="B28" s="1" t="s">
        <v>17</v>
      </c>
      <c r="C28" s="1" t="s">
        <v>33</v>
      </c>
      <c r="D28" s="1" t="s">
        <v>2391</v>
      </c>
      <c r="E28" s="1" t="s">
        <v>103</v>
      </c>
      <c r="F28" s="1" t="s">
        <v>1196</v>
      </c>
      <c r="G28" s="1"/>
      <c r="H28" s="1" t="s">
        <v>2379</v>
      </c>
      <c r="I28" s="1" t="s">
        <v>2380</v>
      </c>
      <c r="J28" s="1"/>
      <c r="K28" s="9">
        <v>24247.29</v>
      </c>
      <c r="L28" s="1" t="s">
        <v>2494</v>
      </c>
      <c r="M28" s="1" t="s">
        <v>15</v>
      </c>
      <c r="N28" s="1" t="s">
        <v>2829</v>
      </c>
      <c r="O28" s="1" t="s">
        <v>1196</v>
      </c>
      <c r="P28" s="1">
        <v>0</v>
      </c>
      <c r="Q28" s="1" t="s">
        <v>1196</v>
      </c>
      <c r="R28" t="s">
        <v>2825</v>
      </c>
      <c r="S28" t="s">
        <v>2829</v>
      </c>
      <c r="T28" t="s">
        <v>17</v>
      </c>
      <c r="U28" t="s">
        <v>17</v>
      </c>
    </row>
    <row r="29" spans="1:21">
      <c r="A29" s="1" t="s">
        <v>2552</v>
      </c>
      <c r="B29" s="1" t="s">
        <v>2553</v>
      </c>
      <c r="C29" s="1" t="s">
        <v>42</v>
      </c>
      <c r="D29" s="1" t="s">
        <v>42</v>
      </c>
      <c r="E29" s="1" t="s">
        <v>103</v>
      </c>
      <c r="F29" s="1" t="s">
        <v>1110</v>
      </c>
      <c r="G29" s="1"/>
      <c r="H29" s="1" t="s">
        <v>2379</v>
      </c>
      <c r="I29" s="1" t="s">
        <v>2380</v>
      </c>
      <c r="J29" s="1"/>
      <c r="K29" s="9">
        <v>31206</v>
      </c>
      <c r="L29" s="1" t="s">
        <v>2535</v>
      </c>
      <c r="M29" s="1" t="s">
        <v>15</v>
      </c>
      <c r="N29" s="1" t="s">
        <v>2892</v>
      </c>
      <c r="O29" s="1" t="s">
        <v>1110</v>
      </c>
      <c r="P29" s="1">
        <v>0</v>
      </c>
      <c r="Q29" s="1" t="s">
        <v>1110</v>
      </c>
      <c r="R29" t="s">
        <v>2823</v>
      </c>
      <c r="S29" t="s">
        <v>2892</v>
      </c>
      <c r="T29" t="s">
        <v>17</v>
      </c>
      <c r="U29" t="s">
        <v>17</v>
      </c>
    </row>
    <row r="30" spans="1:21">
      <c r="A30" s="1" t="s">
        <v>1511</v>
      </c>
      <c r="B30" s="1" t="s">
        <v>1512</v>
      </c>
      <c r="C30" s="1" t="s">
        <v>40</v>
      </c>
      <c r="D30" s="1" t="s">
        <v>124</v>
      </c>
      <c r="E30" s="1" t="s">
        <v>103</v>
      </c>
      <c r="F30" s="1" t="s">
        <v>1196</v>
      </c>
      <c r="G30" s="1" t="s">
        <v>1513</v>
      </c>
      <c r="H30" s="1" t="s">
        <v>127</v>
      </c>
      <c r="I30" s="1" t="s">
        <v>131</v>
      </c>
      <c r="J30" s="1"/>
      <c r="K30" s="9">
        <v>15708.4</v>
      </c>
      <c r="L30" s="1" t="s">
        <v>146</v>
      </c>
      <c r="M30" s="1" t="s">
        <v>15</v>
      </c>
      <c r="N30" s="1" t="s">
        <v>2895</v>
      </c>
      <c r="O30" s="1" t="s">
        <v>212</v>
      </c>
      <c r="P30" s="1">
        <v>0</v>
      </c>
      <c r="Q30" s="1" t="s">
        <v>1196</v>
      </c>
      <c r="R30" t="s">
        <v>2825</v>
      </c>
      <c r="S30" t="s">
        <v>2896</v>
      </c>
      <c r="T30" t="s">
        <v>2897</v>
      </c>
      <c r="U30" t="s">
        <v>17</v>
      </c>
    </row>
    <row r="31" spans="1:21">
      <c r="A31" s="1" t="s">
        <v>2554</v>
      </c>
      <c r="B31" s="1" t="s">
        <v>2555</v>
      </c>
      <c r="C31" s="1" t="s">
        <v>42</v>
      </c>
      <c r="D31" s="1" t="s">
        <v>42</v>
      </c>
      <c r="E31" s="1" t="s">
        <v>103</v>
      </c>
      <c r="F31" s="1" t="s">
        <v>462</v>
      </c>
      <c r="G31" s="1"/>
      <c r="H31" s="1" t="s">
        <v>2379</v>
      </c>
      <c r="I31" s="1" t="s">
        <v>2380</v>
      </c>
      <c r="J31" s="1"/>
      <c r="K31" s="9">
        <v>-17802.84</v>
      </c>
      <c r="L31" s="1" t="s">
        <v>2535</v>
      </c>
      <c r="M31" s="1" t="s">
        <v>15</v>
      </c>
      <c r="N31" s="1" t="s">
        <v>2898</v>
      </c>
      <c r="O31" s="1" t="s">
        <v>462</v>
      </c>
      <c r="P31" s="1">
        <v>0</v>
      </c>
      <c r="Q31" s="1" t="s">
        <v>462</v>
      </c>
      <c r="R31" t="s">
        <v>2825</v>
      </c>
      <c r="S31" t="s">
        <v>2898</v>
      </c>
      <c r="T31" t="s">
        <v>17</v>
      </c>
      <c r="U31" t="s">
        <v>17</v>
      </c>
    </row>
    <row r="32" spans="1:21">
      <c r="A32" s="1" t="s">
        <v>2031</v>
      </c>
      <c r="B32" s="1" t="s">
        <v>2032</v>
      </c>
      <c r="C32" s="1" t="s">
        <v>101</v>
      </c>
      <c r="D32" s="1" t="s">
        <v>102</v>
      </c>
      <c r="E32" s="1" t="s">
        <v>103</v>
      </c>
      <c r="F32" s="1" t="s">
        <v>278</v>
      </c>
      <c r="G32" s="1"/>
      <c r="H32" s="1" t="s">
        <v>106</v>
      </c>
      <c r="I32" s="1" t="s">
        <v>108</v>
      </c>
      <c r="J32" s="1" t="s">
        <v>109</v>
      </c>
      <c r="K32" s="9">
        <v>-68069.009999999995</v>
      </c>
      <c r="L32" s="1" t="s">
        <v>110</v>
      </c>
      <c r="M32" s="1" t="s">
        <v>15</v>
      </c>
      <c r="N32" s="1" t="s">
        <v>2879</v>
      </c>
      <c r="O32" s="1" t="s">
        <v>278</v>
      </c>
      <c r="P32" s="1">
        <v>0</v>
      </c>
      <c r="Q32" s="1" t="s">
        <v>278</v>
      </c>
      <c r="R32" t="s">
        <v>2823</v>
      </c>
      <c r="S32" t="s">
        <v>2899</v>
      </c>
      <c r="T32" t="s">
        <v>17</v>
      </c>
      <c r="U32" t="s">
        <v>2900</v>
      </c>
    </row>
    <row r="33" spans="1:21">
      <c r="A33" s="1" t="s">
        <v>2087</v>
      </c>
      <c r="B33" s="1" t="s">
        <v>2088</v>
      </c>
      <c r="C33" s="1" t="s">
        <v>101</v>
      </c>
      <c r="D33" s="1" t="s">
        <v>102</v>
      </c>
      <c r="E33" s="1" t="s">
        <v>103</v>
      </c>
      <c r="F33" s="1" t="s">
        <v>1094</v>
      </c>
      <c r="G33" s="1"/>
      <c r="H33" s="1" t="s">
        <v>106</v>
      </c>
      <c r="I33" s="1" t="s">
        <v>108</v>
      </c>
      <c r="J33" s="1" t="s">
        <v>109</v>
      </c>
      <c r="K33" s="9">
        <v>-8120</v>
      </c>
      <c r="L33" s="1" t="s">
        <v>110</v>
      </c>
      <c r="M33" s="1" t="s">
        <v>15</v>
      </c>
      <c r="N33" s="1" t="s">
        <v>2826</v>
      </c>
      <c r="O33" s="1" t="s">
        <v>1094</v>
      </c>
      <c r="P33" s="1">
        <v>0</v>
      </c>
      <c r="Q33" s="1" t="s">
        <v>1094</v>
      </c>
      <c r="R33" t="s">
        <v>2823</v>
      </c>
      <c r="S33" t="s">
        <v>2901</v>
      </c>
      <c r="T33" t="s">
        <v>17</v>
      </c>
      <c r="U33" t="s">
        <v>2902</v>
      </c>
    </row>
    <row r="34" spans="1:21">
      <c r="A34" s="1" t="s">
        <v>292</v>
      </c>
      <c r="B34" s="1" t="s">
        <v>293</v>
      </c>
      <c r="C34" s="1" t="s">
        <v>101</v>
      </c>
      <c r="D34" s="1" t="s">
        <v>124</v>
      </c>
      <c r="E34" s="1" t="s">
        <v>103</v>
      </c>
      <c r="F34" s="1" t="s">
        <v>294</v>
      </c>
      <c r="G34" s="1" t="s">
        <v>295</v>
      </c>
      <c r="H34" s="1" t="s">
        <v>127</v>
      </c>
      <c r="I34" s="1" t="s">
        <v>131</v>
      </c>
      <c r="J34" s="1"/>
      <c r="K34" s="9">
        <v>14661.16</v>
      </c>
      <c r="L34" s="1" t="s">
        <v>132</v>
      </c>
      <c r="M34" s="1" t="s">
        <v>15</v>
      </c>
      <c r="N34" s="1" t="s">
        <v>2871</v>
      </c>
      <c r="O34" s="1" t="s">
        <v>409</v>
      </c>
      <c r="P34" s="1">
        <v>0</v>
      </c>
      <c r="Q34" s="1" t="s">
        <v>294</v>
      </c>
      <c r="R34" t="s">
        <v>2825</v>
      </c>
      <c r="S34" t="s">
        <v>2903</v>
      </c>
      <c r="T34" t="s">
        <v>2904</v>
      </c>
      <c r="U34" t="s">
        <v>17</v>
      </c>
    </row>
    <row r="35" spans="1:21">
      <c r="A35" s="1" t="s">
        <v>2351</v>
      </c>
      <c r="B35" s="1" t="s">
        <v>2352</v>
      </c>
      <c r="C35" s="1" t="s">
        <v>101</v>
      </c>
      <c r="D35" s="1" t="s">
        <v>124</v>
      </c>
      <c r="E35" s="1" t="s">
        <v>103</v>
      </c>
      <c r="F35" s="1" t="s">
        <v>2353</v>
      </c>
      <c r="G35" s="1" t="s">
        <v>2354</v>
      </c>
      <c r="H35" s="1" t="s">
        <v>127</v>
      </c>
      <c r="I35" s="1" t="s">
        <v>131</v>
      </c>
      <c r="J35" s="1"/>
      <c r="K35" s="9">
        <v>15289.51</v>
      </c>
      <c r="L35" s="1" t="s">
        <v>132</v>
      </c>
      <c r="M35" s="1" t="s">
        <v>15</v>
      </c>
      <c r="N35" s="1" t="s">
        <v>2905</v>
      </c>
      <c r="O35" s="1" t="s">
        <v>174</v>
      </c>
      <c r="P35" s="1">
        <v>0</v>
      </c>
      <c r="Q35" s="1" t="s">
        <v>2353</v>
      </c>
      <c r="R35" t="s">
        <v>2825</v>
      </c>
      <c r="S35" t="s">
        <v>2906</v>
      </c>
      <c r="T35" t="s">
        <v>2907</v>
      </c>
      <c r="U35" t="s">
        <v>17</v>
      </c>
    </row>
    <row r="36" spans="1:21">
      <c r="A36" s="1" t="s">
        <v>1215</v>
      </c>
      <c r="B36" s="1" t="s">
        <v>1216</v>
      </c>
      <c r="C36" s="1" t="s">
        <v>101</v>
      </c>
      <c r="D36" s="1" t="s">
        <v>124</v>
      </c>
      <c r="E36" s="1" t="s">
        <v>103</v>
      </c>
      <c r="F36" s="1" t="s">
        <v>1218</v>
      </c>
      <c r="G36" s="1" t="s">
        <v>1217</v>
      </c>
      <c r="H36" s="1" t="s">
        <v>127</v>
      </c>
      <c r="I36" s="1" t="s">
        <v>131</v>
      </c>
      <c r="J36" s="1"/>
      <c r="K36" s="9">
        <v>11100.61</v>
      </c>
      <c r="L36" s="1" t="s">
        <v>132</v>
      </c>
      <c r="M36" s="1" t="s">
        <v>15</v>
      </c>
      <c r="N36" s="1" t="s">
        <v>2908</v>
      </c>
      <c r="O36" s="1" t="s">
        <v>464</v>
      </c>
      <c r="P36" s="1">
        <v>0</v>
      </c>
      <c r="Q36" s="1" t="s">
        <v>1218</v>
      </c>
      <c r="R36" t="s">
        <v>2825</v>
      </c>
      <c r="S36" t="s">
        <v>2909</v>
      </c>
      <c r="T36" t="s">
        <v>2910</v>
      </c>
      <c r="U36" t="s">
        <v>17</v>
      </c>
    </row>
    <row r="37" spans="1:21">
      <c r="A37" s="1" t="s">
        <v>237</v>
      </c>
      <c r="B37" s="1" t="s">
        <v>238</v>
      </c>
      <c r="C37" s="1" t="s">
        <v>36</v>
      </c>
      <c r="D37" s="1" t="s">
        <v>124</v>
      </c>
      <c r="E37" s="1" t="s">
        <v>103</v>
      </c>
      <c r="F37" s="1" t="s">
        <v>239</v>
      </c>
      <c r="G37" s="1" t="s">
        <v>240</v>
      </c>
      <c r="H37" s="1" t="s">
        <v>127</v>
      </c>
      <c r="I37" s="1" t="s">
        <v>131</v>
      </c>
      <c r="J37" s="1"/>
      <c r="K37" s="9">
        <v>8260</v>
      </c>
      <c r="L37" s="1" t="s">
        <v>243</v>
      </c>
      <c r="M37" s="1" t="s">
        <v>15</v>
      </c>
      <c r="N37" s="1" t="s">
        <v>2824</v>
      </c>
      <c r="O37" s="1" t="s">
        <v>752</v>
      </c>
      <c r="P37" s="1">
        <v>0</v>
      </c>
      <c r="Q37" s="1" t="s">
        <v>239</v>
      </c>
      <c r="R37" t="s">
        <v>2825</v>
      </c>
      <c r="S37" t="s">
        <v>2911</v>
      </c>
      <c r="T37" t="s">
        <v>2912</v>
      </c>
      <c r="U37" t="s">
        <v>17</v>
      </c>
    </row>
    <row r="38" spans="1:21">
      <c r="A38" s="1" t="s">
        <v>1700</v>
      </c>
      <c r="B38" s="1" t="s">
        <v>1701</v>
      </c>
      <c r="C38" s="1" t="s">
        <v>101</v>
      </c>
      <c r="D38" s="1" t="s">
        <v>124</v>
      </c>
      <c r="E38" s="1" t="s">
        <v>103</v>
      </c>
      <c r="F38" s="1" t="s">
        <v>526</v>
      </c>
      <c r="G38" s="1" t="s">
        <v>1702</v>
      </c>
      <c r="H38" s="1" t="s">
        <v>127</v>
      </c>
      <c r="I38" s="1" t="s">
        <v>131</v>
      </c>
      <c r="J38" s="1"/>
      <c r="K38" s="9">
        <v>16336.73</v>
      </c>
      <c r="L38" s="1" t="s">
        <v>132</v>
      </c>
      <c r="M38" s="1" t="s">
        <v>15</v>
      </c>
      <c r="N38" s="1" t="s">
        <v>2913</v>
      </c>
      <c r="O38" s="1" t="s">
        <v>166</v>
      </c>
      <c r="P38" s="1">
        <v>0</v>
      </c>
      <c r="Q38" s="1" t="s">
        <v>526</v>
      </c>
      <c r="R38" t="s">
        <v>2825</v>
      </c>
      <c r="S38" t="s">
        <v>2914</v>
      </c>
      <c r="T38" t="s">
        <v>2915</v>
      </c>
      <c r="U38" t="s">
        <v>17</v>
      </c>
    </row>
    <row r="39" spans="1:21">
      <c r="A39" s="1" t="s">
        <v>2556</v>
      </c>
      <c r="B39" s="1" t="s">
        <v>2557</v>
      </c>
      <c r="C39" s="1" t="s">
        <v>42</v>
      </c>
      <c r="D39" s="1" t="s">
        <v>42</v>
      </c>
      <c r="E39" s="1" t="s">
        <v>103</v>
      </c>
      <c r="F39" s="1" t="s">
        <v>2318</v>
      </c>
      <c r="G39" s="1"/>
      <c r="H39" s="1" t="s">
        <v>2379</v>
      </c>
      <c r="I39" s="1" t="s">
        <v>2380</v>
      </c>
      <c r="J39" s="1"/>
      <c r="K39" s="9">
        <v>55503</v>
      </c>
      <c r="L39" s="1" t="s">
        <v>2535</v>
      </c>
      <c r="M39" s="1" t="s">
        <v>15</v>
      </c>
      <c r="N39" s="1" t="s">
        <v>2861</v>
      </c>
      <c r="O39" s="1" t="s">
        <v>2318</v>
      </c>
      <c r="P39" s="1">
        <v>0</v>
      </c>
      <c r="Q39" s="1" t="s">
        <v>2318</v>
      </c>
      <c r="R39" t="s">
        <v>2825</v>
      </c>
      <c r="S39" t="s">
        <v>2861</v>
      </c>
      <c r="T39" t="s">
        <v>17</v>
      </c>
      <c r="U39" t="s">
        <v>17</v>
      </c>
    </row>
    <row r="40" spans="1:21">
      <c r="A40" s="1" t="s">
        <v>1933</v>
      </c>
      <c r="B40" s="1" t="s">
        <v>1934</v>
      </c>
      <c r="C40" s="1" t="s">
        <v>101</v>
      </c>
      <c r="D40" s="1" t="s">
        <v>483</v>
      </c>
      <c r="E40" s="1" t="s">
        <v>103</v>
      </c>
      <c r="F40" s="1" t="s">
        <v>389</v>
      </c>
      <c r="G40" s="1"/>
      <c r="H40" s="1" t="s">
        <v>106</v>
      </c>
      <c r="I40" s="1" t="s">
        <v>108</v>
      </c>
      <c r="J40" s="1" t="s">
        <v>109</v>
      </c>
      <c r="K40" s="9">
        <v>-70792.53</v>
      </c>
      <c r="L40" s="1" t="s">
        <v>486</v>
      </c>
      <c r="M40" s="1" t="s">
        <v>15</v>
      </c>
      <c r="N40" s="1" t="s">
        <v>2885</v>
      </c>
      <c r="O40" s="1" t="s">
        <v>314</v>
      </c>
      <c r="P40" s="1">
        <v>0</v>
      </c>
      <c r="Q40" s="1" t="s">
        <v>389</v>
      </c>
      <c r="R40" t="s">
        <v>2823</v>
      </c>
      <c r="S40" t="s">
        <v>2916</v>
      </c>
      <c r="T40" t="s">
        <v>17</v>
      </c>
      <c r="U40" t="s">
        <v>2917</v>
      </c>
    </row>
    <row r="41" spans="1:21">
      <c r="A41" s="1" t="s">
        <v>2558</v>
      </c>
      <c r="B41" s="1" t="s">
        <v>2559</v>
      </c>
      <c r="C41" s="1" t="s">
        <v>42</v>
      </c>
      <c r="D41" s="1" t="s">
        <v>42</v>
      </c>
      <c r="E41" s="1" t="s">
        <v>103</v>
      </c>
      <c r="F41" s="1" t="s">
        <v>1986</v>
      </c>
      <c r="G41" s="1"/>
      <c r="H41" s="1" t="s">
        <v>2379</v>
      </c>
      <c r="I41" s="1" t="s">
        <v>2380</v>
      </c>
      <c r="J41" s="1"/>
      <c r="K41" s="9">
        <v>15498.94</v>
      </c>
      <c r="L41" s="1" t="s">
        <v>2535</v>
      </c>
      <c r="M41" s="1" t="s">
        <v>15</v>
      </c>
      <c r="N41" s="1" t="s">
        <v>2918</v>
      </c>
      <c r="O41" s="1" t="s">
        <v>1986</v>
      </c>
      <c r="P41" s="1">
        <v>0</v>
      </c>
      <c r="Q41" s="1" t="s">
        <v>1986</v>
      </c>
      <c r="R41" t="s">
        <v>2823</v>
      </c>
      <c r="S41" t="s">
        <v>2918</v>
      </c>
      <c r="T41" t="s">
        <v>17</v>
      </c>
      <c r="U41" t="s">
        <v>17</v>
      </c>
    </row>
    <row r="42" spans="1:21">
      <c r="A42" s="1" t="s">
        <v>1436</v>
      </c>
      <c r="B42" s="1" t="s">
        <v>1437</v>
      </c>
      <c r="C42" s="1" t="s">
        <v>101</v>
      </c>
      <c r="D42" s="1" t="s">
        <v>102</v>
      </c>
      <c r="E42" s="1" t="s">
        <v>103</v>
      </c>
      <c r="F42" s="1" t="s">
        <v>1213</v>
      </c>
      <c r="G42" s="1"/>
      <c r="H42" s="1" t="s">
        <v>106</v>
      </c>
      <c r="I42" s="1" t="s">
        <v>108</v>
      </c>
      <c r="J42" s="1" t="s">
        <v>109</v>
      </c>
      <c r="K42" s="9">
        <v>-18012</v>
      </c>
      <c r="L42" s="1" t="s">
        <v>110</v>
      </c>
      <c r="M42" s="1" t="s">
        <v>15</v>
      </c>
      <c r="N42" s="1" t="s">
        <v>2864</v>
      </c>
      <c r="O42" s="1" t="s">
        <v>1335</v>
      </c>
      <c r="P42" s="1">
        <v>0</v>
      </c>
      <c r="Q42" s="1" t="s">
        <v>1213</v>
      </c>
      <c r="R42" t="s">
        <v>2823</v>
      </c>
      <c r="S42" t="s">
        <v>2919</v>
      </c>
      <c r="T42" t="s">
        <v>17</v>
      </c>
      <c r="U42" t="s">
        <v>2920</v>
      </c>
    </row>
    <row r="43" spans="1:21">
      <c r="A43" s="1" t="s">
        <v>1682</v>
      </c>
      <c r="B43" s="1" t="s">
        <v>1683</v>
      </c>
      <c r="C43" s="1" t="s">
        <v>101</v>
      </c>
      <c r="D43" s="1" t="s">
        <v>102</v>
      </c>
      <c r="E43" s="1" t="s">
        <v>103</v>
      </c>
      <c r="F43" s="1" t="s">
        <v>261</v>
      </c>
      <c r="G43" s="1"/>
      <c r="H43" s="1" t="s">
        <v>106</v>
      </c>
      <c r="I43" s="1" t="s">
        <v>108</v>
      </c>
      <c r="J43" s="1" t="s">
        <v>109</v>
      </c>
      <c r="K43" s="9">
        <v>-16546</v>
      </c>
      <c r="L43" s="1" t="s">
        <v>110</v>
      </c>
      <c r="M43" s="1" t="s">
        <v>15</v>
      </c>
      <c r="N43" s="1" t="s">
        <v>2921</v>
      </c>
      <c r="O43" s="1" t="s">
        <v>428</v>
      </c>
      <c r="P43" s="1">
        <v>0</v>
      </c>
      <c r="Q43" s="1" t="s">
        <v>261</v>
      </c>
      <c r="R43" t="s">
        <v>2823</v>
      </c>
      <c r="S43" t="s">
        <v>2922</v>
      </c>
      <c r="T43" t="s">
        <v>17</v>
      </c>
      <c r="U43" t="s">
        <v>2923</v>
      </c>
    </row>
    <row r="44" spans="1:21">
      <c r="A44" s="1" t="s">
        <v>1523</v>
      </c>
      <c r="B44" s="1" t="s">
        <v>1524</v>
      </c>
      <c r="C44" s="1" t="s">
        <v>101</v>
      </c>
      <c r="D44" s="1" t="s">
        <v>124</v>
      </c>
      <c r="E44" s="1" t="s">
        <v>103</v>
      </c>
      <c r="F44" s="1" t="s">
        <v>1354</v>
      </c>
      <c r="G44" s="1" t="s">
        <v>1525</v>
      </c>
      <c r="H44" s="1" t="s">
        <v>127</v>
      </c>
      <c r="I44" s="1" t="s">
        <v>131</v>
      </c>
      <c r="J44" s="1"/>
      <c r="K44" s="9">
        <v>16336.73</v>
      </c>
      <c r="L44" s="1" t="s">
        <v>132</v>
      </c>
      <c r="M44" s="1" t="s">
        <v>15</v>
      </c>
      <c r="N44" s="1" t="s">
        <v>2924</v>
      </c>
      <c r="O44" s="1" t="s">
        <v>130</v>
      </c>
      <c r="P44" s="1">
        <v>0</v>
      </c>
      <c r="Q44" s="1" t="s">
        <v>1354</v>
      </c>
      <c r="R44" t="s">
        <v>2825</v>
      </c>
      <c r="S44" t="s">
        <v>2925</v>
      </c>
      <c r="T44" t="s">
        <v>2926</v>
      </c>
      <c r="U44" t="s">
        <v>17</v>
      </c>
    </row>
    <row r="45" spans="1:21">
      <c r="A45" s="1" t="s">
        <v>2560</v>
      </c>
      <c r="B45" s="1" t="s">
        <v>2561</v>
      </c>
      <c r="C45" s="1" t="s">
        <v>42</v>
      </c>
      <c r="D45" s="1" t="s">
        <v>42</v>
      </c>
      <c r="E45" s="1" t="s">
        <v>103</v>
      </c>
      <c r="F45" s="1" t="s">
        <v>212</v>
      </c>
      <c r="G45" s="1"/>
      <c r="H45" s="1" t="s">
        <v>2379</v>
      </c>
      <c r="I45" s="1" t="s">
        <v>2380</v>
      </c>
      <c r="J45" s="1"/>
      <c r="K45" s="9">
        <v>15708</v>
      </c>
      <c r="L45" s="1" t="s">
        <v>2535</v>
      </c>
      <c r="M45" s="1" t="s">
        <v>15</v>
      </c>
      <c r="N45" s="1" t="s">
        <v>2895</v>
      </c>
      <c r="O45" s="1" t="s">
        <v>212</v>
      </c>
      <c r="P45" s="1">
        <v>0</v>
      </c>
      <c r="Q45" s="1" t="s">
        <v>212</v>
      </c>
      <c r="R45" t="s">
        <v>2825</v>
      </c>
      <c r="S45" t="s">
        <v>2895</v>
      </c>
      <c r="T45" t="s">
        <v>17</v>
      </c>
      <c r="U45" t="s">
        <v>17</v>
      </c>
    </row>
    <row r="46" spans="1:21">
      <c r="A46" s="1" t="s">
        <v>2562</v>
      </c>
      <c r="B46" s="1" t="s">
        <v>2551</v>
      </c>
      <c r="C46" s="1" t="s">
        <v>42</v>
      </c>
      <c r="D46" s="1" t="s">
        <v>42</v>
      </c>
      <c r="E46" s="1" t="s">
        <v>103</v>
      </c>
      <c r="F46" s="1" t="s">
        <v>534</v>
      </c>
      <c r="G46" s="1"/>
      <c r="H46" s="1" t="s">
        <v>2379</v>
      </c>
      <c r="I46" s="1" t="s">
        <v>2380</v>
      </c>
      <c r="J46" s="1"/>
      <c r="K46" s="9">
        <v>-17383.97</v>
      </c>
      <c r="L46" s="1" t="s">
        <v>2535</v>
      </c>
      <c r="M46" s="1" t="s">
        <v>15</v>
      </c>
      <c r="N46" s="1" t="s">
        <v>2927</v>
      </c>
      <c r="O46" s="1" t="s">
        <v>534</v>
      </c>
      <c r="P46" s="1">
        <v>0</v>
      </c>
      <c r="Q46" s="1" t="s">
        <v>534</v>
      </c>
      <c r="R46" t="s">
        <v>2825</v>
      </c>
      <c r="S46" t="s">
        <v>2927</v>
      </c>
      <c r="T46" t="s">
        <v>17</v>
      </c>
      <c r="U46" t="s">
        <v>17</v>
      </c>
    </row>
    <row r="47" spans="1:21">
      <c r="A47" s="1" t="s">
        <v>350</v>
      </c>
      <c r="B47" s="1" t="s">
        <v>351</v>
      </c>
      <c r="C47" s="1" t="s">
        <v>101</v>
      </c>
      <c r="D47" s="1" t="s">
        <v>352</v>
      </c>
      <c r="E47" s="1" t="s">
        <v>103</v>
      </c>
      <c r="F47" s="1" t="s">
        <v>355</v>
      </c>
      <c r="G47" s="1"/>
      <c r="H47" s="1" t="s">
        <v>106</v>
      </c>
      <c r="I47" s="1" t="s">
        <v>108</v>
      </c>
      <c r="J47" s="1" t="s">
        <v>109</v>
      </c>
      <c r="K47" s="9">
        <v>-55663.4</v>
      </c>
      <c r="L47" s="1" t="s">
        <v>356</v>
      </c>
      <c r="M47" s="1" t="s">
        <v>15</v>
      </c>
      <c r="N47" s="1" t="s">
        <v>2835</v>
      </c>
      <c r="O47" s="1" t="s">
        <v>204</v>
      </c>
      <c r="P47" s="1">
        <v>0</v>
      </c>
      <c r="Q47" s="1" t="s">
        <v>355</v>
      </c>
      <c r="R47" t="s">
        <v>2823</v>
      </c>
      <c r="S47" t="s">
        <v>2928</v>
      </c>
      <c r="T47" t="s">
        <v>17</v>
      </c>
      <c r="U47" t="s">
        <v>2929</v>
      </c>
    </row>
    <row r="48" spans="1:21">
      <c r="A48" s="1" t="s">
        <v>2177</v>
      </c>
      <c r="B48" s="1" t="s">
        <v>2178</v>
      </c>
      <c r="C48" s="1" t="s">
        <v>101</v>
      </c>
      <c r="D48" s="1" t="s">
        <v>124</v>
      </c>
      <c r="E48" s="1" t="s">
        <v>103</v>
      </c>
      <c r="F48" s="1" t="s">
        <v>2179</v>
      </c>
      <c r="G48" s="1" t="s">
        <v>2180</v>
      </c>
      <c r="H48" s="1" t="s">
        <v>127</v>
      </c>
      <c r="I48" s="1" t="s">
        <v>131</v>
      </c>
      <c r="J48" s="1"/>
      <c r="K48" s="9">
        <v>16336.73</v>
      </c>
      <c r="L48" s="1" t="s">
        <v>132</v>
      </c>
      <c r="M48" s="1" t="s">
        <v>15</v>
      </c>
      <c r="N48" s="1" t="s">
        <v>2930</v>
      </c>
      <c r="O48" s="1" t="s">
        <v>1759</v>
      </c>
      <c r="P48" s="1">
        <v>0</v>
      </c>
      <c r="Q48" s="1" t="s">
        <v>2179</v>
      </c>
      <c r="R48" t="s">
        <v>2825</v>
      </c>
      <c r="S48" t="s">
        <v>2931</v>
      </c>
      <c r="T48" t="s">
        <v>2932</v>
      </c>
      <c r="U48" t="s">
        <v>17</v>
      </c>
    </row>
    <row r="49" spans="1:21">
      <c r="A49" s="1" t="s">
        <v>2139</v>
      </c>
      <c r="B49" s="1" t="s">
        <v>2140</v>
      </c>
      <c r="C49" s="1" t="s">
        <v>101</v>
      </c>
      <c r="D49" s="1" t="s">
        <v>124</v>
      </c>
      <c r="E49" s="1" t="s">
        <v>103</v>
      </c>
      <c r="F49" s="1" t="s">
        <v>1879</v>
      </c>
      <c r="G49" s="1" t="s">
        <v>2141</v>
      </c>
      <c r="H49" s="1" t="s">
        <v>127</v>
      </c>
      <c r="I49" s="1" t="s">
        <v>131</v>
      </c>
      <c r="J49" s="1"/>
      <c r="K49" s="9">
        <v>13613.94</v>
      </c>
      <c r="L49" s="1" t="s">
        <v>132</v>
      </c>
      <c r="M49" s="1" t="s">
        <v>15</v>
      </c>
      <c r="N49" s="1" t="s">
        <v>2933</v>
      </c>
      <c r="O49" s="1" t="s">
        <v>2654</v>
      </c>
      <c r="P49" s="1">
        <v>0</v>
      </c>
      <c r="Q49" s="1" t="s">
        <v>1879</v>
      </c>
      <c r="R49" t="s">
        <v>2825</v>
      </c>
      <c r="S49" t="s">
        <v>2934</v>
      </c>
      <c r="T49" t="s">
        <v>2935</v>
      </c>
      <c r="U49" t="s">
        <v>17</v>
      </c>
    </row>
    <row r="50" spans="1:21">
      <c r="A50" s="1" t="s">
        <v>2563</v>
      </c>
      <c r="B50" s="1" t="s">
        <v>2534</v>
      </c>
      <c r="C50" s="1" t="s">
        <v>42</v>
      </c>
      <c r="D50" s="1" t="s">
        <v>42</v>
      </c>
      <c r="E50" s="1" t="s">
        <v>103</v>
      </c>
      <c r="F50" s="1" t="s">
        <v>395</v>
      </c>
      <c r="G50" s="1"/>
      <c r="H50" s="1" t="s">
        <v>2379</v>
      </c>
      <c r="I50" s="1" t="s">
        <v>2380</v>
      </c>
      <c r="J50" s="1"/>
      <c r="K50" s="9">
        <v>-28903.45</v>
      </c>
      <c r="L50" s="1" t="s">
        <v>2535</v>
      </c>
      <c r="M50" s="1" t="s">
        <v>15</v>
      </c>
      <c r="N50" s="1" t="s">
        <v>2857</v>
      </c>
      <c r="O50" s="1" t="s">
        <v>395</v>
      </c>
      <c r="P50" s="1">
        <v>0</v>
      </c>
      <c r="Q50" s="1" t="s">
        <v>395</v>
      </c>
      <c r="R50" t="s">
        <v>2825</v>
      </c>
      <c r="S50" t="s">
        <v>2857</v>
      </c>
      <c r="T50" t="s">
        <v>17</v>
      </c>
      <c r="U50" t="s">
        <v>17</v>
      </c>
    </row>
    <row r="51" spans="1:21">
      <c r="A51" s="1" t="s">
        <v>561</v>
      </c>
      <c r="B51" s="1" t="s">
        <v>562</v>
      </c>
      <c r="C51" s="1" t="s">
        <v>101</v>
      </c>
      <c r="D51" s="1" t="s">
        <v>124</v>
      </c>
      <c r="E51" s="1" t="s">
        <v>103</v>
      </c>
      <c r="F51" s="1" t="s">
        <v>564</v>
      </c>
      <c r="G51" s="1" t="s">
        <v>563</v>
      </c>
      <c r="H51" s="1" t="s">
        <v>127</v>
      </c>
      <c r="I51" s="1" t="s">
        <v>131</v>
      </c>
      <c r="J51" s="1"/>
      <c r="K51" s="9">
        <v>14032.83</v>
      </c>
      <c r="L51" s="1" t="s">
        <v>132</v>
      </c>
      <c r="M51" s="1" t="s">
        <v>15</v>
      </c>
      <c r="N51" s="1" t="s">
        <v>2936</v>
      </c>
      <c r="O51" s="1" t="s">
        <v>1551</v>
      </c>
      <c r="P51" s="1">
        <v>0</v>
      </c>
      <c r="Q51" s="1" t="s">
        <v>564</v>
      </c>
      <c r="R51" t="s">
        <v>2825</v>
      </c>
      <c r="S51" t="s">
        <v>2937</v>
      </c>
      <c r="T51" t="s">
        <v>2938</v>
      </c>
      <c r="U51" t="s">
        <v>17</v>
      </c>
    </row>
    <row r="52" spans="1:21">
      <c r="A52" s="1" t="s">
        <v>142</v>
      </c>
      <c r="B52" s="1" t="s">
        <v>143</v>
      </c>
      <c r="C52" s="1" t="s">
        <v>40</v>
      </c>
      <c r="D52" s="1" t="s">
        <v>124</v>
      </c>
      <c r="E52" s="1" t="s">
        <v>103</v>
      </c>
      <c r="F52" s="1" t="s">
        <v>144</v>
      </c>
      <c r="G52" s="1" t="s">
        <v>145</v>
      </c>
      <c r="H52" s="1" t="s">
        <v>127</v>
      </c>
      <c r="I52" s="1" t="s">
        <v>131</v>
      </c>
      <c r="J52" s="1"/>
      <c r="K52" s="9">
        <v>16755.62</v>
      </c>
      <c r="L52" s="1" t="s">
        <v>146</v>
      </c>
      <c r="M52" s="1" t="s">
        <v>15</v>
      </c>
      <c r="N52" s="1" t="s">
        <v>2824</v>
      </c>
      <c r="O52" s="1" t="s">
        <v>752</v>
      </c>
      <c r="P52" s="1">
        <v>0</v>
      </c>
      <c r="Q52" s="1" t="s">
        <v>144</v>
      </c>
      <c r="R52" t="s">
        <v>2825</v>
      </c>
      <c r="S52" t="s">
        <v>2939</v>
      </c>
      <c r="T52" t="s">
        <v>2940</v>
      </c>
      <c r="U52" t="s">
        <v>17</v>
      </c>
    </row>
    <row r="53" spans="1:21">
      <c r="A53" s="1" t="s">
        <v>2564</v>
      </c>
      <c r="B53" s="1" t="s">
        <v>2565</v>
      </c>
      <c r="C53" s="1" t="s">
        <v>42</v>
      </c>
      <c r="D53" s="1" t="s">
        <v>42</v>
      </c>
      <c r="E53" s="1" t="s">
        <v>103</v>
      </c>
      <c r="F53" s="1" t="s">
        <v>2566</v>
      </c>
      <c r="G53" s="1"/>
      <c r="H53" s="1" t="s">
        <v>2379</v>
      </c>
      <c r="I53" s="1" t="s">
        <v>2380</v>
      </c>
      <c r="J53" s="1"/>
      <c r="K53" s="9">
        <v>32672</v>
      </c>
      <c r="L53" s="1" t="s">
        <v>2535</v>
      </c>
      <c r="M53" s="1" t="s">
        <v>15</v>
      </c>
      <c r="N53" s="1" t="s">
        <v>2941</v>
      </c>
      <c r="O53" s="1" t="s">
        <v>2566</v>
      </c>
      <c r="P53" s="1">
        <v>0</v>
      </c>
      <c r="Q53" s="1" t="s">
        <v>2566</v>
      </c>
      <c r="R53" t="s">
        <v>2825</v>
      </c>
      <c r="S53" t="s">
        <v>2941</v>
      </c>
      <c r="T53" t="s">
        <v>17</v>
      </c>
      <c r="U53" t="s">
        <v>17</v>
      </c>
    </row>
    <row r="54" spans="1:21">
      <c r="A54" s="1" t="s">
        <v>2567</v>
      </c>
      <c r="B54" s="1" t="s">
        <v>2568</v>
      </c>
      <c r="C54" s="1" t="s">
        <v>42</v>
      </c>
      <c r="D54" s="1" t="s">
        <v>42</v>
      </c>
      <c r="E54" s="1" t="s">
        <v>103</v>
      </c>
      <c r="F54" s="1" t="s">
        <v>166</v>
      </c>
      <c r="G54" s="1"/>
      <c r="H54" s="1" t="s">
        <v>2379</v>
      </c>
      <c r="I54" s="1" t="s">
        <v>2380</v>
      </c>
      <c r="J54" s="1"/>
      <c r="K54" s="9">
        <v>16336.73</v>
      </c>
      <c r="L54" s="1" t="s">
        <v>2535</v>
      </c>
      <c r="M54" s="1" t="s">
        <v>15</v>
      </c>
      <c r="N54" s="1" t="s">
        <v>2913</v>
      </c>
      <c r="O54" s="1" t="s">
        <v>166</v>
      </c>
      <c r="P54" s="1">
        <v>0</v>
      </c>
      <c r="Q54" s="1" t="s">
        <v>166</v>
      </c>
      <c r="R54" t="s">
        <v>2825</v>
      </c>
      <c r="S54" t="s">
        <v>2913</v>
      </c>
      <c r="T54" t="s">
        <v>17</v>
      </c>
      <c r="U54" t="s">
        <v>17</v>
      </c>
    </row>
    <row r="55" spans="1:21">
      <c r="A55" s="1" t="s">
        <v>2569</v>
      </c>
      <c r="B55" s="1" t="s">
        <v>2570</v>
      </c>
      <c r="C55" s="1" t="s">
        <v>42</v>
      </c>
      <c r="D55" s="1" t="s">
        <v>42</v>
      </c>
      <c r="E55" s="1" t="s">
        <v>103</v>
      </c>
      <c r="F55" s="1" t="s">
        <v>822</v>
      </c>
      <c r="G55" s="1"/>
      <c r="H55" s="1" t="s">
        <v>2379</v>
      </c>
      <c r="I55" s="1" t="s">
        <v>2380</v>
      </c>
      <c r="J55" s="1"/>
      <c r="K55" s="9">
        <v>-55712.45</v>
      </c>
      <c r="L55" s="1" t="s">
        <v>2535</v>
      </c>
      <c r="M55" s="1" t="s">
        <v>15</v>
      </c>
      <c r="N55" s="1" t="s">
        <v>2942</v>
      </c>
      <c r="O55" s="1" t="s">
        <v>822</v>
      </c>
      <c r="P55" s="1">
        <v>0</v>
      </c>
      <c r="Q55" s="1" t="s">
        <v>822</v>
      </c>
      <c r="R55" t="s">
        <v>2825</v>
      </c>
      <c r="S55" t="s">
        <v>2942</v>
      </c>
      <c r="T55" t="s">
        <v>17</v>
      </c>
      <c r="U55" t="s">
        <v>17</v>
      </c>
    </row>
    <row r="56" spans="1:21">
      <c r="A56" s="1" t="s">
        <v>2099</v>
      </c>
      <c r="B56" s="1" t="s">
        <v>2100</v>
      </c>
      <c r="C56" s="1" t="s">
        <v>101</v>
      </c>
      <c r="D56" s="1" t="s">
        <v>124</v>
      </c>
      <c r="E56" s="1" t="s">
        <v>103</v>
      </c>
      <c r="F56" s="1" t="s">
        <v>1826</v>
      </c>
      <c r="G56" s="1" t="s">
        <v>2101</v>
      </c>
      <c r="H56" s="1" t="s">
        <v>127</v>
      </c>
      <c r="I56" s="1" t="s">
        <v>131</v>
      </c>
      <c r="J56" s="1"/>
      <c r="K56" s="9">
        <v>17174.509999999998</v>
      </c>
      <c r="L56" s="1" t="s">
        <v>132</v>
      </c>
      <c r="M56" s="1" t="s">
        <v>15</v>
      </c>
      <c r="N56" s="1" t="s">
        <v>2884</v>
      </c>
      <c r="O56" s="1" t="s">
        <v>921</v>
      </c>
      <c r="P56" s="1">
        <v>0</v>
      </c>
      <c r="Q56" s="1" t="s">
        <v>1826</v>
      </c>
      <c r="R56" t="s">
        <v>2825</v>
      </c>
      <c r="S56" t="s">
        <v>2943</v>
      </c>
      <c r="T56" t="s">
        <v>2944</v>
      </c>
      <c r="U56" t="s">
        <v>17</v>
      </c>
    </row>
    <row r="57" spans="1:21">
      <c r="A57" s="1" t="s">
        <v>2058</v>
      </c>
      <c r="B57" s="1" t="s">
        <v>2059</v>
      </c>
      <c r="C57" s="1" t="s">
        <v>40</v>
      </c>
      <c r="D57" s="1" t="s">
        <v>124</v>
      </c>
      <c r="E57" s="1" t="s">
        <v>103</v>
      </c>
      <c r="F57" s="1" t="s">
        <v>2060</v>
      </c>
      <c r="G57" s="1" t="s">
        <v>2061</v>
      </c>
      <c r="H57" s="1" t="s">
        <v>127</v>
      </c>
      <c r="I57" s="1" t="s">
        <v>131</v>
      </c>
      <c r="J57" s="1"/>
      <c r="K57" s="9">
        <v>17593.400000000001</v>
      </c>
      <c r="L57" s="1" t="s">
        <v>146</v>
      </c>
      <c r="M57" s="1" t="s">
        <v>15</v>
      </c>
      <c r="N57" s="1" t="s">
        <v>2945</v>
      </c>
      <c r="O57" s="1" t="s">
        <v>1389</v>
      </c>
      <c r="P57" s="1">
        <v>0</v>
      </c>
      <c r="Q57" s="1" t="s">
        <v>2060</v>
      </c>
      <c r="R57" t="s">
        <v>2825</v>
      </c>
      <c r="S57" t="s">
        <v>2946</v>
      </c>
      <c r="T57" t="s">
        <v>2947</v>
      </c>
      <c r="U57" t="s">
        <v>17</v>
      </c>
    </row>
    <row r="58" spans="1:21">
      <c r="A58" s="1" t="s">
        <v>913</v>
      </c>
      <c r="B58" s="1" t="s">
        <v>914</v>
      </c>
      <c r="C58" s="1" t="s">
        <v>101</v>
      </c>
      <c r="D58" s="1" t="s">
        <v>124</v>
      </c>
      <c r="E58" s="1" t="s">
        <v>103</v>
      </c>
      <c r="F58" s="1" t="s">
        <v>915</v>
      </c>
      <c r="G58" s="1" t="s">
        <v>916</v>
      </c>
      <c r="H58" s="1" t="s">
        <v>127</v>
      </c>
      <c r="I58" s="1" t="s">
        <v>131</v>
      </c>
      <c r="J58" s="1"/>
      <c r="K58" s="9">
        <v>16127.29</v>
      </c>
      <c r="L58" s="1" t="s">
        <v>132</v>
      </c>
      <c r="M58" s="1" t="s">
        <v>15</v>
      </c>
      <c r="N58" s="1" t="s">
        <v>2948</v>
      </c>
      <c r="O58" s="1" t="s">
        <v>958</v>
      </c>
      <c r="P58" s="1">
        <v>0</v>
      </c>
      <c r="Q58" s="1" t="s">
        <v>915</v>
      </c>
      <c r="R58" t="s">
        <v>2825</v>
      </c>
      <c r="S58" t="s">
        <v>2949</v>
      </c>
      <c r="T58" t="s">
        <v>2950</v>
      </c>
      <c r="U58" t="s">
        <v>17</v>
      </c>
    </row>
    <row r="59" spans="1:21">
      <c r="A59" s="1" t="s">
        <v>1310</v>
      </c>
      <c r="B59" s="1" t="s">
        <v>1311</v>
      </c>
      <c r="C59" s="1" t="s">
        <v>101</v>
      </c>
      <c r="D59" s="1" t="s">
        <v>124</v>
      </c>
      <c r="E59" s="1" t="s">
        <v>103</v>
      </c>
      <c r="F59" s="1" t="s">
        <v>469</v>
      </c>
      <c r="G59" s="1" t="s">
        <v>1312</v>
      </c>
      <c r="H59" s="1" t="s">
        <v>127</v>
      </c>
      <c r="I59" s="1" t="s">
        <v>131</v>
      </c>
      <c r="J59" s="1"/>
      <c r="K59" s="9">
        <v>11519.5</v>
      </c>
      <c r="L59" s="1" t="s">
        <v>132</v>
      </c>
      <c r="M59" s="1" t="s">
        <v>15</v>
      </c>
      <c r="N59" s="1" t="s">
        <v>2942</v>
      </c>
      <c r="O59" s="1" t="s">
        <v>822</v>
      </c>
      <c r="P59" s="1">
        <v>0</v>
      </c>
      <c r="Q59" s="1" t="s">
        <v>469</v>
      </c>
      <c r="R59" t="s">
        <v>2825</v>
      </c>
      <c r="S59" t="s">
        <v>2951</v>
      </c>
      <c r="T59" t="s">
        <v>2952</v>
      </c>
      <c r="U59" t="s">
        <v>17</v>
      </c>
    </row>
    <row r="60" spans="1:21">
      <c r="A60" s="1" t="s">
        <v>1036</v>
      </c>
      <c r="B60" s="1" t="s">
        <v>1037</v>
      </c>
      <c r="C60" s="1" t="s">
        <v>40</v>
      </c>
      <c r="D60" s="1" t="s">
        <v>124</v>
      </c>
      <c r="E60" s="1" t="s">
        <v>103</v>
      </c>
      <c r="F60" s="1" t="s">
        <v>258</v>
      </c>
      <c r="G60" s="1" t="s">
        <v>1039</v>
      </c>
      <c r="H60" s="1" t="s">
        <v>127</v>
      </c>
      <c r="I60" s="1" t="s">
        <v>131</v>
      </c>
      <c r="J60" s="1"/>
      <c r="K60" s="9">
        <v>16127.29</v>
      </c>
      <c r="L60" s="1" t="s">
        <v>146</v>
      </c>
      <c r="M60" s="1" t="s">
        <v>15</v>
      </c>
      <c r="N60" s="1" t="s">
        <v>2832</v>
      </c>
      <c r="O60" s="1" t="s">
        <v>298</v>
      </c>
      <c r="P60" s="1">
        <v>0</v>
      </c>
      <c r="Q60" s="1" t="s">
        <v>258</v>
      </c>
      <c r="R60" t="s">
        <v>2825</v>
      </c>
      <c r="S60" t="s">
        <v>2953</v>
      </c>
      <c r="T60" t="s">
        <v>2954</v>
      </c>
      <c r="U60" t="s">
        <v>17</v>
      </c>
    </row>
    <row r="61" spans="1:21">
      <c r="A61" s="1" t="s">
        <v>2173</v>
      </c>
      <c r="B61" s="1" t="s">
        <v>2174</v>
      </c>
      <c r="C61" s="1" t="s">
        <v>101</v>
      </c>
      <c r="D61" s="1" t="s">
        <v>352</v>
      </c>
      <c r="E61" s="1" t="s">
        <v>103</v>
      </c>
      <c r="F61" s="1" t="s">
        <v>534</v>
      </c>
      <c r="G61" s="1"/>
      <c r="H61" s="1" t="s">
        <v>106</v>
      </c>
      <c r="I61" s="1" t="s">
        <v>108</v>
      </c>
      <c r="J61" s="1" t="s">
        <v>109</v>
      </c>
      <c r="K61" s="9">
        <v>-17383.97</v>
      </c>
      <c r="L61" s="1" t="s">
        <v>356</v>
      </c>
      <c r="M61" s="1" t="s">
        <v>15</v>
      </c>
      <c r="N61" s="1" t="s">
        <v>2927</v>
      </c>
      <c r="O61" s="1" t="s">
        <v>534</v>
      </c>
      <c r="P61" s="1">
        <v>0</v>
      </c>
      <c r="Q61" s="1" t="s">
        <v>534</v>
      </c>
      <c r="R61" t="s">
        <v>2823</v>
      </c>
      <c r="S61" t="s">
        <v>2955</v>
      </c>
      <c r="T61" t="s">
        <v>17</v>
      </c>
      <c r="U61" t="s">
        <v>2956</v>
      </c>
    </row>
    <row r="62" spans="1:21">
      <c r="A62" s="1" t="s">
        <v>1607</v>
      </c>
      <c r="B62" s="1" t="s">
        <v>1608</v>
      </c>
      <c r="C62" s="1" t="s">
        <v>101</v>
      </c>
      <c r="D62" s="1" t="s">
        <v>124</v>
      </c>
      <c r="E62" s="1" t="s">
        <v>103</v>
      </c>
      <c r="F62" s="1" t="s">
        <v>1256</v>
      </c>
      <c r="G62" s="1" t="s">
        <v>1609</v>
      </c>
      <c r="H62" s="1" t="s">
        <v>127</v>
      </c>
      <c r="I62" s="1" t="s">
        <v>131</v>
      </c>
      <c r="J62" s="1"/>
      <c r="K62" s="9">
        <v>7958.93</v>
      </c>
      <c r="L62" s="1" t="s">
        <v>132</v>
      </c>
      <c r="M62" s="1" t="s">
        <v>15</v>
      </c>
      <c r="N62" s="1" t="s">
        <v>2861</v>
      </c>
      <c r="O62" s="1" t="s">
        <v>2318</v>
      </c>
      <c r="P62" s="1">
        <v>0</v>
      </c>
      <c r="Q62" s="1" t="s">
        <v>1256</v>
      </c>
      <c r="R62" t="s">
        <v>2825</v>
      </c>
      <c r="S62" t="s">
        <v>2957</v>
      </c>
      <c r="T62" t="s">
        <v>2958</v>
      </c>
      <c r="U62" t="s">
        <v>17</v>
      </c>
    </row>
    <row r="63" spans="1:21">
      <c r="A63" s="1" t="s">
        <v>2571</v>
      </c>
      <c r="B63" s="1" t="s">
        <v>2572</v>
      </c>
      <c r="C63" s="1" t="s">
        <v>42</v>
      </c>
      <c r="D63" s="1" t="s">
        <v>42</v>
      </c>
      <c r="E63" s="1" t="s">
        <v>103</v>
      </c>
      <c r="F63" s="1" t="s">
        <v>1674</v>
      </c>
      <c r="G63" s="1"/>
      <c r="H63" s="1" t="s">
        <v>2379</v>
      </c>
      <c r="I63" s="1" t="s">
        <v>2380</v>
      </c>
      <c r="J63" s="1"/>
      <c r="K63" s="9">
        <v>18431.189999999999</v>
      </c>
      <c r="L63" s="1" t="s">
        <v>2535</v>
      </c>
      <c r="M63" s="1" t="s">
        <v>15</v>
      </c>
      <c r="N63" s="1" t="s">
        <v>2959</v>
      </c>
      <c r="O63" s="1" t="s">
        <v>1674</v>
      </c>
      <c r="P63" s="1">
        <v>0</v>
      </c>
      <c r="Q63" s="1" t="s">
        <v>1674</v>
      </c>
      <c r="R63" t="s">
        <v>2823</v>
      </c>
      <c r="S63" t="s">
        <v>2959</v>
      </c>
      <c r="T63" t="s">
        <v>17</v>
      </c>
      <c r="U63" t="s">
        <v>17</v>
      </c>
    </row>
    <row r="64" spans="1:21">
      <c r="A64" s="1" t="s">
        <v>380</v>
      </c>
      <c r="B64" s="1" t="s">
        <v>381</v>
      </c>
      <c r="C64" s="1" t="s">
        <v>40</v>
      </c>
      <c r="D64" s="1" t="s">
        <v>124</v>
      </c>
      <c r="E64" s="1" t="s">
        <v>103</v>
      </c>
      <c r="F64" s="1" t="s">
        <v>382</v>
      </c>
      <c r="G64" s="1" t="s">
        <v>383</v>
      </c>
      <c r="H64" s="1" t="s">
        <v>127</v>
      </c>
      <c r="I64" s="1" t="s">
        <v>131</v>
      </c>
      <c r="J64" s="1"/>
      <c r="K64" s="9">
        <v>17802.84</v>
      </c>
      <c r="L64" s="1" t="s">
        <v>146</v>
      </c>
      <c r="M64" s="1" t="s">
        <v>15</v>
      </c>
      <c r="N64" s="1" t="s">
        <v>2960</v>
      </c>
      <c r="O64" s="1" t="s">
        <v>680</v>
      </c>
      <c r="P64" s="1">
        <v>0</v>
      </c>
      <c r="Q64" s="1" t="s">
        <v>382</v>
      </c>
      <c r="R64" t="s">
        <v>2825</v>
      </c>
      <c r="S64" t="s">
        <v>2961</v>
      </c>
      <c r="T64" t="s">
        <v>2962</v>
      </c>
      <c r="U64" t="s">
        <v>17</v>
      </c>
    </row>
    <row r="65" spans="1:21">
      <c r="A65" s="1" t="s">
        <v>648</v>
      </c>
      <c r="B65" s="1" t="s">
        <v>649</v>
      </c>
      <c r="C65" s="1" t="s">
        <v>101</v>
      </c>
      <c r="D65" s="1" t="s">
        <v>650</v>
      </c>
      <c r="E65" s="1" t="s">
        <v>103</v>
      </c>
      <c r="F65" s="1" t="s">
        <v>534</v>
      </c>
      <c r="G65" s="1"/>
      <c r="H65" s="1" t="s">
        <v>106</v>
      </c>
      <c r="I65" s="1" t="s">
        <v>108</v>
      </c>
      <c r="J65" s="1" t="s">
        <v>109</v>
      </c>
      <c r="K65" s="9">
        <v>-17383.97</v>
      </c>
      <c r="L65" s="1" t="s">
        <v>652</v>
      </c>
      <c r="M65" s="1" t="s">
        <v>15</v>
      </c>
      <c r="N65" s="1" t="s">
        <v>2889</v>
      </c>
      <c r="O65" s="1" t="s">
        <v>895</v>
      </c>
      <c r="P65" s="1">
        <v>0</v>
      </c>
      <c r="Q65" s="1" t="s">
        <v>534</v>
      </c>
      <c r="R65" t="s">
        <v>2823</v>
      </c>
      <c r="S65" t="s">
        <v>2963</v>
      </c>
      <c r="T65" t="s">
        <v>17</v>
      </c>
      <c r="U65" t="s">
        <v>2964</v>
      </c>
    </row>
    <row r="66" spans="1:21">
      <c r="A66" s="1" t="s">
        <v>940</v>
      </c>
      <c r="B66" s="1" t="s">
        <v>941</v>
      </c>
      <c r="C66" s="1" t="s">
        <v>40</v>
      </c>
      <c r="D66" s="1" t="s">
        <v>124</v>
      </c>
      <c r="E66" s="1" t="s">
        <v>103</v>
      </c>
      <c r="F66" s="1" t="s">
        <v>942</v>
      </c>
      <c r="G66" s="1" t="s">
        <v>943</v>
      </c>
      <c r="H66" s="1" t="s">
        <v>127</v>
      </c>
      <c r="I66" s="1" t="s">
        <v>131</v>
      </c>
      <c r="J66" s="1"/>
      <c r="K66" s="9">
        <v>15498.94</v>
      </c>
      <c r="L66" s="1" t="s">
        <v>146</v>
      </c>
      <c r="M66" s="1" t="s">
        <v>15</v>
      </c>
      <c r="N66" s="1" t="s">
        <v>2965</v>
      </c>
      <c r="O66" s="1" t="s">
        <v>265</v>
      </c>
      <c r="P66" s="1">
        <v>0</v>
      </c>
      <c r="Q66" s="1" t="s">
        <v>942</v>
      </c>
      <c r="R66" t="s">
        <v>2825</v>
      </c>
      <c r="S66" t="s">
        <v>2966</v>
      </c>
      <c r="T66" t="s">
        <v>2967</v>
      </c>
      <c r="U66" t="s">
        <v>17</v>
      </c>
    </row>
    <row r="67" spans="1:21">
      <c r="A67" s="1" t="s">
        <v>210</v>
      </c>
      <c r="B67" s="1" t="s">
        <v>211</v>
      </c>
      <c r="C67" s="1" t="s">
        <v>101</v>
      </c>
      <c r="D67" s="1" t="s">
        <v>102</v>
      </c>
      <c r="E67" s="1" t="s">
        <v>103</v>
      </c>
      <c r="F67" s="1" t="s">
        <v>212</v>
      </c>
      <c r="G67" s="1"/>
      <c r="H67" s="1" t="s">
        <v>106</v>
      </c>
      <c r="I67" s="1" t="s">
        <v>108</v>
      </c>
      <c r="J67" s="1" t="s">
        <v>109</v>
      </c>
      <c r="K67" s="9">
        <v>-13613.94</v>
      </c>
      <c r="L67" s="1" t="s">
        <v>110</v>
      </c>
      <c r="M67" s="1" t="s">
        <v>15</v>
      </c>
      <c r="N67" s="1" t="s">
        <v>2968</v>
      </c>
      <c r="O67" s="1" t="s">
        <v>726</v>
      </c>
      <c r="P67" s="1">
        <v>0</v>
      </c>
      <c r="Q67" s="1" t="s">
        <v>212</v>
      </c>
      <c r="R67" t="s">
        <v>2823</v>
      </c>
      <c r="S67" t="s">
        <v>2969</v>
      </c>
      <c r="T67" t="s">
        <v>17</v>
      </c>
      <c r="U67" t="s">
        <v>2970</v>
      </c>
    </row>
    <row r="68" spans="1:21">
      <c r="A68" s="1" t="s">
        <v>2573</v>
      </c>
      <c r="B68" s="1" t="s">
        <v>2547</v>
      </c>
      <c r="C68" s="1" t="s">
        <v>42</v>
      </c>
      <c r="D68" s="1" t="s">
        <v>42</v>
      </c>
      <c r="E68" s="1" t="s">
        <v>103</v>
      </c>
      <c r="F68" s="1" t="s">
        <v>921</v>
      </c>
      <c r="G68" s="1"/>
      <c r="H68" s="1" t="s">
        <v>2379</v>
      </c>
      <c r="I68" s="1" t="s">
        <v>2380</v>
      </c>
      <c r="J68" s="1"/>
      <c r="K68" s="9">
        <v>69744.91</v>
      </c>
      <c r="L68" s="1" t="s">
        <v>2535</v>
      </c>
      <c r="M68" s="1" t="s">
        <v>15</v>
      </c>
      <c r="N68" s="1" t="s">
        <v>2884</v>
      </c>
      <c r="O68" s="1" t="s">
        <v>921</v>
      </c>
      <c r="P68" s="1">
        <v>0</v>
      </c>
      <c r="Q68" s="1" t="s">
        <v>921</v>
      </c>
      <c r="R68" t="s">
        <v>2825</v>
      </c>
      <c r="S68" t="s">
        <v>2884</v>
      </c>
      <c r="T68" t="s">
        <v>17</v>
      </c>
      <c r="U68" t="s">
        <v>17</v>
      </c>
    </row>
    <row r="69" spans="1:21">
      <c r="A69" s="1" t="s">
        <v>2574</v>
      </c>
      <c r="B69" s="1" t="s">
        <v>2575</v>
      </c>
      <c r="C69" s="1" t="s">
        <v>42</v>
      </c>
      <c r="D69" s="1" t="s">
        <v>42</v>
      </c>
      <c r="E69" s="1" t="s">
        <v>103</v>
      </c>
      <c r="F69" s="1" t="s">
        <v>1159</v>
      </c>
      <c r="G69" s="1"/>
      <c r="H69" s="1" t="s">
        <v>2379</v>
      </c>
      <c r="I69" s="1" t="s">
        <v>2380</v>
      </c>
      <c r="J69" s="1"/>
      <c r="K69" s="9">
        <v>-30788.45</v>
      </c>
      <c r="L69" s="1" t="s">
        <v>2535</v>
      </c>
      <c r="M69" s="1" t="s">
        <v>15</v>
      </c>
      <c r="N69" s="1" t="s">
        <v>2971</v>
      </c>
      <c r="O69" s="1" t="s">
        <v>1159</v>
      </c>
      <c r="P69" s="1">
        <v>0</v>
      </c>
      <c r="Q69" s="1" t="s">
        <v>1159</v>
      </c>
      <c r="R69" t="s">
        <v>2825</v>
      </c>
      <c r="S69" t="s">
        <v>2971</v>
      </c>
      <c r="T69" t="s">
        <v>17</v>
      </c>
      <c r="U69" t="s">
        <v>17</v>
      </c>
    </row>
    <row r="70" spans="1:21">
      <c r="A70" s="1" t="s">
        <v>710</v>
      </c>
      <c r="B70" s="1" t="s">
        <v>711</v>
      </c>
      <c r="C70" s="1" t="s">
        <v>101</v>
      </c>
      <c r="D70" s="1" t="s">
        <v>102</v>
      </c>
      <c r="E70" s="1" t="s">
        <v>103</v>
      </c>
      <c r="F70" s="1" t="s">
        <v>301</v>
      </c>
      <c r="G70" s="1"/>
      <c r="H70" s="1" t="s">
        <v>106</v>
      </c>
      <c r="I70" s="1" t="s">
        <v>108</v>
      </c>
      <c r="J70" s="1" t="s">
        <v>109</v>
      </c>
      <c r="K70" s="9">
        <v>-68858.83</v>
      </c>
      <c r="L70" s="1" t="s">
        <v>110</v>
      </c>
      <c r="M70" s="1" t="s">
        <v>15</v>
      </c>
      <c r="N70" s="1" t="s">
        <v>2832</v>
      </c>
      <c r="O70" s="1" t="s">
        <v>298</v>
      </c>
      <c r="P70" s="1">
        <v>0</v>
      </c>
      <c r="Q70" s="1" t="s">
        <v>301</v>
      </c>
      <c r="R70" t="s">
        <v>2823</v>
      </c>
      <c r="S70" t="s">
        <v>2972</v>
      </c>
      <c r="T70" t="s">
        <v>17</v>
      </c>
      <c r="U70" t="s">
        <v>2973</v>
      </c>
    </row>
    <row r="71" spans="1:21">
      <c r="A71" s="1" t="s">
        <v>2576</v>
      </c>
      <c r="B71" s="1" t="s">
        <v>2577</v>
      </c>
      <c r="C71" s="1" t="s">
        <v>42</v>
      </c>
      <c r="D71" s="1" t="s">
        <v>42</v>
      </c>
      <c r="E71" s="1" t="s">
        <v>103</v>
      </c>
      <c r="F71" s="1" t="s">
        <v>726</v>
      </c>
      <c r="G71" s="1"/>
      <c r="H71" s="1" t="s">
        <v>2379</v>
      </c>
      <c r="I71" s="1" t="s">
        <v>2380</v>
      </c>
      <c r="J71" s="1"/>
      <c r="K71" s="9">
        <v>-13613.94</v>
      </c>
      <c r="L71" s="1" t="s">
        <v>2535</v>
      </c>
      <c r="M71" s="1" t="s">
        <v>15</v>
      </c>
      <c r="N71" s="1" t="s">
        <v>2968</v>
      </c>
      <c r="O71" s="1" t="s">
        <v>726</v>
      </c>
      <c r="P71" s="1">
        <v>0</v>
      </c>
      <c r="Q71" s="1" t="s">
        <v>726</v>
      </c>
      <c r="R71" t="s">
        <v>2825</v>
      </c>
      <c r="S71" t="s">
        <v>2968</v>
      </c>
      <c r="T71" t="s">
        <v>17</v>
      </c>
      <c r="U71" t="s">
        <v>17</v>
      </c>
    </row>
    <row r="72" spans="1:21">
      <c r="A72" s="1" t="s">
        <v>2019</v>
      </c>
      <c r="B72" s="1" t="s">
        <v>2020</v>
      </c>
      <c r="C72" s="1" t="s">
        <v>101</v>
      </c>
      <c r="D72" s="1" t="s">
        <v>124</v>
      </c>
      <c r="E72" s="1" t="s">
        <v>103</v>
      </c>
      <c r="F72" s="1" t="s">
        <v>1106</v>
      </c>
      <c r="G72" s="1" t="s">
        <v>2021</v>
      </c>
      <c r="H72" s="1" t="s">
        <v>127</v>
      </c>
      <c r="I72" s="1" t="s">
        <v>131</v>
      </c>
      <c r="J72" s="1"/>
      <c r="K72" s="9">
        <v>17383.97</v>
      </c>
      <c r="L72" s="1" t="s">
        <v>132</v>
      </c>
      <c r="M72" s="1" t="s">
        <v>15</v>
      </c>
      <c r="N72" s="1" t="s">
        <v>2889</v>
      </c>
      <c r="O72" s="1" t="s">
        <v>895</v>
      </c>
      <c r="P72" s="1">
        <v>0</v>
      </c>
      <c r="Q72" s="1" t="s">
        <v>1106</v>
      </c>
      <c r="R72" t="s">
        <v>2825</v>
      </c>
      <c r="S72" t="s">
        <v>2974</v>
      </c>
      <c r="T72" t="s">
        <v>2975</v>
      </c>
      <c r="U72" t="s">
        <v>17</v>
      </c>
    </row>
    <row r="73" spans="1:21">
      <c r="A73" s="1" t="s">
        <v>2578</v>
      </c>
      <c r="B73" s="1" t="s">
        <v>2579</v>
      </c>
      <c r="C73" s="1" t="s">
        <v>42</v>
      </c>
      <c r="D73" s="1" t="s">
        <v>42</v>
      </c>
      <c r="E73" s="1" t="s">
        <v>103</v>
      </c>
      <c r="F73" s="1" t="s">
        <v>2580</v>
      </c>
      <c r="G73" s="1"/>
      <c r="H73" s="1" t="s">
        <v>2379</v>
      </c>
      <c r="I73" s="1" t="s">
        <v>2380</v>
      </c>
      <c r="J73" s="1"/>
      <c r="K73" s="9">
        <v>10262.030000000001</v>
      </c>
      <c r="L73" s="1" t="s">
        <v>2535</v>
      </c>
      <c r="M73" s="1" t="s">
        <v>15</v>
      </c>
      <c r="N73" s="1" t="s">
        <v>2976</v>
      </c>
      <c r="O73" s="1" t="s">
        <v>2580</v>
      </c>
      <c r="P73" s="1">
        <v>0</v>
      </c>
      <c r="Q73" s="1" t="s">
        <v>2580</v>
      </c>
      <c r="R73" t="s">
        <v>2823</v>
      </c>
      <c r="S73" t="s">
        <v>2976</v>
      </c>
      <c r="T73" t="s">
        <v>17</v>
      </c>
      <c r="U73" t="s">
        <v>17</v>
      </c>
    </row>
    <row r="74" spans="1:21">
      <c r="A74" s="1" t="s">
        <v>1394</v>
      </c>
      <c r="B74" s="1" t="s">
        <v>1395</v>
      </c>
      <c r="C74" s="1" t="s">
        <v>40</v>
      </c>
      <c r="D74" s="1" t="s">
        <v>124</v>
      </c>
      <c r="E74" s="1" t="s">
        <v>103</v>
      </c>
      <c r="F74" s="1" t="s">
        <v>1397</v>
      </c>
      <c r="G74" s="1" t="s">
        <v>1396</v>
      </c>
      <c r="H74" s="1" t="s">
        <v>127</v>
      </c>
      <c r="I74" s="1" t="s">
        <v>131</v>
      </c>
      <c r="J74" s="1"/>
      <c r="K74" s="9">
        <v>14870.62</v>
      </c>
      <c r="L74" s="1" t="s">
        <v>146</v>
      </c>
      <c r="M74" s="1" t="s">
        <v>15</v>
      </c>
      <c r="N74" s="1" t="s">
        <v>2924</v>
      </c>
      <c r="O74" s="1" t="s">
        <v>130</v>
      </c>
      <c r="P74" s="1">
        <v>0</v>
      </c>
      <c r="Q74" s="1" t="s">
        <v>1397</v>
      </c>
      <c r="R74" t="s">
        <v>2825</v>
      </c>
      <c r="S74" t="s">
        <v>2977</v>
      </c>
      <c r="T74" t="s">
        <v>2978</v>
      </c>
      <c r="U74" t="s">
        <v>17</v>
      </c>
    </row>
    <row r="75" spans="1:21">
      <c r="A75" s="1" t="s">
        <v>2581</v>
      </c>
      <c r="B75" s="1" t="s">
        <v>2582</v>
      </c>
      <c r="C75" s="1" t="s">
        <v>42</v>
      </c>
      <c r="D75" s="1" t="s">
        <v>42</v>
      </c>
      <c r="E75" s="1" t="s">
        <v>103</v>
      </c>
      <c r="F75" s="1" t="s">
        <v>1079</v>
      </c>
      <c r="G75" s="1"/>
      <c r="H75" s="1" t="s">
        <v>2379</v>
      </c>
      <c r="I75" s="1" t="s">
        <v>2380</v>
      </c>
      <c r="J75" s="1"/>
      <c r="K75" s="9">
        <v>-9843.93</v>
      </c>
      <c r="L75" s="1" t="s">
        <v>2535</v>
      </c>
      <c r="M75" s="1" t="s">
        <v>15</v>
      </c>
      <c r="N75" s="1" t="s">
        <v>2979</v>
      </c>
      <c r="O75" s="1" t="s">
        <v>1079</v>
      </c>
      <c r="P75" s="1">
        <v>0</v>
      </c>
      <c r="Q75" s="1" t="s">
        <v>1079</v>
      </c>
      <c r="R75" t="s">
        <v>2825</v>
      </c>
      <c r="S75" t="s">
        <v>2979</v>
      </c>
      <c r="T75" t="s">
        <v>17</v>
      </c>
      <c r="U75" t="s">
        <v>17</v>
      </c>
    </row>
    <row r="76" spans="1:21">
      <c r="A76" s="1" t="s">
        <v>2583</v>
      </c>
      <c r="B76" s="1" t="s">
        <v>2584</v>
      </c>
      <c r="C76" s="1" t="s">
        <v>42</v>
      </c>
      <c r="D76" s="1" t="s">
        <v>42</v>
      </c>
      <c r="E76" s="1" t="s">
        <v>103</v>
      </c>
      <c r="F76" s="1" t="s">
        <v>314</v>
      </c>
      <c r="G76" s="1"/>
      <c r="H76" s="1" t="s">
        <v>2379</v>
      </c>
      <c r="I76" s="1" t="s">
        <v>2380</v>
      </c>
      <c r="J76" s="1"/>
      <c r="K76" s="9">
        <v>-70792.53</v>
      </c>
      <c r="L76" s="1" t="s">
        <v>2535</v>
      </c>
      <c r="M76" s="1" t="s">
        <v>15</v>
      </c>
      <c r="N76" s="1" t="s">
        <v>2885</v>
      </c>
      <c r="O76" s="1" t="s">
        <v>314</v>
      </c>
      <c r="P76" s="1">
        <v>0</v>
      </c>
      <c r="Q76" s="1" t="s">
        <v>314</v>
      </c>
      <c r="R76" t="s">
        <v>2825</v>
      </c>
      <c r="S76" t="s">
        <v>2885</v>
      </c>
      <c r="T76" t="s">
        <v>17</v>
      </c>
      <c r="U76" t="s">
        <v>17</v>
      </c>
    </row>
    <row r="77" spans="1:21">
      <c r="A77" s="1" t="s">
        <v>1729</v>
      </c>
      <c r="B77" s="1" t="s">
        <v>1730</v>
      </c>
      <c r="C77" s="1" t="s">
        <v>101</v>
      </c>
      <c r="D77" s="1" t="s">
        <v>124</v>
      </c>
      <c r="E77" s="1" t="s">
        <v>103</v>
      </c>
      <c r="F77" s="1" t="s">
        <v>1078</v>
      </c>
      <c r="G77" s="1" t="s">
        <v>1731</v>
      </c>
      <c r="H77" s="1" t="s">
        <v>127</v>
      </c>
      <c r="I77" s="1" t="s">
        <v>131</v>
      </c>
      <c r="J77" s="1"/>
      <c r="K77" s="9">
        <v>12776.16</v>
      </c>
      <c r="L77" s="1" t="s">
        <v>132</v>
      </c>
      <c r="M77" s="1" t="s">
        <v>15</v>
      </c>
      <c r="N77" s="1" t="s">
        <v>2879</v>
      </c>
      <c r="O77" s="1" t="s">
        <v>278</v>
      </c>
      <c r="P77" s="1">
        <v>0</v>
      </c>
      <c r="Q77" s="1" t="s">
        <v>1078</v>
      </c>
      <c r="R77" t="s">
        <v>2825</v>
      </c>
      <c r="S77" t="s">
        <v>2980</v>
      </c>
      <c r="T77" t="s">
        <v>2981</v>
      </c>
      <c r="U77" t="s">
        <v>17</v>
      </c>
    </row>
    <row r="78" spans="1:21">
      <c r="A78" s="1" t="s">
        <v>2248</v>
      </c>
      <c r="B78" s="1" t="s">
        <v>2249</v>
      </c>
      <c r="C78" s="1" t="s">
        <v>101</v>
      </c>
      <c r="D78" s="1" t="s">
        <v>554</v>
      </c>
      <c r="E78" s="1" t="s">
        <v>103</v>
      </c>
      <c r="F78" s="1" t="s">
        <v>2251</v>
      </c>
      <c r="G78" s="1" t="s">
        <v>2252</v>
      </c>
      <c r="H78" s="1" t="s">
        <v>127</v>
      </c>
      <c r="I78" s="1" t="s">
        <v>131</v>
      </c>
      <c r="J78" s="1"/>
      <c r="K78" s="9">
        <v>34443.199999999997</v>
      </c>
      <c r="L78" s="1" t="s">
        <v>557</v>
      </c>
      <c r="M78" s="1" t="s">
        <v>15</v>
      </c>
      <c r="N78" s="1" t="s">
        <v>2982</v>
      </c>
      <c r="O78" s="1" t="s">
        <v>2259</v>
      </c>
      <c r="P78" s="1">
        <v>0</v>
      </c>
      <c r="Q78" s="1" t="s">
        <v>2251</v>
      </c>
      <c r="R78" t="s">
        <v>2815</v>
      </c>
      <c r="S78" t="s">
        <v>2983</v>
      </c>
      <c r="T78" t="s">
        <v>2984</v>
      </c>
      <c r="U78" t="s">
        <v>17</v>
      </c>
    </row>
    <row r="79" spans="1:21">
      <c r="A79" s="1" t="s">
        <v>2495</v>
      </c>
      <c r="B79" s="1" t="s">
        <v>17</v>
      </c>
      <c r="C79" s="1" t="s">
        <v>33</v>
      </c>
      <c r="D79" s="1" t="s">
        <v>2391</v>
      </c>
      <c r="E79" s="1" t="s">
        <v>103</v>
      </c>
      <c r="F79" s="1" t="s">
        <v>204</v>
      </c>
      <c r="G79" s="1"/>
      <c r="H79" s="1" t="s">
        <v>2379</v>
      </c>
      <c r="I79" s="1" t="s">
        <v>2380</v>
      </c>
      <c r="J79" s="1"/>
      <c r="K79" s="9">
        <v>55663.4</v>
      </c>
      <c r="L79" s="1" t="s">
        <v>2494</v>
      </c>
      <c r="M79" s="1" t="s">
        <v>15</v>
      </c>
      <c r="N79" s="1" t="s">
        <v>2835</v>
      </c>
      <c r="O79" s="1" t="s">
        <v>204</v>
      </c>
      <c r="P79" s="1">
        <v>0</v>
      </c>
      <c r="Q79" s="1" t="s">
        <v>204</v>
      </c>
      <c r="R79" t="s">
        <v>2825</v>
      </c>
      <c r="S79" t="s">
        <v>2835</v>
      </c>
      <c r="T79" t="s">
        <v>17</v>
      </c>
      <c r="U79" t="s">
        <v>17</v>
      </c>
    </row>
    <row r="80" spans="1:21">
      <c r="A80" s="1" t="s">
        <v>1944</v>
      </c>
      <c r="B80" s="1" t="s">
        <v>1945</v>
      </c>
      <c r="C80" s="1" t="s">
        <v>101</v>
      </c>
      <c r="D80" s="1" t="s">
        <v>124</v>
      </c>
      <c r="E80" s="1" t="s">
        <v>103</v>
      </c>
      <c r="F80" s="1" t="s">
        <v>338</v>
      </c>
      <c r="G80" s="1" t="s">
        <v>1946</v>
      </c>
      <c r="H80" s="1" t="s">
        <v>127</v>
      </c>
      <c r="I80" s="1" t="s">
        <v>131</v>
      </c>
      <c r="J80" s="1"/>
      <c r="K80" s="9">
        <v>14242.29</v>
      </c>
      <c r="L80" s="1" t="s">
        <v>132</v>
      </c>
      <c r="M80" s="1" t="s">
        <v>15</v>
      </c>
      <c r="N80" s="1" t="s">
        <v>2985</v>
      </c>
      <c r="O80" s="1" t="s">
        <v>412</v>
      </c>
      <c r="P80" s="1">
        <v>0</v>
      </c>
      <c r="Q80" s="1" t="s">
        <v>338</v>
      </c>
      <c r="R80" t="s">
        <v>2825</v>
      </c>
      <c r="S80" t="s">
        <v>2986</v>
      </c>
      <c r="T80" t="s">
        <v>2987</v>
      </c>
      <c r="U80" t="s">
        <v>17</v>
      </c>
    </row>
    <row r="81" spans="1:21">
      <c r="A81" s="1" t="s">
        <v>1972</v>
      </c>
      <c r="B81" s="1" t="s">
        <v>1973</v>
      </c>
      <c r="C81" s="1" t="s">
        <v>101</v>
      </c>
      <c r="D81" s="1" t="s">
        <v>352</v>
      </c>
      <c r="E81" s="1" t="s">
        <v>103</v>
      </c>
      <c r="F81" s="1" t="s">
        <v>761</v>
      </c>
      <c r="G81" s="1"/>
      <c r="H81" s="1" t="s">
        <v>106</v>
      </c>
      <c r="I81" s="1" t="s">
        <v>108</v>
      </c>
      <c r="J81" s="1" t="s">
        <v>109</v>
      </c>
      <c r="K81" s="9">
        <v>-82521.42</v>
      </c>
      <c r="L81" s="1" t="s">
        <v>356</v>
      </c>
      <c r="M81" s="1" t="s">
        <v>15</v>
      </c>
      <c r="N81" s="1" t="s">
        <v>2988</v>
      </c>
      <c r="O81" s="1" t="s">
        <v>151</v>
      </c>
      <c r="P81" s="1">
        <v>0</v>
      </c>
      <c r="Q81" s="1" t="s">
        <v>761</v>
      </c>
      <c r="R81" t="s">
        <v>2823</v>
      </c>
      <c r="S81" t="s">
        <v>2989</v>
      </c>
      <c r="T81" t="s">
        <v>17</v>
      </c>
      <c r="U81" t="s">
        <v>2990</v>
      </c>
    </row>
    <row r="82" spans="1:21">
      <c r="A82" s="1" t="s">
        <v>1561</v>
      </c>
      <c r="B82" s="1" t="s">
        <v>1562</v>
      </c>
      <c r="C82" s="1" t="s">
        <v>40</v>
      </c>
      <c r="D82" s="1" t="s">
        <v>124</v>
      </c>
      <c r="E82" s="1" t="s">
        <v>103</v>
      </c>
      <c r="F82" s="1" t="s">
        <v>1563</v>
      </c>
      <c r="G82" s="1" t="s">
        <v>1564</v>
      </c>
      <c r="H82" s="1" t="s">
        <v>127</v>
      </c>
      <c r="I82" s="1" t="s">
        <v>131</v>
      </c>
      <c r="J82" s="1"/>
      <c r="K82" s="9">
        <v>12566.72</v>
      </c>
      <c r="L82" s="1" t="s">
        <v>146</v>
      </c>
      <c r="M82" s="1" t="s">
        <v>15</v>
      </c>
      <c r="N82" s="1" t="s">
        <v>2879</v>
      </c>
      <c r="O82" s="1" t="s">
        <v>278</v>
      </c>
      <c r="P82" s="1">
        <v>0</v>
      </c>
      <c r="Q82" s="1" t="s">
        <v>1563</v>
      </c>
      <c r="R82" t="s">
        <v>2825</v>
      </c>
      <c r="S82" t="s">
        <v>2991</v>
      </c>
      <c r="T82" t="s">
        <v>2992</v>
      </c>
      <c r="U82" t="s">
        <v>17</v>
      </c>
    </row>
    <row r="83" spans="1:21">
      <c r="A83" s="1" t="s">
        <v>2585</v>
      </c>
      <c r="B83" s="1" t="s">
        <v>2541</v>
      </c>
      <c r="C83" s="1" t="s">
        <v>42</v>
      </c>
      <c r="D83" s="1" t="s">
        <v>42</v>
      </c>
      <c r="E83" s="1" t="s">
        <v>103</v>
      </c>
      <c r="F83" s="1" t="s">
        <v>517</v>
      </c>
      <c r="G83" s="1"/>
      <c r="H83" s="1" t="s">
        <v>2379</v>
      </c>
      <c r="I83" s="1" t="s">
        <v>2380</v>
      </c>
      <c r="J83" s="1"/>
      <c r="K83" s="9">
        <v>29531</v>
      </c>
      <c r="L83" s="1" t="s">
        <v>2535</v>
      </c>
      <c r="M83" s="1" t="s">
        <v>15</v>
      </c>
      <c r="N83" s="1" t="s">
        <v>2875</v>
      </c>
      <c r="O83" s="1" t="s">
        <v>517</v>
      </c>
      <c r="P83" s="1">
        <v>0</v>
      </c>
      <c r="Q83" s="1" t="s">
        <v>517</v>
      </c>
      <c r="R83" t="s">
        <v>2825</v>
      </c>
      <c r="S83" t="s">
        <v>2875</v>
      </c>
      <c r="T83" t="s">
        <v>17</v>
      </c>
      <c r="U83" t="s">
        <v>17</v>
      </c>
    </row>
    <row r="84" spans="1:21">
      <c r="A84" s="1" t="s">
        <v>2586</v>
      </c>
      <c r="B84" s="1" t="s">
        <v>2587</v>
      </c>
      <c r="C84" s="1" t="s">
        <v>42</v>
      </c>
      <c r="D84" s="1" t="s">
        <v>42</v>
      </c>
      <c r="E84" s="1" t="s">
        <v>103</v>
      </c>
      <c r="F84" s="1" t="s">
        <v>1678</v>
      </c>
      <c r="G84" s="1"/>
      <c r="H84" s="1" t="s">
        <v>2379</v>
      </c>
      <c r="I84" s="1" t="s">
        <v>2380</v>
      </c>
      <c r="J84" s="1"/>
      <c r="K84" s="9">
        <v>-15498.94</v>
      </c>
      <c r="L84" s="1" t="s">
        <v>2535</v>
      </c>
      <c r="M84" s="1" t="s">
        <v>15</v>
      </c>
      <c r="N84" s="1" t="s">
        <v>2993</v>
      </c>
      <c r="O84" s="1" t="s">
        <v>1678</v>
      </c>
      <c r="P84" s="1">
        <v>0</v>
      </c>
      <c r="Q84" s="1" t="s">
        <v>1678</v>
      </c>
      <c r="R84" t="s">
        <v>2825</v>
      </c>
      <c r="S84" t="s">
        <v>2993</v>
      </c>
      <c r="T84" t="s">
        <v>17</v>
      </c>
      <c r="U84" t="s">
        <v>17</v>
      </c>
    </row>
    <row r="85" spans="1:21">
      <c r="A85" s="1" t="s">
        <v>740</v>
      </c>
      <c r="B85" s="1" t="s">
        <v>741</v>
      </c>
      <c r="C85" s="1" t="s">
        <v>101</v>
      </c>
      <c r="D85" s="1" t="s">
        <v>102</v>
      </c>
      <c r="E85" s="1" t="s">
        <v>103</v>
      </c>
      <c r="F85" s="1" t="s">
        <v>742</v>
      </c>
      <c r="G85" s="1"/>
      <c r="H85" s="1" t="s">
        <v>106</v>
      </c>
      <c r="I85" s="1" t="s">
        <v>108</v>
      </c>
      <c r="J85" s="1" t="s">
        <v>109</v>
      </c>
      <c r="K85" s="9">
        <v>-30788.45</v>
      </c>
      <c r="L85" s="1" t="s">
        <v>110</v>
      </c>
      <c r="M85" s="1" t="s">
        <v>15</v>
      </c>
      <c r="N85" s="1" t="s">
        <v>2971</v>
      </c>
      <c r="O85" s="1" t="s">
        <v>1159</v>
      </c>
      <c r="P85" s="1">
        <v>0</v>
      </c>
      <c r="Q85" s="1" t="s">
        <v>742</v>
      </c>
      <c r="R85" t="s">
        <v>2823</v>
      </c>
      <c r="S85" t="s">
        <v>2994</v>
      </c>
      <c r="T85" t="s">
        <v>17</v>
      </c>
      <c r="U85" t="s">
        <v>2995</v>
      </c>
    </row>
    <row r="86" spans="1:21">
      <c r="A86" s="1" t="s">
        <v>2151</v>
      </c>
      <c r="B86" s="1" t="s">
        <v>2152</v>
      </c>
      <c r="C86" s="1" t="s">
        <v>40</v>
      </c>
      <c r="D86" s="1" t="s">
        <v>124</v>
      </c>
      <c r="E86" s="1" t="s">
        <v>103</v>
      </c>
      <c r="F86" s="1" t="s">
        <v>2153</v>
      </c>
      <c r="G86" s="1" t="s">
        <v>2154</v>
      </c>
      <c r="H86" s="1" t="s">
        <v>127</v>
      </c>
      <c r="I86" s="1" t="s">
        <v>131</v>
      </c>
      <c r="J86" s="1"/>
      <c r="K86" s="9">
        <v>19059.52</v>
      </c>
      <c r="L86" s="1" t="s">
        <v>146</v>
      </c>
      <c r="M86" s="1" t="s">
        <v>15</v>
      </c>
      <c r="N86" s="1" t="s">
        <v>2996</v>
      </c>
      <c r="O86" s="1" t="s">
        <v>783</v>
      </c>
      <c r="P86" s="1">
        <v>0</v>
      </c>
      <c r="Q86" s="1" t="s">
        <v>2153</v>
      </c>
      <c r="R86" t="s">
        <v>2825</v>
      </c>
      <c r="S86" t="s">
        <v>2997</v>
      </c>
      <c r="T86" t="s">
        <v>2998</v>
      </c>
      <c r="U86" t="s">
        <v>17</v>
      </c>
    </row>
    <row r="87" spans="1:21">
      <c r="A87" s="1" t="s">
        <v>2588</v>
      </c>
      <c r="B87" s="1" t="s">
        <v>2589</v>
      </c>
      <c r="C87" s="1" t="s">
        <v>42</v>
      </c>
      <c r="D87" s="1" t="s">
        <v>42</v>
      </c>
      <c r="E87" s="1" t="s">
        <v>103</v>
      </c>
      <c r="F87" s="1" t="s">
        <v>2147</v>
      </c>
      <c r="G87" s="1"/>
      <c r="H87" s="1" t="s">
        <v>2379</v>
      </c>
      <c r="I87" s="1" t="s">
        <v>2380</v>
      </c>
      <c r="J87" s="1"/>
      <c r="K87" s="9">
        <v>57806.85</v>
      </c>
      <c r="L87" s="1" t="s">
        <v>2535</v>
      </c>
      <c r="M87" s="1" t="s">
        <v>15</v>
      </c>
      <c r="N87" s="1" t="s">
        <v>2999</v>
      </c>
      <c r="O87" s="1" t="s">
        <v>2147</v>
      </c>
      <c r="P87" s="1">
        <v>0</v>
      </c>
      <c r="Q87" s="1" t="s">
        <v>2147</v>
      </c>
      <c r="R87" t="s">
        <v>2825</v>
      </c>
      <c r="S87" t="s">
        <v>2999</v>
      </c>
      <c r="T87" t="s">
        <v>17</v>
      </c>
      <c r="U87" t="s">
        <v>17</v>
      </c>
    </row>
    <row r="88" spans="1:21">
      <c r="A88" s="1" t="s">
        <v>2229</v>
      </c>
      <c r="B88" s="1" t="s">
        <v>2230</v>
      </c>
      <c r="C88" s="1" t="s">
        <v>101</v>
      </c>
      <c r="D88" s="1" t="s">
        <v>124</v>
      </c>
      <c r="E88" s="1" t="s">
        <v>103</v>
      </c>
      <c r="F88" s="1" t="s">
        <v>2232</v>
      </c>
      <c r="G88" s="1" t="s">
        <v>2231</v>
      </c>
      <c r="H88" s="1" t="s">
        <v>127</v>
      </c>
      <c r="I88" s="1" t="s">
        <v>131</v>
      </c>
      <c r="J88" s="1"/>
      <c r="K88" s="9">
        <v>16336.73</v>
      </c>
      <c r="L88" s="1" t="s">
        <v>132</v>
      </c>
      <c r="M88" s="1" t="s">
        <v>15</v>
      </c>
      <c r="N88" s="1" t="s">
        <v>3000</v>
      </c>
      <c r="O88" s="1" t="s">
        <v>875</v>
      </c>
      <c r="P88" s="1">
        <v>0</v>
      </c>
      <c r="Q88" s="1" t="s">
        <v>2232</v>
      </c>
      <c r="R88" t="s">
        <v>2825</v>
      </c>
      <c r="S88" t="s">
        <v>3001</v>
      </c>
      <c r="T88" t="s">
        <v>3002</v>
      </c>
      <c r="U88" t="s">
        <v>17</v>
      </c>
    </row>
    <row r="89" spans="1:21">
      <c r="A89" s="1" t="s">
        <v>1570</v>
      </c>
      <c r="B89" s="1" t="s">
        <v>1571</v>
      </c>
      <c r="C89" s="1" t="s">
        <v>101</v>
      </c>
      <c r="D89" s="1" t="s">
        <v>124</v>
      </c>
      <c r="E89" s="1" t="s">
        <v>103</v>
      </c>
      <c r="F89" s="1" t="s">
        <v>1572</v>
      </c>
      <c r="G89" s="1" t="s">
        <v>1573</v>
      </c>
      <c r="H89" s="1" t="s">
        <v>127</v>
      </c>
      <c r="I89" s="1" t="s">
        <v>131</v>
      </c>
      <c r="J89" s="1"/>
      <c r="K89" s="9">
        <v>13404.5</v>
      </c>
      <c r="L89" s="1" t="s">
        <v>132</v>
      </c>
      <c r="M89" s="1" t="s">
        <v>15</v>
      </c>
      <c r="N89" s="1" t="s">
        <v>2824</v>
      </c>
      <c r="O89" s="1" t="s">
        <v>752</v>
      </c>
      <c r="P89" s="1">
        <v>0</v>
      </c>
      <c r="Q89" s="1" t="s">
        <v>1572</v>
      </c>
      <c r="R89" t="s">
        <v>2825</v>
      </c>
      <c r="S89" t="s">
        <v>3003</v>
      </c>
      <c r="T89" t="s">
        <v>3004</v>
      </c>
      <c r="U89" t="s">
        <v>17</v>
      </c>
    </row>
    <row r="90" spans="1:21">
      <c r="A90" s="1" t="s">
        <v>2590</v>
      </c>
      <c r="B90" s="1" t="s">
        <v>2591</v>
      </c>
      <c r="C90" s="1" t="s">
        <v>42</v>
      </c>
      <c r="D90" s="1" t="s">
        <v>42</v>
      </c>
      <c r="E90" s="1" t="s">
        <v>103</v>
      </c>
      <c r="F90" s="1" t="s">
        <v>1464</v>
      </c>
      <c r="G90" s="1"/>
      <c r="H90" s="1" t="s">
        <v>2379</v>
      </c>
      <c r="I90" s="1" t="s">
        <v>2380</v>
      </c>
      <c r="J90" s="1"/>
      <c r="K90" s="9">
        <v>40841</v>
      </c>
      <c r="L90" s="1" t="s">
        <v>2535</v>
      </c>
      <c r="M90" s="1" t="s">
        <v>15</v>
      </c>
      <c r="N90" s="1" t="s">
        <v>2851</v>
      </c>
      <c r="O90" s="1" t="s">
        <v>1464</v>
      </c>
      <c r="P90" s="1">
        <v>0</v>
      </c>
      <c r="Q90" s="1" t="s">
        <v>1464</v>
      </c>
      <c r="R90" t="s">
        <v>2823</v>
      </c>
      <c r="S90" t="s">
        <v>2851</v>
      </c>
      <c r="T90" t="s">
        <v>17</v>
      </c>
      <c r="U90" t="s">
        <v>17</v>
      </c>
    </row>
    <row r="91" spans="1:21">
      <c r="A91" s="1" t="s">
        <v>1359</v>
      </c>
      <c r="B91" s="1" t="s">
        <v>1360</v>
      </c>
      <c r="C91" s="1" t="s">
        <v>36</v>
      </c>
      <c r="D91" s="1" t="s">
        <v>124</v>
      </c>
      <c r="E91" s="1" t="s">
        <v>103</v>
      </c>
      <c r="F91" s="1" t="s">
        <v>1361</v>
      </c>
      <c r="G91" s="1" t="s">
        <v>1362</v>
      </c>
      <c r="H91" s="1" t="s">
        <v>127</v>
      </c>
      <c r="I91" s="1" t="s">
        <v>131</v>
      </c>
      <c r="J91" s="1"/>
      <c r="K91" s="9">
        <v>8260</v>
      </c>
      <c r="L91" s="1" t="s">
        <v>243</v>
      </c>
      <c r="M91" s="1" t="s">
        <v>15</v>
      </c>
      <c r="N91" s="1" t="s">
        <v>2835</v>
      </c>
      <c r="O91" s="1" t="s">
        <v>204</v>
      </c>
      <c r="P91" s="1">
        <v>0</v>
      </c>
      <c r="Q91" s="1" t="s">
        <v>1361</v>
      </c>
      <c r="R91" t="s">
        <v>2825</v>
      </c>
      <c r="S91" t="s">
        <v>3005</v>
      </c>
      <c r="T91" t="s">
        <v>3006</v>
      </c>
      <c r="U91" t="s">
        <v>17</v>
      </c>
    </row>
    <row r="92" spans="1:21">
      <c r="A92" s="1" t="s">
        <v>2592</v>
      </c>
      <c r="B92" s="1" t="s">
        <v>2559</v>
      </c>
      <c r="C92" s="1" t="s">
        <v>42</v>
      </c>
      <c r="D92" s="1" t="s">
        <v>42</v>
      </c>
      <c r="E92" s="1" t="s">
        <v>103</v>
      </c>
      <c r="F92" s="1" t="s">
        <v>1213</v>
      </c>
      <c r="G92" s="1"/>
      <c r="H92" s="1" t="s">
        <v>2379</v>
      </c>
      <c r="I92" s="1" t="s">
        <v>2380</v>
      </c>
      <c r="J92" s="1"/>
      <c r="K92" s="9">
        <v>-15498.94</v>
      </c>
      <c r="L92" s="1" t="s">
        <v>2535</v>
      </c>
      <c r="M92" s="1" t="s">
        <v>15</v>
      </c>
      <c r="N92" s="1" t="s">
        <v>3007</v>
      </c>
      <c r="O92" s="1" t="s">
        <v>1213</v>
      </c>
      <c r="P92" s="1">
        <v>0</v>
      </c>
      <c r="Q92" s="1" t="s">
        <v>1213</v>
      </c>
      <c r="R92" t="s">
        <v>2825</v>
      </c>
      <c r="S92" t="s">
        <v>3007</v>
      </c>
      <c r="T92" t="s">
        <v>17</v>
      </c>
      <c r="U92" t="s">
        <v>17</v>
      </c>
    </row>
    <row r="93" spans="1:21">
      <c r="A93" s="1" t="s">
        <v>2236</v>
      </c>
      <c r="B93" s="1" t="s">
        <v>2237</v>
      </c>
      <c r="C93" s="1" t="s">
        <v>101</v>
      </c>
      <c r="D93" s="1" t="s">
        <v>124</v>
      </c>
      <c r="E93" s="1" t="s">
        <v>103</v>
      </c>
      <c r="F93" s="1" t="s">
        <v>398</v>
      </c>
      <c r="G93" s="1" t="s">
        <v>2238</v>
      </c>
      <c r="H93" s="1" t="s">
        <v>127</v>
      </c>
      <c r="I93" s="1" t="s">
        <v>131</v>
      </c>
      <c r="J93" s="1"/>
      <c r="K93" s="9">
        <v>16336.73</v>
      </c>
      <c r="L93" s="1" t="s">
        <v>132</v>
      </c>
      <c r="M93" s="1" t="s">
        <v>15</v>
      </c>
      <c r="N93" s="1" t="s">
        <v>2839</v>
      </c>
      <c r="O93" s="1" t="s">
        <v>338</v>
      </c>
      <c r="P93" s="1">
        <v>0</v>
      </c>
      <c r="Q93" s="1" t="s">
        <v>398</v>
      </c>
      <c r="R93" t="s">
        <v>2825</v>
      </c>
      <c r="S93" t="s">
        <v>3008</v>
      </c>
      <c r="T93" t="s">
        <v>3009</v>
      </c>
      <c r="U93" t="s">
        <v>17</v>
      </c>
    </row>
    <row r="94" spans="1:21">
      <c r="A94" s="1" t="s">
        <v>811</v>
      </c>
      <c r="B94" s="1" t="s">
        <v>812</v>
      </c>
      <c r="C94" s="1" t="s">
        <v>101</v>
      </c>
      <c r="D94" s="1" t="s">
        <v>124</v>
      </c>
      <c r="E94" s="1" t="s">
        <v>103</v>
      </c>
      <c r="F94" s="1" t="s">
        <v>813</v>
      </c>
      <c r="G94" s="1" t="s">
        <v>814</v>
      </c>
      <c r="H94" s="1" t="s">
        <v>127</v>
      </c>
      <c r="I94" s="1" t="s">
        <v>131</v>
      </c>
      <c r="J94" s="1"/>
      <c r="K94" s="9">
        <v>15289.51</v>
      </c>
      <c r="L94" s="1" t="s">
        <v>132</v>
      </c>
      <c r="M94" s="1" t="s">
        <v>15</v>
      </c>
      <c r="N94" s="1" t="s">
        <v>2879</v>
      </c>
      <c r="O94" s="1" t="s">
        <v>278</v>
      </c>
      <c r="P94" s="1">
        <v>0</v>
      </c>
      <c r="Q94" s="1" t="s">
        <v>813</v>
      </c>
      <c r="R94" t="s">
        <v>2825</v>
      </c>
      <c r="S94" t="s">
        <v>3010</v>
      </c>
      <c r="T94" t="s">
        <v>3011</v>
      </c>
      <c r="U94" t="s">
        <v>17</v>
      </c>
    </row>
    <row r="95" spans="1:21">
      <c r="A95" s="1" t="s">
        <v>1296</v>
      </c>
      <c r="B95" s="1" t="s">
        <v>1297</v>
      </c>
      <c r="C95" s="1" t="s">
        <v>101</v>
      </c>
      <c r="D95" s="1" t="s">
        <v>102</v>
      </c>
      <c r="E95" s="1" t="s">
        <v>103</v>
      </c>
      <c r="F95" s="1" t="s">
        <v>1298</v>
      </c>
      <c r="G95" s="1"/>
      <c r="H95" s="1" t="s">
        <v>106</v>
      </c>
      <c r="I95" s="1" t="s">
        <v>108</v>
      </c>
      <c r="J95" s="1" t="s">
        <v>230</v>
      </c>
      <c r="K95" s="9">
        <v>-66363.100000000006</v>
      </c>
      <c r="L95" s="1" t="s">
        <v>110</v>
      </c>
      <c r="M95" s="1" t="s">
        <v>15</v>
      </c>
      <c r="N95" s="1" t="s">
        <v>3012</v>
      </c>
      <c r="O95" s="1" t="s">
        <v>3013</v>
      </c>
      <c r="P95" s="1">
        <v>0</v>
      </c>
      <c r="Q95" s="1" t="s">
        <v>3013</v>
      </c>
      <c r="R95" t="s">
        <v>2823</v>
      </c>
      <c r="S95" t="s">
        <v>3012</v>
      </c>
      <c r="T95" t="s">
        <v>17</v>
      </c>
      <c r="U95" t="s">
        <v>3014</v>
      </c>
    </row>
    <row r="96" spans="1:21">
      <c r="A96" s="1" t="s">
        <v>1741</v>
      </c>
      <c r="B96" s="1" t="s">
        <v>1742</v>
      </c>
      <c r="C96" s="1" t="s">
        <v>101</v>
      </c>
      <c r="D96" s="1" t="s">
        <v>124</v>
      </c>
      <c r="E96" s="1" t="s">
        <v>103</v>
      </c>
      <c r="F96" s="1" t="s">
        <v>1624</v>
      </c>
      <c r="G96" s="1" t="s">
        <v>1743</v>
      </c>
      <c r="H96" s="1" t="s">
        <v>127</v>
      </c>
      <c r="I96" s="1" t="s">
        <v>131</v>
      </c>
      <c r="J96" s="1"/>
      <c r="K96" s="9">
        <v>17593.400000000001</v>
      </c>
      <c r="L96" s="1" t="s">
        <v>132</v>
      </c>
      <c r="M96" s="1" t="s">
        <v>15</v>
      </c>
      <c r="N96" s="1" t="s">
        <v>2884</v>
      </c>
      <c r="O96" s="1" t="s">
        <v>921</v>
      </c>
      <c r="P96" s="1">
        <v>0</v>
      </c>
      <c r="Q96" s="1" t="s">
        <v>1624</v>
      </c>
      <c r="R96" t="s">
        <v>2825</v>
      </c>
      <c r="S96" t="s">
        <v>3015</v>
      </c>
      <c r="T96" t="s">
        <v>3016</v>
      </c>
      <c r="U96" t="s">
        <v>17</v>
      </c>
    </row>
    <row r="97" spans="1:21">
      <c r="A97" s="1" t="s">
        <v>2593</v>
      </c>
      <c r="B97" s="1" t="s">
        <v>2594</v>
      </c>
      <c r="C97" s="1" t="s">
        <v>42</v>
      </c>
      <c r="D97" s="1" t="s">
        <v>42</v>
      </c>
      <c r="E97" s="1" t="s">
        <v>103</v>
      </c>
      <c r="F97" s="1" t="s">
        <v>895</v>
      </c>
      <c r="G97" s="1"/>
      <c r="H97" s="1" t="s">
        <v>2379</v>
      </c>
      <c r="I97" s="1" t="s">
        <v>2380</v>
      </c>
      <c r="J97" s="1"/>
      <c r="K97" s="9">
        <v>-17383.97</v>
      </c>
      <c r="L97" s="1" t="s">
        <v>2535</v>
      </c>
      <c r="M97" s="1" t="s">
        <v>15</v>
      </c>
      <c r="N97" s="1" t="s">
        <v>2889</v>
      </c>
      <c r="O97" s="1" t="s">
        <v>895</v>
      </c>
      <c r="P97" s="1">
        <v>0</v>
      </c>
      <c r="Q97" s="1" t="s">
        <v>895</v>
      </c>
      <c r="R97" t="s">
        <v>2825</v>
      </c>
      <c r="S97" t="s">
        <v>2889</v>
      </c>
      <c r="T97" t="s">
        <v>17</v>
      </c>
      <c r="U97" t="s">
        <v>17</v>
      </c>
    </row>
    <row r="98" spans="1:21">
      <c r="A98" s="1" t="s">
        <v>2595</v>
      </c>
      <c r="B98" s="1" t="s">
        <v>2596</v>
      </c>
      <c r="C98" s="1" t="s">
        <v>42</v>
      </c>
      <c r="D98" s="1" t="s">
        <v>42</v>
      </c>
      <c r="E98" s="1" t="s">
        <v>103</v>
      </c>
      <c r="F98" s="1" t="s">
        <v>1106</v>
      </c>
      <c r="G98" s="1"/>
      <c r="H98" s="1" t="s">
        <v>2379</v>
      </c>
      <c r="I98" s="1" t="s">
        <v>2380</v>
      </c>
      <c r="J98" s="1"/>
      <c r="K98" s="9">
        <v>31207</v>
      </c>
      <c r="L98" s="1" t="s">
        <v>2535</v>
      </c>
      <c r="M98" s="1" t="s">
        <v>15</v>
      </c>
      <c r="N98" s="1" t="s">
        <v>3017</v>
      </c>
      <c r="O98" s="1" t="s">
        <v>1106</v>
      </c>
      <c r="P98" s="1">
        <v>0</v>
      </c>
      <c r="Q98" s="1" t="s">
        <v>1106</v>
      </c>
      <c r="R98" t="s">
        <v>2823</v>
      </c>
      <c r="S98" t="s">
        <v>3017</v>
      </c>
      <c r="T98" t="s">
        <v>17</v>
      </c>
      <c r="U98" t="s">
        <v>17</v>
      </c>
    </row>
    <row r="99" spans="1:21">
      <c r="A99" s="1" t="s">
        <v>1386</v>
      </c>
      <c r="B99" s="1" t="s">
        <v>1387</v>
      </c>
      <c r="C99" s="1" t="s">
        <v>101</v>
      </c>
      <c r="D99" s="1" t="s">
        <v>352</v>
      </c>
      <c r="E99" s="1" t="s">
        <v>103</v>
      </c>
      <c r="F99" s="1" t="s">
        <v>1389</v>
      </c>
      <c r="G99" s="1"/>
      <c r="H99" s="1" t="s">
        <v>106</v>
      </c>
      <c r="I99" s="1" t="s">
        <v>108</v>
      </c>
      <c r="J99" s="1" t="s">
        <v>109</v>
      </c>
      <c r="K99" s="9">
        <v>-17593</v>
      </c>
      <c r="L99" s="1" t="s">
        <v>356</v>
      </c>
      <c r="M99" s="1" t="s">
        <v>15</v>
      </c>
      <c r="N99" s="1" t="s">
        <v>2945</v>
      </c>
      <c r="O99" s="1" t="s">
        <v>1389</v>
      </c>
      <c r="P99" s="1">
        <v>0</v>
      </c>
      <c r="Q99" s="1" t="s">
        <v>1389</v>
      </c>
      <c r="R99" t="s">
        <v>2823</v>
      </c>
      <c r="S99" t="s">
        <v>3018</v>
      </c>
      <c r="T99" t="s">
        <v>17</v>
      </c>
      <c r="U99" t="s">
        <v>3019</v>
      </c>
    </row>
    <row r="100" spans="1:21">
      <c r="A100" s="1" t="s">
        <v>2496</v>
      </c>
      <c r="B100" s="1" t="s">
        <v>17</v>
      </c>
      <c r="C100" s="1" t="s">
        <v>33</v>
      </c>
      <c r="D100" s="1" t="s">
        <v>2391</v>
      </c>
      <c r="E100" s="1" t="s">
        <v>103</v>
      </c>
      <c r="F100" s="1" t="s">
        <v>1986</v>
      </c>
      <c r="G100" s="1"/>
      <c r="H100" s="1" t="s">
        <v>2379</v>
      </c>
      <c r="I100" s="1" t="s">
        <v>2380</v>
      </c>
      <c r="J100" s="1"/>
      <c r="K100" s="9">
        <v>95505.13</v>
      </c>
      <c r="L100" s="1" t="s">
        <v>2494</v>
      </c>
      <c r="M100" s="1" t="s">
        <v>15</v>
      </c>
      <c r="N100" s="1" t="s">
        <v>2830</v>
      </c>
      <c r="O100" s="1" t="s">
        <v>1986</v>
      </c>
      <c r="P100" s="1">
        <v>0</v>
      </c>
      <c r="Q100" s="1" t="s">
        <v>1986</v>
      </c>
      <c r="R100" t="s">
        <v>2823</v>
      </c>
      <c r="S100" t="s">
        <v>2830</v>
      </c>
      <c r="T100" t="s">
        <v>17</v>
      </c>
      <c r="U100" t="s">
        <v>17</v>
      </c>
    </row>
    <row r="101" spans="1:21">
      <c r="A101" s="1" t="s">
        <v>2597</v>
      </c>
      <c r="B101" s="1" t="s">
        <v>2594</v>
      </c>
      <c r="C101" s="1" t="s">
        <v>42</v>
      </c>
      <c r="D101" s="1" t="s">
        <v>42</v>
      </c>
      <c r="E101" s="1" t="s">
        <v>103</v>
      </c>
      <c r="F101" s="1" t="s">
        <v>534</v>
      </c>
      <c r="G101" s="1"/>
      <c r="H101" s="1" t="s">
        <v>2379</v>
      </c>
      <c r="I101" s="1" t="s">
        <v>2380</v>
      </c>
      <c r="J101" s="1"/>
      <c r="K101" s="9">
        <v>17383.97</v>
      </c>
      <c r="L101" s="1" t="s">
        <v>2535</v>
      </c>
      <c r="M101" s="1" t="s">
        <v>15</v>
      </c>
      <c r="N101" s="1" t="s">
        <v>2927</v>
      </c>
      <c r="O101" s="1" t="s">
        <v>534</v>
      </c>
      <c r="P101" s="1">
        <v>0</v>
      </c>
      <c r="Q101" s="1" t="s">
        <v>534</v>
      </c>
      <c r="R101" t="s">
        <v>2825</v>
      </c>
      <c r="S101" t="s">
        <v>2927</v>
      </c>
      <c r="T101" t="s">
        <v>17</v>
      </c>
      <c r="U101" t="s">
        <v>17</v>
      </c>
    </row>
    <row r="102" spans="1:21">
      <c r="A102" s="1" t="s">
        <v>2497</v>
      </c>
      <c r="B102" s="1" t="s">
        <v>17</v>
      </c>
      <c r="C102" s="1" t="s">
        <v>33</v>
      </c>
      <c r="D102" s="1" t="s">
        <v>2391</v>
      </c>
      <c r="E102" s="1" t="s">
        <v>103</v>
      </c>
      <c r="F102" s="1" t="s">
        <v>1418</v>
      </c>
      <c r="G102" s="1"/>
      <c r="H102" s="1" t="s">
        <v>2379</v>
      </c>
      <c r="I102" s="1" t="s">
        <v>2380</v>
      </c>
      <c r="J102" s="1"/>
      <c r="K102" s="9">
        <v>8120</v>
      </c>
      <c r="L102" s="1" t="s">
        <v>2494</v>
      </c>
      <c r="M102" s="1" t="s">
        <v>15</v>
      </c>
      <c r="N102" s="1" t="s">
        <v>2831</v>
      </c>
      <c r="O102" s="1" t="s">
        <v>1418</v>
      </c>
      <c r="P102" s="1">
        <v>0</v>
      </c>
      <c r="Q102" s="1" t="s">
        <v>1418</v>
      </c>
      <c r="R102" t="s">
        <v>2825</v>
      </c>
      <c r="S102" t="s">
        <v>2831</v>
      </c>
      <c r="T102" t="s">
        <v>17</v>
      </c>
      <c r="U102" t="s">
        <v>17</v>
      </c>
    </row>
    <row r="103" spans="1:21">
      <c r="A103" s="1" t="s">
        <v>2311</v>
      </c>
      <c r="B103" s="1" t="s">
        <v>2312</v>
      </c>
      <c r="C103" s="1" t="s">
        <v>101</v>
      </c>
      <c r="D103" s="1" t="s">
        <v>124</v>
      </c>
      <c r="E103" s="1" t="s">
        <v>103</v>
      </c>
      <c r="F103" s="1" t="s">
        <v>1472</v>
      </c>
      <c r="G103" s="1" t="s">
        <v>2313</v>
      </c>
      <c r="H103" s="1" t="s">
        <v>127</v>
      </c>
      <c r="I103" s="1" t="s">
        <v>131</v>
      </c>
      <c r="J103" s="1"/>
      <c r="K103" s="9">
        <v>15708.4</v>
      </c>
      <c r="L103" s="1" t="s">
        <v>132</v>
      </c>
      <c r="M103" s="1" t="s">
        <v>15</v>
      </c>
      <c r="N103" s="1" t="s">
        <v>2942</v>
      </c>
      <c r="O103" s="1" t="s">
        <v>822</v>
      </c>
      <c r="P103" s="1">
        <v>0</v>
      </c>
      <c r="Q103" s="1" t="s">
        <v>1472</v>
      </c>
      <c r="R103" t="s">
        <v>2825</v>
      </c>
      <c r="S103" t="s">
        <v>3020</v>
      </c>
      <c r="T103" t="s">
        <v>3021</v>
      </c>
      <c r="U103" t="s">
        <v>17</v>
      </c>
    </row>
    <row r="104" spans="1:21">
      <c r="A104" s="1" t="s">
        <v>2598</v>
      </c>
      <c r="B104" s="1" t="s">
        <v>2599</v>
      </c>
      <c r="C104" s="1" t="s">
        <v>42</v>
      </c>
      <c r="D104" s="1" t="s">
        <v>42</v>
      </c>
      <c r="E104" s="1" t="s">
        <v>103</v>
      </c>
      <c r="F104" s="1" t="s">
        <v>1572</v>
      </c>
      <c r="G104" s="1"/>
      <c r="H104" s="1" t="s">
        <v>2379</v>
      </c>
      <c r="I104" s="1" t="s">
        <v>2380</v>
      </c>
      <c r="J104" s="1"/>
      <c r="K104" s="9">
        <v>46496.71</v>
      </c>
      <c r="L104" s="1" t="s">
        <v>2535</v>
      </c>
      <c r="M104" s="1" t="s">
        <v>15</v>
      </c>
      <c r="N104" s="1" t="s">
        <v>2868</v>
      </c>
      <c r="O104" s="1" t="s">
        <v>1572</v>
      </c>
      <c r="P104" s="1">
        <v>0</v>
      </c>
      <c r="Q104" s="1" t="s">
        <v>1572</v>
      </c>
      <c r="R104" t="s">
        <v>2825</v>
      </c>
      <c r="S104" t="s">
        <v>2868</v>
      </c>
      <c r="T104" t="s">
        <v>17</v>
      </c>
      <c r="U104" t="s">
        <v>17</v>
      </c>
    </row>
    <row r="105" spans="1:21">
      <c r="A105" s="1" t="s">
        <v>2600</v>
      </c>
      <c r="B105" s="1" t="s">
        <v>2601</v>
      </c>
      <c r="C105" s="1" t="s">
        <v>42</v>
      </c>
      <c r="D105" s="1" t="s">
        <v>42</v>
      </c>
      <c r="E105" s="1" t="s">
        <v>103</v>
      </c>
      <c r="F105" s="1" t="s">
        <v>1759</v>
      </c>
      <c r="G105" s="1"/>
      <c r="H105" s="1" t="s">
        <v>2379</v>
      </c>
      <c r="I105" s="1" t="s">
        <v>2380</v>
      </c>
      <c r="J105" s="1"/>
      <c r="K105" s="9">
        <v>-31626.240000000002</v>
      </c>
      <c r="L105" s="1" t="s">
        <v>2535</v>
      </c>
      <c r="M105" s="1" t="s">
        <v>15</v>
      </c>
      <c r="N105" s="1" t="s">
        <v>2930</v>
      </c>
      <c r="O105" s="1" t="s">
        <v>1759</v>
      </c>
      <c r="P105" s="1">
        <v>0</v>
      </c>
      <c r="Q105" s="1" t="s">
        <v>1759</v>
      </c>
      <c r="R105" t="s">
        <v>2825</v>
      </c>
      <c r="S105" t="s">
        <v>2930</v>
      </c>
      <c r="T105" t="s">
        <v>17</v>
      </c>
      <c r="U105" t="s">
        <v>17</v>
      </c>
    </row>
    <row r="106" spans="1:21">
      <c r="A106" s="1" t="s">
        <v>2602</v>
      </c>
      <c r="B106" s="1" t="s">
        <v>2603</v>
      </c>
      <c r="C106" s="1" t="s">
        <v>42</v>
      </c>
      <c r="D106" s="1" t="s">
        <v>42</v>
      </c>
      <c r="E106" s="1" t="s">
        <v>103</v>
      </c>
      <c r="F106" s="1" t="s">
        <v>412</v>
      </c>
      <c r="G106" s="1"/>
      <c r="H106" s="1" t="s">
        <v>2379</v>
      </c>
      <c r="I106" s="1" t="s">
        <v>2380</v>
      </c>
      <c r="J106" s="1"/>
      <c r="K106" s="9">
        <v>-30160.13</v>
      </c>
      <c r="L106" s="1" t="s">
        <v>2535</v>
      </c>
      <c r="M106" s="1" t="s">
        <v>15</v>
      </c>
      <c r="N106" s="1" t="s">
        <v>2985</v>
      </c>
      <c r="O106" s="1" t="s">
        <v>412</v>
      </c>
      <c r="P106" s="1">
        <v>0</v>
      </c>
      <c r="Q106" s="1" t="s">
        <v>412</v>
      </c>
      <c r="R106" t="s">
        <v>2825</v>
      </c>
      <c r="S106" t="s">
        <v>2985</v>
      </c>
      <c r="T106" t="s">
        <v>17</v>
      </c>
      <c r="U106" t="s">
        <v>17</v>
      </c>
    </row>
    <row r="107" spans="1:21">
      <c r="A107" s="1" t="s">
        <v>2604</v>
      </c>
      <c r="B107" s="1" t="s">
        <v>2570</v>
      </c>
      <c r="C107" s="1" t="s">
        <v>42</v>
      </c>
      <c r="D107" s="1" t="s">
        <v>42</v>
      </c>
      <c r="E107" s="1" t="s">
        <v>103</v>
      </c>
      <c r="F107" s="1" t="s">
        <v>822</v>
      </c>
      <c r="G107" s="1"/>
      <c r="H107" s="1" t="s">
        <v>2379</v>
      </c>
      <c r="I107" s="1" t="s">
        <v>2380</v>
      </c>
      <c r="J107" s="1"/>
      <c r="K107" s="9">
        <v>55712.45</v>
      </c>
      <c r="L107" s="1" t="s">
        <v>2535</v>
      </c>
      <c r="M107" s="1" t="s">
        <v>15</v>
      </c>
      <c r="N107" s="1" t="s">
        <v>2942</v>
      </c>
      <c r="O107" s="1" t="s">
        <v>822</v>
      </c>
      <c r="P107" s="1">
        <v>0</v>
      </c>
      <c r="Q107" s="1" t="s">
        <v>822</v>
      </c>
      <c r="R107" t="s">
        <v>2825</v>
      </c>
      <c r="S107" t="s">
        <v>2942</v>
      </c>
      <c r="T107" t="s">
        <v>17</v>
      </c>
      <c r="U107" t="s">
        <v>17</v>
      </c>
    </row>
    <row r="108" spans="1:21">
      <c r="A108" s="1" t="s">
        <v>2284</v>
      </c>
      <c r="B108" s="1" t="s">
        <v>2285</v>
      </c>
      <c r="C108" s="1" t="s">
        <v>101</v>
      </c>
      <c r="D108" s="1" t="s">
        <v>102</v>
      </c>
      <c r="E108" s="1" t="s">
        <v>103</v>
      </c>
      <c r="F108" s="1" t="s">
        <v>526</v>
      </c>
      <c r="G108" s="1"/>
      <c r="H108" s="1" t="s">
        <v>106</v>
      </c>
      <c r="I108" s="1" t="s">
        <v>108</v>
      </c>
      <c r="J108" s="1" t="s">
        <v>109</v>
      </c>
      <c r="K108" s="9">
        <v>-17802.84</v>
      </c>
      <c r="L108" s="1" t="s">
        <v>110</v>
      </c>
      <c r="M108" s="1" t="s">
        <v>15</v>
      </c>
      <c r="N108" s="1" t="s">
        <v>3022</v>
      </c>
      <c r="O108" s="1" t="s">
        <v>528</v>
      </c>
      <c r="P108" s="1">
        <v>0</v>
      </c>
      <c r="Q108" s="1" t="s">
        <v>526</v>
      </c>
      <c r="R108" t="s">
        <v>2823</v>
      </c>
      <c r="S108" t="s">
        <v>3023</v>
      </c>
      <c r="T108" t="s">
        <v>17</v>
      </c>
      <c r="U108" t="s">
        <v>3024</v>
      </c>
    </row>
    <row r="109" spans="1:21">
      <c r="A109" s="1" t="s">
        <v>495</v>
      </c>
      <c r="B109" s="1" t="s">
        <v>496</v>
      </c>
      <c r="C109" s="1" t="s">
        <v>40</v>
      </c>
      <c r="D109" s="1" t="s">
        <v>124</v>
      </c>
      <c r="E109" s="1" t="s">
        <v>103</v>
      </c>
      <c r="F109" s="1" t="s">
        <v>498</v>
      </c>
      <c r="G109" s="1" t="s">
        <v>497</v>
      </c>
      <c r="H109" s="1" t="s">
        <v>127</v>
      </c>
      <c r="I109" s="1" t="s">
        <v>131</v>
      </c>
      <c r="J109" s="1"/>
      <c r="K109" s="9">
        <v>15080.05</v>
      </c>
      <c r="L109" s="1" t="s">
        <v>146</v>
      </c>
      <c r="M109" s="1" t="s">
        <v>15</v>
      </c>
      <c r="N109" s="1" t="s">
        <v>3025</v>
      </c>
      <c r="O109" s="1" t="s">
        <v>197</v>
      </c>
      <c r="P109" s="1">
        <v>0</v>
      </c>
      <c r="Q109" s="1" t="s">
        <v>498</v>
      </c>
      <c r="R109" t="s">
        <v>2825</v>
      </c>
      <c r="S109" t="s">
        <v>3026</v>
      </c>
      <c r="T109" t="s">
        <v>3027</v>
      </c>
      <c r="U109" t="s">
        <v>17</v>
      </c>
    </row>
    <row r="110" spans="1:21">
      <c r="A110" s="1" t="s">
        <v>2605</v>
      </c>
      <c r="B110" s="1" t="s">
        <v>2606</v>
      </c>
      <c r="C110" s="1" t="s">
        <v>42</v>
      </c>
      <c r="D110" s="1" t="s">
        <v>42</v>
      </c>
      <c r="E110" s="1" t="s">
        <v>103</v>
      </c>
      <c r="F110" s="1" t="s">
        <v>2607</v>
      </c>
      <c r="G110" s="1"/>
      <c r="H110" s="1" t="s">
        <v>2379</v>
      </c>
      <c r="I110" s="1" t="s">
        <v>2380</v>
      </c>
      <c r="J110" s="1"/>
      <c r="K110" s="9">
        <v>-14451.72</v>
      </c>
      <c r="L110" s="1" t="s">
        <v>2535</v>
      </c>
      <c r="M110" s="1" t="s">
        <v>15</v>
      </c>
      <c r="N110" s="1" t="s">
        <v>3028</v>
      </c>
      <c r="O110" s="1" t="s">
        <v>2607</v>
      </c>
      <c r="P110" s="1">
        <v>0</v>
      </c>
      <c r="Q110" s="1" t="s">
        <v>2607</v>
      </c>
      <c r="R110" t="s">
        <v>2823</v>
      </c>
      <c r="S110" t="s">
        <v>3028</v>
      </c>
      <c r="T110" t="s">
        <v>17</v>
      </c>
      <c r="U110" t="s">
        <v>17</v>
      </c>
    </row>
    <row r="111" spans="1:21">
      <c r="A111" s="1" t="s">
        <v>481</v>
      </c>
      <c r="B111" s="1" t="s">
        <v>482</v>
      </c>
      <c r="C111" s="1" t="s">
        <v>101</v>
      </c>
      <c r="D111" s="1" t="s">
        <v>483</v>
      </c>
      <c r="E111" s="1" t="s">
        <v>103</v>
      </c>
      <c r="F111" s="1" t="s">
        <v>484</v>
      </c>
      <c r="G111" s="1"/>
      <c r="H111" s="1" t="s">
        <v>106</v>
      </c>
      <c r="I111" s="1" t="s">
        <v>108</v>
      </c>
      <c r="J111" s="1" t="s">
        <v>109</v>
      </c>
      <c r="K111" s="9">
        <v>-15498.94</v>
      </c>
      <c r="L111" s="1" t="s">
        <v>486</v>
      </c>
      <c r="M111" s="1" t="s">
        <v>15</v>
      </c>
      <c r="N111" s="1" t="s">
        <v>2918</v>
      </c>
      <c r="O111" s="1" t="s">
        <v>1986</v>
      </c>
      <c r="P111" s="1">
        <v>0</v>
      </c>
      <c r="Q111" s="1" t="s">
        <v>484</v>
      </c>
      <c r="R111" t="s">
        <v>2823</v>
      </c>
      <c r="S111" t="s">
        <v>3029</v>
      </c>
      <c r="T111" t="s">
        <v>17</v>
      </c>
      <c r="U111" t="s">
        <v>3030</v>
      </c>
    </row>
    <row r="112" spans="1:21">
      <c r="A112" s="1" t="s">
        <v>122</v>
      </c>
      <c r="B112" s="1" t="s">
        <v>123</v>
      </c>
      <c r="C112" s="1" t="s">
        <v>101</v>
      </c>
      <c r="D112" s="1" t="s">
        <v>124</v>
      </c>
      <c r="E112" s="1" t="s">
        <v>103</v>
      </c>
      <c r="F112" s="1" t="s">
        <v>130</v>
      </c>
      <c r="G112" s="1" t="s">
        <v>126</v>
      </c>
      <c r="H112" s="1" t="s">
        <v>127</v>
      </c>
      <c r="I112" s="1" t="s">
        <v>131</v>
      </c>
      <c r="J112" s="1"/>
      <c r="K112" s="9">
        <v>15498.94</v>
      </c>
      <c r="L112" s="1" t="s">
        <v>132</v>
      </c>
      <c r="M112" s="1" t="s">
        <v>15</v>
      </c>
      <c r="N112" s="1" t="s">
        <v>3031</v>
      </c>
      <c r="O112" s="1" t="s">
        <v>469</v>
      </c>
      <c r="P112" s="1">
        <v>0</v>
      </c>
      <c r="Q112" s="1" t="s">
        <v>130</v>
      </c>
      <c r="R112" t="s">
        <v>2825</v>
      </c>
      <c r="S112" t="s">
        <v>3032</v>
      </c>
      <c r="T112" t="s">
        <v>3033</v>
      </c>
      <c r="U112" t="s">
        <v>17</v>
      </c>
    </row>
    <row r="113" spans="1:21">
      <c r="A113" s="1" t="s">
        <v>1074</v>
      </c>
      <c r="B113" s="1" t="s">
        <v>1075</v>
      </c>
      <c r="C113" s="1" t="s">
        <v>101</v>
      </c>
      <c r="D113" s="1" t="s">
        <v>124</v>
      </c>
      <c r="E113" s="1" t="s">
        <v>103</v>
      </c>
      <c r="F113" s="1" t="s">
        <v>752</v>
      </c>
      <c r="G113" s="1" t="s">
        <v>1076</v>
      </c>
      <c r="H113" s="1" t="s">
        <v>127</v>
      </c>
      <c r="I113" s="1" t="s">
        <v>131</v>
      </c>
      <c r="J113" s="1"/>
      <c r="K113" s="9">
        <v>15289.51</v>
      </c>
      <c r="L113" s="1" t="s">
        <v>132</v>
      </c>
      <c r="M113" s="1" t="s">
        <v>15</v>
      </c>
      <c r="N113" s="1" t="s">
        <v>2879</v>
      </c>
      <c r="O113" s="1" t="s">
        <v>278</v>
      </c>
      <c r="P113" s="1">
        <v>0</v>
      </c>
      <c r="Q113" s="1" t="s">
        <v>752</v>
      </c>
      <c r="R113" t="s">
        <v>2825</v>
      </c>
      <c r="S113" t="s">
        <v>3034</v>
      </c>
      <c r="T113" t="s">
        <v>3035</v>
      </c>
      <c r="U113" t="s">
        <v>17</v>
      </c>
    </row>
    <row r="114" spans="1:21">
      <c r="A114" s="1" t="s">
        <v>2214</v>
      </c>
      <c r="B114" s="1" t="s">
        <v>2215</v>
      </c>
      <c r="C114" s="1" t="s">
        <v>101</v>
      </c>
      <c r="D114" s="1" t="s">
        <v>102</v>
      </c>
      <c r="E114" s="1" t="s">
        <v>103</v>
      </c>
      <c r="F114" s="1" t="s">
        <v>2216</v>
      </c>
      <c r="G114" s="1"/>
      <c r="H114" s="1" t="s">
        <v>106</v>
      </c>
      <c r="I114" s="1" t="s">
        <v>108</v>
      </c>
      <c r="J114" s="1" t="s">
        <v>109</v>
      </c>
      <c r="K114" s="9">
        <v>-16127.29</v>
      </c>
      <c r="L114" s="1" t="s">
        <v>110</v>
      </c>
      <c r="M114" s="1" t="s">
        <v>15</v>
      </c>
      <c r="N114" s="1" t="s">
        <v>3036</v>
      </c>
      <c r="O114" s="1" t="s">
        <v>1826</v>
      </c>
      <c r="P114" s="1">
        <v>0</v>
      </c>
      <c r="Q114" s="1" t="s">
        <v>2216</v>
      </c>
      <c r="R114" t="s">
        <v>2823</v>
      </c>
      <c r="S114" t="s">
        <v>3037</v>
      </c>
      <c r="T114" t="s">
        <v>17</v>
      </c>
      <c r="U114" t="s">
        <v>3038</v>
      </c>
    </row>
    <row r="115" spans="1:21">
      <c r="A115" s="1" t="s">
        <v>2498</v>
      </c>
      <c r="B115" s="1" t="s">
        <v>17</v>
      </c>
      <c r="C115" s="1" t="s">
        <v>33</v>
      </c>
      <c r="D115" s="1" t="s">
        <v>2391</v>
      </c>
      <c r="E115" s="1" t="s">
        <v>103</v>
      </c>
      <c r="F115" s="1" t="s">
        <v>298</v>
      </c>
      <c r="G115" s="1"/>
      <c r="H115" s="1" t="s">
        <v>2379</v>
      </c>
      <c r="I115" s="1" t="s">
        <v>2380</v>
      </c>
      <c r="J115" s="1"/>
      <c r="K115" s="9">
        <v>-68999.12</v>
      </c>
      <c r="L115" s="1" t="s">
        <v>2494</v>
      </c>
      <c r="M115" s="1" t="s">
        <v>15</v>
      </c>
      <c r="N115" s="1" t="s">
        <v>2832</v>
      </c>
      <c r="O115" s="1" t="s">
        <v>298</v>
      </c>
      <c r="P115" s="1">
        <v>0</v>
      </c>
      <c r="Q115" s="1" t="s">
        <v>298</v>
      </c>
      <c r="R115" t="s">
        <v>2825</v>
      </c>
      <c r="S115" t="s">
        <v>2832</v>
      </c>
      <c r="T115" t="s">
        <v>17</v>
      </c>
      <c r="U115" t="s">
        <v>17</v>
      </c>
    </row>
    <row r="116" spans="1:21">
      <c r="A116" s="1" t="s">
        <v>1315</v>
      </c>
      <c r="B116" s="1" t="s">
        <v>1316</v>
      </c>
      <c r="C116" s="1" t="s">
        <v>101</v>
      </c>
      <c r="D116" s="1" t="s">
        <v>124</v>
      </c>
      <c r="E116" s="1" t="s">
        <v>103</v>
      </c>
      <c r="F116" s="1" t="s">
        <v>531</v>
      </c>
      <c r="G116" s="1" t="s">
        <v>1317</v>
      </c>
      <c r="H116" s="1" t="s">
        <v>127</v>
      </c>
      <c r="I116" s="1" t="s">
        <v>131</v>
      </c>
      <c r="J116" s="1"/>
      <c r="K116" s="9">
        <v>17593.400000000001</v>
      </c>
      <c r="L116" s="1" t="s">
        <v>132</v>
      </c>
      <c r="M116" s="1" t="s">
        <v>15</v>
      </c>
      <c r="N116" s="1" t="s">
        <v>2988</v>
      </c>
      <c r="O116" s="1" t="s">
        <v>151</v>
      </c>
      <c r="P116" s="1">
        <v>0</v>
      </c>
      <c r="Q116" s="1" t="s">
        <v>531</v>
      </c>
      <c r="R116" t="s">
        <v>2825</v>
      </c>
      <c r="S116" t="s">
        <v>3039</v>
      </c>
      <c r="T116" t="s">
        <v>3040</v>
      </c>
      <c r="U116" t="s">
        <v>17</v>
      </c>
    </row>
    <row r="117" spans="1:21">
      <c r="A117" s="1" t="s">
        <v>2608</v>
      </c>
      <c r="B117" s="1" t="s">
        <v>2575</v>
      </c>
      <c r="C117" s="1" t="s">
        <v>42</v>
      </c>
      <c r="D117" s="1" t="s">
        <v>42</v>
      </c>
      <c r="E117" s="1" t="s">
        <v>103</v>
      </c>
      <c r="F117" s="1" t="s">
        <v>1159</v>
      </c>
      <c r="G117" s="1"/>
      <c r="H117" s="1" t="s">
        <v>2379</v>
      </c>
      <c r="I117" s="1" t="s">
        <v>2380</v>
      </c>
      <c r="J117" s="1"/>
      <c r="K117" s="9">
        <v>30788.45</v>
      </c>
      <c r="L117" s="1" t="s">
        <v>2535</v>
      </c>
      <c r="M117" s="1" t="s">
        <v>15</v>
      </c>
      <c r="N117" s="1" t="s">
        <v>2971</v>
      </c>
      <c r="O117" s="1" t="s">
        <v>1159</v>
      </c>
      <c r="P117" s="1">
        <v>0</v>
      </c>
      <c r="Q117" s="1" t="s">
        <v>1159</v>
      </c>
      <c r="R117" t="s">
        <v>2825</v>
      </c>
      <c r="S117" t="s">
        <v>2971</v>
      </c>
      <c r="T117" t="s">
        <v>17</v>
      </c>
      <c r="U117" t="s">
        <v>17</v>
      </c>
    </row>
    <row r="118" spans="1:21">
      <c r="A118" s="1" t="s">
        <v>1963</v>
      </c>
      <c r="B118" s="1" t="s">
        <v>1964</v>
      </c>
      <c r="C118" s="1" t="s">
        <v>101</v>
      </c>
      <c r="D118" s="1" t="s">
        <v>124</v>
      </c>
      <c r="E118" s="1" t="s">
        <v>103</v>
      </c>
      <c r="F118" s="1" t="s">
        <v>1230</v>
      </c>
      <c r="G118" s="1" t="s">
        <v>1965</v>
      </c>
      <c r="H118" s="1" t="s">
        <v>127</v>
      </c>
      <c r="I118" s="1" t="s">
        <v>131</v>
      </c>
      <c r="J118" s="1"/>
      <c r="K118" s="9">
        <v>23845.3</v>
      </c>
      <c r="L118" s="1" t="s">
        <v>132</v>
      </c>
      <c r="M118" s="1" t="s">
        <v>15</v>
      </c>
      <c r="N118" s="1" t="s">
        <v>3041</v>
      </c>
      <c r="O118" s="1" t="s">
        <v>3042</v>
      </c>
      <c r="P118" s="1">
        <v>0</v>
      </c>
      <c r="Q118" s="1" t="s">
        <v>1230</v>
      </c>
      <c r="R118" t="s">
        <v>2815</v>
      </c>
      <c r="S118" t="s">
        <v>3043</v>
      </c>
      <c r="T118" t="s">
        <v>3044</v>
      </c>
      <c r="U118" t="s">
        <v>17</v>
      </c>
    </row>
    <row r="119" spans="1:21">
      <c r="A119" s="1" t="s">
        <v>819</v>
      </c>
      <c r="B119" s="1" t="s">
        <v>820</v>
      </c>
      <c r="C119" s="1" t="s">
        <v>101</v>
      </c>
      <c r="D119" s="1" t="s">
        <v>352</v>
      </c>
      <c r="E119" s="1" t="s">
        <v>103</v>
      </c>
      <c r="F119" s="1" t="s">
        <v>822</v>
      </c>
      <c r="G119" s="1"/>
      <c r="H119" s="1" t="s">
        <v>106</v>
      </c>
      <c r="I119" s="1" t="s">
        <v>108</v>
      </c>
      <c r="J119" s="1" t="s">
        <v>109</v>
      </c>
      <c r="K119" s="9">
        <v>-55712.45</v>
      </c>
      <c r="L119" s="1" t="s">
        <v>356</v>
      </c>
      <c r="M119" s="1" t="s">
        <v>15</v>
      </c>
      <c r="N119" s="1" t="s">
        <v>2942</v>
      </c>
      <c r="O119" s="1" t="s">
        <v>822</v>
      </c>
      <c r="P119" s="1">
        <v>0</v>
      </c>
      <c r="Q119" s="1" t="s">
        <v>822</v>
      </c>
      <c r="R119" t="s">
        <v>2823</v>
      </c>
      <c r="S119" t="s">
        <v>3045</v>
      </c>
      <c r="T119" t="s">
        <v>17</v>
      </c>
      <c r="U119" t="s">
        <v>3046</v>
      </c>
    </row>
    <row r="120" spans="1:21">
      <c r="A120" s="1" t="s">
        <v>2499</v>
      </c>
      <c r="B120" s="1" t="s">
        <v>17</v>
      </c>
      <c r="C120" s="1" t="s">
        <v>33</v>
      </c>
      <c r="D120" s="1" t="s">
        <v>2391</v>
      </c>
      <c r="E120" s="1" t="s">
        <v>103</v>
      </c>
      <c r="F120" s="1" t="s">
        <v>752</v>
      </c>
      <c r="G120" s="1"/>
      <c r="H120" s="1" t="s">
        <v>2379</v>
      </c>
      <c r="I120" s="1" t="s">
        <v>2380</v>
      </c>
      <c r="J120" s="1"/>
      <c r="K120" s="9">
        <v>-38420.120000000003</v>
      </c>
      <c r="L120" s="1" t="s">
        <v>2494</v>
      </c>
      <c r="M120" s="1" t="s">
        <v>15</v>
      </c>
      <c r="N120" s="1" t="s">
        <v>2824</v>
      </c>
      <c r="O120" s="1" t="s">
        <v>752</v>
      </c>
      <c r="P120" s="1">
        <v>0</v>
      </c>
      <c r="Q120" s="1" t="s">
        <v>752</v>
      </c>
      <c r="R120" t="s">
        <v>2825</v>
      </c>
      <c r="S120" t="s">
        <v>2824</v>
      </c>
      <c r="T120" t="s">
        <v>17</v>
      </c>
      <c r="U120" t="s">
        <v>17</v>
      </c>
    </row>
    <row r="121" spans="1:21">
      <c r="A121" s="1" t="s">
        <v>2609</v>
      </c>
      <c r="B121" s="1" t="s">
        <v>2610</v>
      </c>
      <c r="C121" s="1" t="s">
        <v>42</v>
      </c>
      <c r="D121" s="1" t="s">
        <v>42</v>
      </c>
      <c r="E121" s="1" t="s">
        <v>103</v>
      </c>
      <c r="F121" s="1" t="s">
        <v>151</v>
      </c>
      <c r="G121" s="1"/>
      <c r="H121" s="1" t="s">
        <v>2379</v>
      </c>
      <c r="I121" s="1" t="s">
        <v>2380</v>
      </c>
      <c r="J121" s="1"/>
      <c r="K121" s="9">
        <v>16127.29</v>
      </c>
      <c r="L121" s="1" t="s">
        <v>2535</v>
      </c>
      <c r="M121" s="1" t="s">
        <v>15</v>
      </c>
      <c r="N121" s="1" t="s">
        <v>3047</v>
      </c>
      <c r="O121" s="1" t="s">
        <v>151</v>
      </c>
      <c r="P121" s="1">
        <v>0</v>
      </c>
      <c r="Q121" s="1" t="s">
        <v>151</v>
      </c>
      <c r="R121" t="s">
        <v>2825</v>
      </c>
      <c r="S121" t="s">
        <v>3047</v>
      </c>
      <c r="T121" t="s">
        <v>17</v>
      </c>
      <c r="U121" t="s">
        <v>17</v>
      </c>
    </row>
    <row r="122" spans="1:21">
      <c r="A122" s="1" t="s">
        <v>580</v>
      </c>
      <c r="B122" s="1" t="s">
        <v>581</v>
      </c>
      <c r="C122" s="1" t="s">
        <v>101</v>
      </c>
      <c r="D122" s="1" t="s">
        <v>124</v>
      </c>
      <c r="E122" s="1" t="s">
        <v>103</v>
      </c>
      <c r="F122" s="1" t="s">
        <v>582</v>
      </c>
      <c r="G122" s="1" t="s">
        <v>583</v>
      </c>
      <c r="H122" s="1" t="s">
        <v>127</v>
      </c>
      <c r="I122" s="1" t="s">
        <v>131</v>
      </c>
      <c r="J122" s="1"/>
      <c r="K122" s="9">
        <v>30658.240000000002</v>
      </c>
      <c r="L122" s="1" t="s">
        <v>132</v>
      </c>
      <c r="M122" s="1" t="s">
        <v>15</v>
      </c>
      <c r="N122" s="1" t="s">
        <v>2982</v>
      </c>
      <c r="O122" s="1" t="s">
        <v>2259</v>
      </c>
      <c r="P122" s="1">
        <v>0</v>
      </c>
      <c r="Q122" s="1" t="s">
        <v>582</v>
      </c>
      <c r="R122" t="s">
        <v>2815</v>
      </c>
      <c r="S122" t="s">
        <v>3048</v>
      </c>
      <c r="T122" t="s">
        <v>3049</v>
      </c>
      <c r="U122" t="s">
        <v>17</v>
      </c>
    </row>
    <row r="123" spans="1:21">
      <c r="A123" s="1" t="s">
        <v>282</v>
      </c>
      <c r="B123" s="1" t="s">
        <v>283</v>
      </c>
      <c r="C123" s="1" t="s">
        <v>101</v>
      </c>
      <c r="D123" s="1" t="s">
        <v>124</v>
      </c>
      <c r="E123" s="1" t="s">
        <v>103</v>
      </c>
      <c r="F123" s="1" t="s">
        <v>190</v>
      </c>
      <c r="G123" s="1" t="s">
        <v>284</v>
      </c>
      <c r="H123" s="1" t="s">
        <v>127</v>
      </c>
      <c r="I123" s="1" t="s">
        <v>131</v>
      </c>
      <c r="J123" s="1"/>
      <c r="K123" s="9">
        <v>17802.84</v>
      </c>
      <c r="L123" s="1" t="s">
        <v>132</v>
      </c>
      <c r="M123" s="1" t="s">
        <v>15</v>
      </c>
      <c r="N123" s="1" t="s">
        <v>3022</v>
      </c>
      <c r="O123" s="1" t="s">
        <v>528</v>
      </c>
      <c r="P123" s="1">
        <v>0</v>
      </c>
      <c r="Q123" s="1" t="s">
        <v>190</v>
      </c>
      <c r="R123" t="s">
        <v>2825</v>
      </c>
      <c r="S123" t="s">
        <v>3050</v>
      </c>
      <c r="T123" t="s">
        <v>3051</v>
      </c>
      <c r="U123" t="s">
        <v>17</v>
      </c>
    </row>
    <row r="124" spans="1:21">
      <c r="A124" s="1" t="s">
        <v>2611</v>
      </c>
      <c r="B124" s="1" t="s">
        <v>2612</v>
      </c>
      <c r="C124" s="1" t="s">
        <v>42</v>
      </c>
      <c r="D124" s="1" t="s">
        <v>42</v>
      </c>
      <c r="E124" s="1" t="s">
        <v>103</v>
      </c>
      <c r="F124" s="1" t="s">
        <v>1286</v>
      </c>
      <c r="G124" s="1"/>
      <c r="H124" s="1" t="s">
        <v>2379</v>
      </c>
      <c r="I124" s="1" t="s">
        <v>2380</v>
      </c>
      <c r="J124" s="1"/>
      <c r="K124" s="9">
        <v>16127.29</v>
      </c>
      <c r="L124" s="1" t="s">
        <v>2535</v>
      </c>
      <c r="M124" s="1" t="s">
        <v>15</v>
      </c>
      <c r="N124" s="1" t="s">
        <v>3052</v>
      </c>
      <c r="O124" s="1" t="s">
        <v>1286</v>
      </c>
      <c r="P124" s="1">
        <v>0</v>
      </c>
      <c r="Q124" s="1" t="s">
        <v>1286</v>
      </c>
      <c r="R124" t="s">
        <v>2825</v>
      </c>
      <c r="S124" t="s">
        <v>3052</v>
      </c>
      <c r="T124" t="s">
        <v>17</v>
      </c>
      <c r="U124" t="s">
        <v>17</v>
      </c>
    </row>
    <row r="125" spans="1:21">
      <c r="A125" s="1" t="s">
        <v>1416</v>
      </c>
      <c r="B125" s="1" t="s">
        <v>1417</v>
      </c>
      <c r="C125" s="1" t="s">
        <v>101</v>
      </c>
      <c r="D125" s="1" t="s">
        <v>124</v>
      </c>
      <c r="E125" s="1" t="s">
        <v>103</v>
      </c>
      <c r="F125" s="1" t="s">
        <v>1418</v>
      </c>
      <c r="G125" s="1" t="s">
        <v>1419</v>
      </c>
      <c r="H125" s="1" t="s">
        <v>127</v>
      </c>
      <c r="I125" s="1" t="s">
        <v>131</v>
      </c>
      <c r="J125" s="1"/>
      <c r="K125" s="9">
        <v>10472.26</v>
      </c>
      <c r="L125" s="1" t="s">
        <v>132</v>
      </c>
      <c r="M125" s="1" t="s">
        <v>15</v>
      </c>
      <c r="N125" s="1" t="s">
        <v>2905</v>
      </c>
      <c r="O125" s="1" t="s">
        <v>174</v>
      </c>
      <c r="P125" s="1">
        <v>0</v>
      </c>
      <c r="Q125" s="1" t="s">
        <v>1418</v>
      </c>
      <c r="R125" t="s">
        <v>2825</v>
      </c>
      <c r="S125" t="s">
        <v>3053</v>
      </c>
      <c r="T125" t="s">
        <v>3054</v>
      </c>
      <c r="U125" t="s">
        <v>17</v>
      </c>
    </row>
    <row r="126" spans="1:21">
      <c r="A126" s="1" t="s">
        <v>2613</v>
      </c>
      <c r="B126" s="1" t="s">
        <v>2614</v>
      </c>
      <c r="C126" s="1" t="s">
        <v>42</v>
      </c>
      <c r="D126" s="1" t="s">
        <v>42</v>
      </c>
      <c r="E126" s="1" t="s">
        <v>103</v>
      </c>
      <c r="F126" s="1" t="s">
        <v>130</v>
      </c>
      <c r="G126" s="1"/>
      <c r="H126" s="1" t="s">
        <v>2379</v>
      </c>
      <c r="I126" s="1" t="s">
        <v>2380</v>
      </c>
      <c r="J126" s="1"/>
      <c r="K126" s="9">
        <v>-14661.16</v>
      </c>
      <c r="L126" s="1" t="s">
        <v>2535</v>
      </c>
      <c r="M126" s="1" t="s">
        <v>15</v>
      </c>
      <c r="N126" s="1" t="s">
        <v>3055</v>
      </c>
      <c r="O126" s="1" t="s">
        <v>130</v>
      </c>
      <c r="P126" s="1">
        <v>0</v>
      </c>
      <c r="Q126" s="1" t="s">
        <v>130</v>
      </c>
      <c r="R126" t="s">
        <v>2825</v>
      </c>
      <c r="S126" t="s">
        <v>3055</v>
      </c>
      <c r="T126" t="s">
        <v>17</v>
      </c>
      <c r="U126" t="s">
        <v>17</v>
      </c>
    </row>
    <row r="127" spans="1:21">
      <c r="A127" s="1" t="s">
        <v>1289</v>
      </c>
      <c r="B127" s="1" t="s">
        <v>1290</v>
      </c>
      <c r="C127" s="1" t="s">
        <v>101</v>
      </c>
      <c r="D127" s="1" t="s">
        <v>124</v>
      </c>
      <c r="E127" s="1" t="s">
        <v>103</v>
      </c>
      <c r="F127" s="1" t="s">
        <v>511</v>
      </c>
      <c r="G127" s="1" t="s">
        <v>1291</v>
      </c>
      <c r="H127" s="1" t="s">
        <v>127</v>
      </c>
      <c r="I127" s="1" t="s">
        <v>131</v>
      </c>
      <c r="J127" s="1"/>
      <c r="K127" s="9">
        <v>12147.83</v>
      </c>
      <c r="L127" s="1" t="s">
        <v>132</v>
      </c>
      <c r="M127" s="1" t="s">
        <v>15</v>
      </c>
      <c r="N127" s="1" t="s">
        <v>3056</v>
      </c>
      <c r="O127" s="1" t="s">
        <v>104</v>
      </c>
      <c r="P127" s="1">
        <v>0</v>
      </c>
      <c r="Q127" s="1" t="s">
        <v>511</v>
      </c>
      <c r="R127" t="s">
        <v>2825</v>
      </c>
      <c r="S127" t="s">
        <v>3057</v>
      </c>
      <c r="T127" t="s">
        <v>3058</v>
      </c>
      <c r="U127" t="s">
        <v>17</v>
      </c>
    </row>
    <row r="128" spans="1:21">
      <c r="A128" s="1" t="s">
        <v>1622</v>
      </c>
      <c r="B128" s="1" t="s">
        <v>1623</v>
      </c>
      <c r="C128" s="1" t="s">
        <v>101</v>
      </c>
      <c r="D128" s="1" t="s">
        <v>102</v>
      </c>
      <c r="E128" s="1" t="s">
        <v>103</v>
      </c>
      <c r="F128" s="1" t="s">
        <v>1624</v>
      </c>
      <c r="G128" s="1"/>
      <c r="H128" s="1" t="s">
        <v>106</v>
      </c>
      <c r="I128" s="1" t="s">
        <v>108</v>
      </c>
      <c r="J128" s="1" t="s">
        <v>109</v>
      </c>
      <c r="K128" s="9">
        <v>-32672</v>
      </c>
      <c r="L128" s="1" t="s">
        <v>110</v>
      </c>
      <c r="M128" s="1" t="s">
        <v>15</v>
      </c>
      <c r="N128" s="1" t="s">
        <v>2941</v>
      </c>
      <c r="O128" s="1" t="s">
        <v>2566</v>
      </c>
      <c r="P128" s="1">
        <v>0</v>
      </c>
      <c r="Q128" s="1" t="s">
        <v>1624</v>
      </c>
      <c r="R128" t="s">
        <v>2823</v>
      </c>
      <c r="S128" t="s">
        <v>3059</v>
      </c>
      <c r="T128" t="s">
        <v>17</v>
      </c>
      <c r="U128" t="s">
        <v>3060</v>
      </c>
    </row>
    <row r="129" spans="1:21">
      <c r="A129" s="1" t="s">
        <v>2333</v>
      </c>
      <c r="B129" s="1" t="s">
        <v>2334</v>
      </c>
      <c r="C129" s="1" t="s">
        <v>40</v>
      </c>
      <c r="D129" s="1" t="s">
        <v>124</v>
      </c>
      <c r="E129" s="1" t="s">
        <v>103</v>
      </c>
      <c r="F129" s="1" t="s">
        <v>2335</v>
      </c>
      <c r="G129" s="1" t="s">
        <v>2336</v>
      </c>
      <c r="H129" s="1" t="s">
        <v>127</v>
      </c>
      <c r="I129" s="1" t="s">
        <v>131</v>
      </c>
      <c r="J129" s="1"/>
      <c r="K129" s="9">
        <v>15080.05</v>
      </c>
      <c r="L129" s="1" t="s">
        <v>146</v>
      </c>
      <c r="M129" s="1" t="s">
        <v>15</v>
      </c>
      <c r="N129" s="1" t="s">
        <v>3061</v>
      </c>
      <c r="O129" s="1" t="s">
        <v>1256</v>
      </c>
      <c r="P129" s="1">
        <v>0</v>
      </c>
      <c r="Q129" s="1" t="s">
        <v>2335</v>
      </c>
      <c r="R129" t="s">
        <v>2825</v>
      </c>
      <c r="S129" t="s">
        <v>3062</v>
      </c>
      <c r="T129" t="s">
        <v>3063</v>
      </c>
      <c r="U129" t="s">
        <v>17</v>
      </c>
    </row>
    <row r="130" spans="1:21">
      <c r="A130" s="1" t="s">
        <v>2615</v>
      </c>
      <c r="B130" s="1" t="s">
        <v>2616</v>
      </c>
      <c r="C130" s="1" t="s">
        <v>42</v>
      </c>
      <c r="D130" s="1" t="s">
        <v>42</v>
      </c>
      <c r="E130" s="1" t="s">
        <v>103</v>
      </c>
      <c r="F130" s="1" t="s">
        <v>1117</v>
      </c>
      <c r="G130" s="1"/>
      <c r="H130" s="1" t="s">
        <v>2379</v>
      </c>
      <c r="I130" s="1" t="s">
        <v>2380</v>
      </c>
      <c r="J130" s="1"/>
      <c r="K130" s="9">
        <v>-21572.87</v>
      </c>
      <c r="L130" s="1" t="s">
        <v>2535</v>
      </c>
      <c r="M130" s="1" t="s">
        <v>15</v>
      </c>
      <c r="N130" s="1" t="s">
        <v>2822</v>
      </c>
      <c r="O130" s="1" t="s">
        <v>1117</v>
      </c>
      <c r="P130" s="1">
        <v>0</v>
      </c>
      <c r="Q130" s="1" t="s">
        <v>1117</v>
      </c>
      <c r="R130" t="s">
        <v>2823</v>
      </c>
      <c r="S130" t="s">
        <v>2822</v>
      </c>
      <c r="T130" t="s">
        <v>17</v>
      </c>
      <c r="U130" t="s">
        <v>17</v>
      </c>
    </row>
    <row r="131" spans="1:21">
      <c r="A131" s="1" t="s">
        <v>893</v>
      </c>
      <c r="B131" s="1" t="s">
        <v>894</v>
      </c>
      <c r="C131" s="1" t="s">
        <v>101</v>
      </c>
      <c r="D131" s="1" t="s">
        <v>124</v>
      </c>
      <c r="E131" s="1" t="s">
        <v>103</v>
      </c>
      <c r="F131" s="1" t="s">
        <v>895</v>
      </c>
      <c r="G131" s="1" t="s">
        <v>896</v>
      </c>
      <c r="H131" s="1" t="s">
        <v>127</v>
      </c>
      <c r="I131" s="1" t="s">
        <v>131</v>
      </c>
      <c r="J131" s="1"/>
      <c r="K131" s="9">
        <v>15498.94</v>
      </c>
      <c r="L131" s="1" t="s">
        <v>132</v>
      </c>
      <c r="M131" s="1" t="s">
        <v>15</v>
      </c>
      <c r="N131" s="1" t="s">
        <v>3064</v>
      </c>
      <c r="O131" s="1" t="s">
        <v>1011</v>
      </c>
      <c r="P131" s="1">
        <v>0</v>
      </c>
      <c r="Q131" s="1" t="s">
        <v>895</v>
      </c>
      <c r="R131" t="s">
        <v>2825</v>
      </c>
      <c r="S131" t="s">
        <v>3065</v>
      </c>
      <c r="T131" t="s">
        <v>3066</v>
      </c>
      <c r="U131" t="s">
        <v>17</v>
      </c>
    </row>
    <row r="132" spans="1:21">
      <c r="A132" s="1" t="s">
        <v>933</v>
      </c>
      <c r="B132" s="1" t="s">
        <v>934</v>
      </c>
      <c r="C132" s="1" t="s">
        <v>101</v>
      </c>
      <c r="D132" s="1" t="s">
        <v>352</v>
      </c>
      <c r="E132" s="1" t="s">
        <v>103</v>
      </c>
      <c r="F132" s="1" t="s">
        <v>416</v>
      </c>
      <c r="G132" s="1"/>
      <c r="H132" s="1" t="s">
        <v>106</v>
      </c>
      <c r="I132" s="1" t="s">
        <v>108</v>
      </c>
      <c r="J132" s="1" t="s">
        <v>109</v>
      </c>
      <c r="K132" s="9">
        <v>-61574</v>
      </c>
      <c r="L132" s="1" t="s">
        <v>356</v>
      </c>
      <c r="M132" s="1" t="s">
        <v>15</v>
      </c>
      <c r="N132" s="1" t="s">
        <v>2834</v>
      </c>
      <c r="O132" s="1" t="s">
        <v>1117</v>
      </c>
      <c r="P132" s="1">
        <v>0</v>
      </c>
      <c r="Q132" s="1" t="s">
        <v>416</v>
      </c>
      <c r="R132" t="s">
        <v>2823</v>
      </c>
      <c r="S132" t="s">
        <v>3067</v>
      </c>
      <c r="T132" t="s">
        <v>17</v>
      </c>
      <c r="U132" t="s">
        <v>3068</v>
      </c>
    </row>
    <row r="133" spans="1:21">
      <c r="A133" s="1" t="s">
        <v>2617</v>
      </c>
      <c r="B133" s="1" t="s">
        <v>2618</v>
      </c>
      <c r="C133" s="1" t="s">
        <v>42</v>
      </c>
      <c r="D133" s="1" t="s">
        <v>42</v>
      </c>
      <c r="E133" s="1" t="s">
        <v>103</v>
      </c>
      <c r="F133" s="1" t="s">
        <v>1901</v>
      </c>
      <c r="G133" s="1"/>
      <c r="H133" s="1" t="s">
        <v>2379</v>
      </c>
      <c r="I133" s="1" t="s">
        <v>2380</v>
      </c>
      <c r="J133" s="1"/>
      <c r="K133" s="9">
        <v>18431</v>
      </c>
      <c r="L133" s="1" t="s">
        <v>2535</v>
      </c>
      <c r="M133" s="1" t="s">
        <v>15</v>
      </c>
      <c r="N133" s="1" t="s">
        <v>3069</v>
      </c>
      <c r="O133" s="1" t="s">
        <v>1901</v>
      </c>
      <c r="P133" s="1">
        <v>0</v>
      </c>
      <c r="Q133" s="1" t="s">
        <v>1901</v>
      </c>
      <c r="R133" t="s">
        <v>2825</v>
      </c>
      <c r="S133" t="s">
        <v>3069</v>
      </c>
      <c r="T133" t="s">
        <v>17</v>
      </c>
      <c r="U133" t="s">
        <v>17</v>
      </c>
    </row>
    <row r="134" spans="1:21">
      <c r="A134" s="1" t="s">
        <v>1998</v>
      </c>
      <c r="B134" s="1" t="s">
        <v>1999</v>
      </c>
      <c r="C134" s="1" t="s">
        <v>101</v>
      </c>
      <c r="D134" s="1" t="s">
        <v>102</v>
      </c>
      <c r="E134" s="1" t="s">
        <v>103</v>
      </c>
      <c r="F134" s="1" t="s">
        <v>559</v>
      </c>
      <c r="G134" s="1"/>
      <c r="H134" s="1" t="s">
        <v>106</v>
      </c>
      <c r="I134" s="1" t="s">
        <v>108</v>
      </c>
      <c r="J134" s="1" t="s">
        <v>109</v>
      </c>
      <c r="K134" s="9">
        <v>-30160.13</v>
      </c>
      <c r="L134" s="1" t="s">
        <v>110</v>
      </c>
      <c r="M134" s="1" t="s">
        <v>15</v>
      </c>
      <c r="N134" s="1" t="s">
        <v>2985</v>
      </c>
      <c r="O134" s="1" t="s">
        <v>412</v>
      </c>
      <c r="P134" s="1">
        <v>0</v>
      </c>
      <c r="Q134" s="1" t="s">
        <v>559</v>
      </c>
      <c r="R134" t="s">
        <v>2823</v>
      </c>
      <c r="S134" t="s">
        <v>3070</v>
      </c>
      <c r="T134" t="s">
        <v>17</v>
      </c>
      <c r="U134" t="s">
        <v>3071</v>
      </c>
    </row>
    <row r="135" spans="1:21">
      <c r="A135" s="1" t="s">
        <v>460</v>
      </c>
      <c r="B135" s="1" t="s">
        <v>461</v>
      </c>
      <c r="C135" s="1" t="s">
        <v>101</v>
      </c>
      <c r="D135" s="1" t="s">
        <v>124</v>
      </c>
      <c r="E135" s="1" t="s">
        <v>103</v>
      </c>
      <c r="F135" s="1" t="s">
        <v>464</v>
      </c>
      <c r="G135" s="1" t="s">
        <v>463</v>
      </c>
      <c r="H135" s="1" t="s">
        <v>127</v>
      </c>
      <c r="I135" s="1" t="s">
        <v>131</v>
      </c>
      <c r="J135" s="1"/>
      <c r="K135" s="9">
        <v>12985.61</v>
      </c>
      <c r="L135" s="1" t="s">
        <v>132</v>
      </c>
      <c r="M135" s="1" t="s">
        <v>15</v>
      </c>
      <c r="N135" s="1" t="s">
        <v>2942</v>
      </c>
      <c r="O135" s="1" t="s">
        <v>822</v>
      </c>
      <c r="P135" s="1">
        <v>0</v>
      </c>
      <c r="Q135" s="1" t="s">
        <v>464</v>
      </c>
      <c r="R135" t="s">
        <v>2825</v>
      </c>
      <c r="S135" t="s">
        <v>3072</v>
      </c>
      <c r="T135" t="s">
        <v>3073</v>
      </c>
      <c r="U135" t="s">
        <v>17</v>
      </c>
    </row>
    <row r="136" spans="1:21">
      <c r="A136" s="1" t="s">
        <v>2500</v>
      </c>
      <c r="B136" s="1" t="s">
        <v>17</v>
      </c>
      <c r="C136" s="1" t="s">
        <v>33</v>
      </c>
      <c r="D136" s="1" t="s">
        <v>2391</v>
      </c>
      <c r="E136" s="1" t="s">
        <v>103</v>
      </c>
      <c r="F136" s="1" t="s">
        <v>1094</v>
      </c>
      <c r="G136" s="1"/>
      <c r="H136" s="1" t="s">
        <v>2379</v>
      </c>
      <c r="I136" s="1" t="s">
        <v>2380</v>
      </c>
      <c r="J136" s="1"/>
      <c r="K136" s="9">
        <v>8120</v>
      </c>
      <c r="L136" s="1" t="s">
        <v>2494</v>
      </c>
      <c r="M136" s="1" t="s">
        <v>15</v>
      </c>
      <c r="N136" s="1" t="s">
        <v>2826</v>
      </c>
      <c r="O136" s="1" t="s">
        <v>1094</v>
      </c>
      <c r="P136" s="1">
        <v>0</v>
      </c>
      <c r="Q136" s="1" t="s">
        <v>1094</v>
      </c>
      <c r="R136" t="s">
        <v>2825</v>
      </c>
      <c r="S136" t="s">
        <v>2826</v>
      </c>
      <c r="T136" t="s">
        <v>17</v>
      </c>
      <c r="U136" t="s">
        <v>17</v>
      </c>
    </row>
    <row r="137" spans="1:21">
      <c r="A137" s="1" t="s">
        <v>2619</v>
      </c>
      <c r="B137" s="1" t="s">
        <v>2545</v>
      </c>
      <c r="C137" s="1" t="s">
        <v>42</v>
      </c>
      <c r="D137" s="1" t="s">
        <v>42</v>
      </c>
      <c r="E137" s="1" t="s">
        <v>103</v>
      </c>
      <c r="F137" s="1" t="s">
        <v>278</v>
      </c>
      <c r="G137" s="1"/>
      <c r="H137" s="1" t="s">
        <v>2379</v>
      </c>
      <c r="I137" s="1" t="s">
        <v>2380</v>
      </c>
      <c r="J137" s="1"/>
      <c r="K137" s="9">
        <v>68069.009999999995</v>
      </c>
      <c r="L137" s="1" t="s">
        <v>2535</v>
      </c>
      <c r="M137" s="1" t="s">
        <v>15</v>
      </c>
      <c r="N137" s="1" t="s">
        <v>2879</v>
      </c>
      <c r="O137" s="1" t="s">
        <v>278</v>
      </c>
      <c r="P137" s="1">
        <v>0</v>
      </c>
      <c r="Q137" s="1" t="s">
        <v>278</v>
      </c>
      <c r="R137" t="s">
        <v>2825</v>
      </c>
      <c r="S137" t="s">
        <v>2879</v>
      </c>
      <c r="T137" t="s">
        <v>17</v>
      </c>
      <c r="U137" t="s">
        <v>17</v>
      </c>
    </row>
    <row r="138" spans="1:21">
      <c r="A138" s="1" t="s">
        <v>2620</v>
      </c>
      <c r="B138" s="1" t="s">
        <v>2621</v>
      </c>
      <c r="C138" s="1" t="s">
        <v>42</v>
      </c>
      <c r="D138" s="1" t="s">
        <v>42</v>
      </c>
      <c r="E138" s="1" t="s">
        <v>103</v>
      </c>
      <c r="F138" s="1" t="s">
        <v>1389</v>
      </c>
      <c r="G138" s="1"/>
      <c r="H138" s="1" t="s">
        <v>2379</v>
      </c>
      <c r="I138" s="1" t="s">
        <v>2380</v>
      </c>
      <c r="J138" s="1"/>
      <c r="K138" s="9">
        <v>17593</v>
      </c>
      <c r="L138" s="1" t="s">
        <v>2535</v>
      </c>
      <c r="M138" s="1" t="s">
        <v>15</v>
      </c>
      <c r="N138" s="1" t="s">
        <v>2945</v>
      </c>
      <c r="O138" s="1" t="s">
        <v>1389</v>
      </c>
      <c r="P138" s="1">
        <v>0</v>
      </c>
      <c r="Q138" s="1" t="s">
        <v>1389</v>
      </c>
      <c r="R138" t="s">
        <v>2825</v>
      </c>
      <c r="S138" t="s">
        <v>2945</v>
      </c>
      <c r="T138" t="s">
        <v>17</v>
      </c>
      <c r="U138" t="s">
        <v>17</v>
      </c>
    </row>
    <row r="139" spans="1:21">
      <c r="A139" s="1" t="s">
        <v>1636</v>
      </c>
      <c r="B139" s="1" t="s">
        <v>1637</v>
      </c>
      <c r="C139" s="1" t="s">
        <v>101</v>
      </c>
      <c r="D139" s="1" t="s">
        <v>102</v>
      </c>
      <c r="E139" s="1" t="s">
        <v>103</v>
      </c>
      <c r="F139" s="1" t="s">
        <v>921</v>
      </c>
      <c r="G139" s="1"/>
      <c r="H139" s="1" t="s">
        <v>106</v>
      </c>
      <c r="I139" s="1" t="s">
        <v>108</v>
      </c>
      <c r="J139" s="1" t="s">
        <v>109</v>
      </c>
      <c r="K139" s="9">
        <v>-69744.91</v>
      </c>
      <c r="L139" s="1" t="s">
        <v>110</v>
      </c>
      <c r="M139" s="1" t="s">
        <v>15</v>
      </c>
      <c r="N139" s="1" t="s">
        <v>2884</v>
      </c>
      <c r="O139" s="1" t="s">
        <v>921</v>
      </c>
      <c r="P139" s="1">
        <v>0</v>
      </c>
      <c r="Q139" s="1" t="s">
        <v>921</v>
      </c>
      <c r="R139" t="s">
        <v>2823</v>
      </c>
      <c r="S139" t="s">
        <v>3074</v>
      </c>
      <c r="T139" t="s">
        <v>17</v>
      </c>
      <c r="U139" t="s">
        <v>3075</v>
      </c>
    </row>
    <row r="140" spans="1:21">
      <c r="A140" s="1" t="s">
        <v>2622</v>
      </c>
      <c r="B140" s="1" t="s">
        <v>2623</v>
      </c>
      <c r="C140" s="1" t="s">
        <v>42</v>
      </c>
      <c r="D140" s="1" t="s">
        <v>42</v>
      </c>
      <c r="E140" s="1" t="s">
        <v>103</v>
      </c>
      <c r="F140" s="1" t="s">
        <v>2624</v>
      </c>
      <c r="G140" s="1"/>
      <c r="H140" s="1" t="s">
        <v>2379</v>
      </c>
      <c r="I140" s="1" t="s">
        <v>2380</v>
      </c>
      <c r="J140" s="1"/>
      <c r="K140" s="9">
        <v>15498.94</v>
      </c>
      <c r="L140" s="1" t="s">
        <v>2535</v>
      </c>
      <c r="M140" s="1" t="s">
        <v>15</v>
      </c>
      <c r="N140" s="1" t="s">
        <v>3076</v>
      </c>
      <c r="O140" s="1" t="s">
        <v>2624</v>
      </c>
      <c r="P140" s="1">
        <v>0</v>
      </c>
      <c r="Q140" s="1" t="s">
        <v>2624</v>
      </c>
      <c r="R140" t="s">
        <v>2825</v>
      </c>
      <c r="S140" t="s">
        <v>3076</v>
      </c>
      <c r="T140" t="s">
        <v>17</v>
      </c>
      <c r="U140" t="s">
        <v>17</v>
      </c>
    </row>
    <row r="141" spans="1:21">
      <c r="A141" s="1" t="s">
        <v>2625</v>
      </c>
      <c r="B141" s="1" t="s">
        <v>2568</v>
      </c>
      <c r="C141" s="1" t="s">
        <v>42</v>
      </c>
      <c r="D141" s="1" t="s">
        <v>42</v>
      </c>
      <c r="E141" s="1" t="s">
        <v>103</v>
      </c>
      <c r="F141" s="1" t="s">
        <v>1218</v>
      </c>
      <c r="G141" s="1"/>
      <c r="H141" s="1" t="s">
        <v>2379</v>
      </c>
      <c r="I141" s="1" t="s">
        <v>2380</v>
      </c>
      <c r="J141" s="1"/>
      <c r="K141" s="9">
        <v>-16336.73</v>
      </c>
      <c r="L141" s="1" t="s">
        <v>2535</v>
      </c>
      <c r="M141" s="1" t="s">
        <v>15</v>
      </c>
      <c r="N141" s="1" t="s">
        <v>3077</v>
      </c>
      <c r="O141" s="1" t="s">
        <v>1218</v>
      </c>
      <c r="P141" s="1">
        <v>0</v>
      </c>
      <c r="Q141" s="1" t="s">
        <v>1218</v>
      </c>
      <c r="R141" t="s">
        <v>2825</v>
      </c>
      <c r="S141" t="s">
        <v>3077</v>
      </c>
      <c r="T141" t="s">
        <v>17</v>
      </c>
      <c r="U141" t="s">
        <v>17</v>
      </c>
    </row>
    <row r="142" spans="1:21">
      <c r="A142" s="1" t="s">
        <v>155</v>
      </c>
      <c r="B142" s="1" t="s">
        <v>156</v>
      </c>
      <c r="C142" s="1" t="s">
        <v>101</v>
      </c>
      <c r="D142" s="1" t="s">
        <v>124</v>
      </c>
      <c r="E142" s="1" t="s">
        <v>103</v>
      </c>
      <c r="F142" s="1" t="s">
        <v>157</v>
      </c>
      <c r="G142" s="1" t="s">
        <v>158</v>
      </c>
      <c r="H142" s="1" t="s">
        <v>127</v>
      </c>
      <c r="I142" s="1" t="s">
        <v>131</v>
      </c>
      <c r="J142" s="1"/>
      <c r="K142" s="9">
        <v>15498.94</v>
      </c>
      <c r="L142" s="1" t="s">
        <v>132</v>
      </c>
      <c r="M142" s="1" t="s">
        <v>15</v>
      </c>
      <c r="N142" s="1" t="s">
        <v>2842</v>
      </c>
      <c r="O142" s="1" t="s">
        <v>378</v>
      </c>
      <c r="P142" s="1">
        <v>0</v>
      </c>
      <c r="Q142" s="1" t="s">
        <v>157</v>
      </c>
      <c r="R142" t="s">
        <v>2825</v>
      </c>
      <c r="S142" t="s">
        <v>3078</v>
      </c>
      <c r="T142" t="s">
        <v>3079</v>
      </c>
      <c r="U142" t="s">
        <v>17</v>
      </c>
    </row>
    <row r="143" spans="1:21">
      <c r="A143" s="1" t="s">
        <v>1144</v>
      </c>
      <c r="B143" s="1" t="s">
        <v>1145</v>
      </c>
      <c r="C143" s="1" t="s">
        <v>101</v>
      </c>
      <c r="D143" s="1" t="s">
        <v>102</v>
      </c>
      <c r="E143" s="1" t="s">
        <v>103</v>
      </c>
      <c r="F143" s="1" t="s">
        <v>1146</v>
      </c>
      <c r="G143" s="1"/>
      <c r="H143" s="1" t="s">
        <v>106</v>
      </c>
      <c r="I143" s="1" t="s">
        <v>108</v>
      </c>
      <c r="J143" s="1" t="s">
        <v>109</v>
      </c>
      <c r="K143" s="9">
        <v>-45659.07</v>
      </c>
      <c r="L143" s="1" t="s">
        <v>110</v>
      </c>
      <c r="M143" s="1" t="s">
        <v>15</v>
      </c>
      <c r="N143" s="1" t="s">
        <v>2848</v>
      </c>
      <c r="O143" s="1" t="s">
        <v>2251</v>
      </c>
      <c r="P143" s="1">
        <v>0</v>
      </c>
      <c r="Q143" s="1" t="s">
        <v>1146</v>
      </c>
      <c r="R143" t="s">
        <v>2823</v>
      </c>
      <c r="S143" t="s">
        <v>3080</v>
      </c>
      <c r="T143" t="s">
        <v>17</v>
      </c>
      <c r="U143" t="s">
        <v>3081</v>
      </c>
    </row>
    <row r="144" spans="1:21">
      <c r="A144" s="1" t="s">
        <v>1583</v>
      </c>
      <c r="B144" s="1" t="s">
        <v>1584</v>
      </c>
      <c r="C144" s="1" t="s">
        <v>101</v>
      </c>
      <c r="D144" s="1" t="s">
        <v>483</v>
      </c>
      <c r="E144" s="1" t="s">
        <v>103</v>
      </c>
      <c r="F144" s="1" t="s">
        <v>604</v>
      </c>
      <c r="G144" s="1"/>
      <c r="H144" s="1" t="s">
        <v>106</v>
      </c>
      <c r="I144" s="1" t="s">
        <v>108</v>
      </c>
      <c r="J144" s="1" t="s">
        <v>109</v>
      </c>
      <c r="K144" s="9">
        <v>-9843.93</v>
      </c>
      <c r="L144" s="1" t="s">
        <v>486</v>
      </c>
      <c r="M144" s="1" t="s">
        <v>15</v>
      </c>
      <c r="N144" s="1" t="s">
        <v>2979</v>
      </c>
      <c r="O144" s="1" t="s">
        <v>1079</v>
      </c>
      <c r="P144" s="1">
        <v>0</v>
      </c>
      <c r="Q144" s="1" t="s">
        <v>604</v>
      </c>
      <c r="R144" t="s">
        <v>2823</v>
      </c>
      <c r="S144" t="s">
        <v>3082</v>
      </c>
      <c r="T144" t="s">
        <v>17</v>
      </c>
      <c r="U144" t="s">
        <v>3083</v>
      </c>
    </row>
    <row r="145" spans="1:21">
      <c r="A145" s="1" t="s">
        <v>2626</v>
      </c>
      <c r="B145" s="1" t="s">
        <v>2627</v>
      </c>
      <c r="C145" s="1" t="s">
        <v>42</v>
      </c>
      <c r="D145" s="1" t="s">
        <v>42</v>
      </c>
      <c r="E145" s="1" t="s">
        <v>103</v>
      </c>
      <c r="F145" s="1" t="s">
        <v>314</v>
      </c>
      <c r="G145" s="1"/>
      <c r="H145" s="1" t="s">
        <v>2379</v>
      </c>
      <c r="I145" s="1" t="s">
        <v>2380</v>
      </c>
      <c r="J145" s="1"/>
      <c r="K145" s="9">
        <v>-49847.97</v>
      </c>
      <c r="L145" s="1" t="s">
        <v>2535</v>
      </c>
      <c r="M145" s="1" t="s">
        <v>15</v>
      </c>
      <c r="N145" s="1" t="s">
        <v>2854</v>
      </c>
      <c r="O145" s="1" t="s">
        <v>314</v>
      </c>
      <c r="P145" s="1">
        <v>0</v>
      </c>
      <c r="Q145" s="1" t="s">
        <v>314</v>
      </c>
      <c r="R145" t="s">
        <v>2825</v>
      </c>
      <c r="S145" t="s">
        <v>2854</v>
      </c>
      <c r="T145" t="s">
        <v>17</v>
      </c>
      <c r="U145" t="s">
        <v>17</v>
      </c>
    </row>
    <row r="146" spans="1:21">
      <c r="A146" s="1" t="s">
        <v>2628</v>
      </c>
      <c r="B146" s="1" t="s">
        <v>2629</v>
      </c>
      <c r="C146" s="1" t="s">
        <v>42</v>
      </c>
      <c r="D146" s="1" t="s">
        <v>42</v>
      </c>
      <c r="E146" s="1" t="s">
        <v>103</v>
      </c>
      <c r="F146" s="1" t="s">
        <v>320</v>
      </c>
      <c r="G146" s="1"/>
      <c r="H146" s="1" t="s">
        <v>2379</v>
      </c>
      <c r="I146" s="1" t="s">
        <v>2380</v>
      </c>
      <c r="J146" s="1"/>
      <c r="K146" s="9">
        <v>14032</v>
      </c>
      <c r="L146" s="1" t="s">
        <v>2535</v>
      </c>
      <c r="M146" s="1" t="s">
        <v>15</v>
      </c>
      <c r="N146" s="1" t="s">
        <v>3084</v>
      </c>
      <c r="O146" s="1" t="s">
        <v>320</v>
      </c>
      <c r="P146" s="1">
        <v>0</v>
      </c>
      <c r="Q146" s="1" t="s">
        <v>320</v>
      </c>
      <c r="R146" t="s">
        <v>2825</v>
      </c>
      <c r="S146" t="s">
        <v>3084</v>
      </c>
      <c r="T146" t="s">
        <v>17</v>
      </c>
      <c r="U146" t="s">
        <v>17</v>
      </c>
    </row>
    <row r="147" spans="1:21">
      <c r="A147" s="1" t="s">
        <v>1430</v>
      </c>
      <c r="B147" s="1" t="s">
        <v>1431</v>
      </c>
      <c r="C147" s="1" t="s">
        <v>101</v>
      </c>
      <c r="D147" s="1" t="s">
        <v>102</v>
      </c>
      <c r="E147" s="1" t="s">
        <v>103</v>
      </c>
      <c r="F147" s="1" t="s">
        <v>1278</v>
      </c>
      <c r="G147" s="1"/>
      <c r="H147" s="1" t="s">
        <v>106</v>
      </c>
      <c r="I147" s="1" t="s">
        <v>108</v>
      </c>
      <c r="J147" s="1" t="s">
        <v>109</v>
      </c>
      <c r="K147" s="9">
        <v>-25342</v>
      </c>
      <c r="L147" s="1" t="s">
        <v>110</v>
      </c>
      <c r="M147" s="1" t="s">
        <v>15</v>
      </c>
      <c r="N147" s="1" t="s">
        <v>2876</v>
      </c>
      <c r="O147" s="1" t="s">
        <v>901</v>
      </c>
      <c r="P147" s="1">
        <v>0</v>
      </c>
      <c r="Q147" s="1" t="s">
        <v>1278</v>
      </c>
      <c r="R147" t="s">
        <v>2823</v>
      </c>
      <c r="S147" t="s">
        <v>3085</v>
      </c>
      <c r="T147" t="s">
        <v>17</v>
      </c>
      <c r="U147" t="s">
        <v>3086</v>
      </c>
    </row>
    <row r="148" spans="1:21">
      <c r="A148" s="1" t="s">
        <v>962</v>
      </c>
      <c r="B148" s="1" t="s">
        <v>963</v>
      </c>
      <c r="C148" s="1" t="s">
        <v>101</v>
      </c>
      <c r="D148" s="1" t="s">
        <v>102</v>
      </c>
      <c r="E148" s="1" t="s">
        <v>103</v>
      </c>
      <c r="F148" s="1" t="s">
        <v>964</v>
      </c>
      <c r="G148" s="1"/>
      <c r="H148" s="1" t="s">
        <v>106</v>
      </c>
      <c r="I148" s="1" t="s">
        <v>108</v>
      </c>
      <c r="J148" s="1" t="s">
        <v>109</v>
      </c>
      <c r="K148" s="9">
        <v>-15289.51</v>
      </c>
      <c r="L148" s="1" t="s">
        <v>110</v>
      </c>
      <c r="M148" s="1" t="s">
        <v>15</v>
      </c>
      <c r="N148" s="1" t="s">
        <v>3087</v>
      </c>
      <c r="O148" s="1" t="s">
        <v>1879</v>
      </c>
      <c r="P148" s="1">
        <v>0</v>
      </c>
      <c r="Q148" s="1" t="s">
        <v>964</v>
      </c>
      <c r="R148" t="s">
        <v>2823</v>
      </c>
      <c r="S148" t="s">
        <v>3088</v>
      </c>
      <c r="T148" t="s">
        <v>17</v>
      </c>
      <c r="U148" t="s">
        <v>3089</v>
      </c>
    </row>
    <row r="149" spans="1:21">
      <c r="A149" s="1" t="s">
        <v>1951</v>
      </c>
      <c r="B149" s="1" t="s">
        <v>1952</v>
      </c>
      <c r="C149" s="1" t="s">
        <v>40</v>
      </c>
      <c r="D149" s="1" t="s">
        <v>124</v>
      </c>
      <c r="E149" s="1" t="s">
        <v>103</v>
      </c>
      <c r="F149" s="1" t="s">
        <v>1266</v>
      </c>
      <c r="G149" s="1" t="s">
        <v>1953</v>
      </c>
      <c r="H149" s="1" t="s">
        <v>127</v>
      </c>
      <c r="I149" s="1" t="s">
        <v>131</v>
      </c>
      <c r="J149" s="1"/>
      <c r="K149" s="9">
        <v>15080.05</v>
      </c>
      <c r="L149" s="1" t="s">
        <v>146</v>
      </c>
      <c r="M149" s="1" t="s">
        <v>15</v>
      </c>
      <c r="N149" s="1" t="s">
        <v>3090</v>
      </c>
      <c r="O149" s="1" t="s">
        <v>301</v>
      </c>
      <c r="P149" s="1">
        <v>0</v>
      </c>
      <c r="Q149" s="1" t="s">
        <v>1266</v>
      </c>
      <c r="R149" t="s">
        <v>2825</v>
      </c>
      <c r="S149" t="s">
        <v>3091</v>
      </c>
      <c r="T149" t="s">
        <v>3092</v>
      </c>
      <c r="U149" t="s">
        <v>17</v>
      </c>
    </row>
    <row r="150" spans="1:21">
      <c r="A150" s="1" t="s">
        <v>1536</v>
      </c>
      <c r="B150" s="1" t="s">
        <v>1537</v>
      </c>
      <c r="C150" s="1" t="s">
        <v>101</v>
      </c>
      <c r="D150" s="1" t="s">
        <v>352</v>
      </c>
      <c r="E150" s="1" t="s">
        <v>103</v>
      </c>
      <c r="F150" s="1" t="s">
        <v>469</v>
      </c>
      <c r="G150" s="1"/>
      <c r="H150" s="1" t="s">
        <v>106</v>
      </c>
      <c r="I150" s="1" t="s">
        <v>108</v>
      </c>
      <c r="J150" s="1" t="s">
        <v>109</v>
      </c>
      <c r="K150" s="9">
        <v>-15498.94</v>
      </c>
      <c r="L150" s="1" t="s">
        <v>356</v>
      </c>
      <c r="M150" s="1" t="s">
        <v>15</v>
      </c>
      <c r="N150" s="1" t="s">
        <v>3031</v>
      </c>
      <c r="O150" s="1" t="s">
        <v>469</v>
      </c>
      <c r="P150" s="1">
        <v>0</v>
      </c>
      <c r="Q150" s="1" t="s">
        <v>469</v>
      </c>
      <c r="R150" t="s">
        <v>2823</v>
      </c>
      <c r="S150" t="s">
        <v>3093</v>
      </c>
      <c r="T150" t="s">
        <v>17</v>
      </c>
      <c r="U150" t="s">
        <v>3094</v>
      </c>
    </row>
    <row r="151" spans="1:21">
      <c r="A151" s="1" t="s">
        <v>885</v>
      </c>
      <c r="B151" s="1" t="s">
        <v>886</v>
      </c>
      <c r="C151" s="1" t="s">
        <v>101</v>
      </c>
      <c r="D151" s="1" t="s">
        <v>124</v>
      </c>
      <c r="E151" s="1" t="s">
        <v>103</v>
      </c>
      <c r="F151" s="1" t="s">
        <v>887</v>
      </c>
      <c r="G151" s="1" t="s">
        <v>888</v>
      </c>
      <c r="H151" s="1" t="s">
        <v>127</v>
      </c>
      <c r="I151" s="1" t="s">
        <v>131</v>
      </c>
      <c r="J151" s="1"/>
      <c r="K151" s="9">
        <v>16965.080000000002</v>
      </c>
      <c r="L151" s="1" t="s">
        <v>132</v>
      </c>
      <c r="M151" s="1" t="s">
        <v>15</v>
      </c>
      <c r="N151" s="1" t="s">
        <v>2868</v>
      </c>
      <c r="O151" s="1" t="s">
        <v>1572</v>
      </c>
      <c r="P151" s="1">
        <v>0</v>
      </c>
      <c r="Q151" s="1" t="s">
        <v>887</v>
      </c>
      <c r="R151" t="s">
        <v>2825</v>
      </c>
      <c r="S151" t="s">
        <v>3095</v>
      </c>
      <c r="T151" t="s">
        <v>3096</v>
      </c>
      <c r="U151" t="s">
        <v>17</v>
      </c>
    </row>
    <row r="152" spans="1:21">
      <c r="A152" s="1" t="s">
        <v>2630</v>
      </c>
      <c r="B152" s="1" t="s">
        <v>2621</v>
      </c>
      <c r="C152" s="1" t="s">
        <v>42</v>
      </c>
      <c r="D152" s="1" t="s">
        <v>42</v>
      </c>
      <c r="E152" s="1" t="s">
        <v>103</v>
      </c>
      <c r="F152" s="1" t="s">
        <v>1389</v>
      </c>
      <c r="G152" s="1"/>
      <c r="H152" s="1" t="s">
        <v>2379</v>
      </c>
      <c r="I152" s="1" t="s">
        <v>2380</v>
      </c>
      <c r="J152" s="1"/>
      <c r="K152" s="9">
        <v>-17593.400000000001</v>
      </c>
      <c r="L152" s="1" t="s">
        <v>2535</v>
      </c>
      <c r="M152" s="1" t="s">
        <v>15</v>
      </c>
      <c r="N152" s="1" t="s">
        <v>2945</v>
      </c>
      <c r="O152" s="1" t="s">
        <v>1389</v>
      </c>
      <c r="P152" s="1">
        <v>0</v>
      </c>
      <c r="Q152" s="1" t="s">
        <v>1389</v>
      </c>
      <c r="R152" t="s">
        <v>2825</v>
      </c>
      <c r="S152" t="s">
        <v>2945</v>
      </c>
      <c r="T152" t="s">
        <v>17</v>
      </c>
      <c r="U152" t="s">
        <v>17</v>
      </c>
    </row>
    <row r="153" spans="1:21">
      <c r="A153" s="1" t="s">
        <v>1712</v>
      </c>
      <c r="B153" s="1" t="s">
        <v>1713</v>
      </c>
      <c r="C153" s="1" t="s">
        <v>101</v>
      </c>
      <c r="D153" s="1" t="s">
        <v>124</v>
      </c>
      <c r="E153" s="1" t="s">
        <v>103</v>
      </c>
      <c r="F153" s="1" t="s">
        <v>1117</v>
      </c>
      <c r="G153" s="1" t="s">
        <v>1714</v>
      </c>
      <c r="H153" s="1" t="s">
        <v>127</v>
      </c>
      <c r="I153" s="1" t="s">
        <v>131</v>
      </c>
      <c r="J153" s="1"/>
      <c r="K153" s="9">
        <v>11519.5</v>
      </c>
      <c r="L153" s="1" t="s">
        <v>132</v>
      </c>
      <c r="M153" s="1" t="s">
        <v>15</v>
      </c>
      <c r="N153" s="1" t="s">
        <v>2845</v>
      </c>
      <c r="O153" s="1" t="s">
        <v>1672</v>
      </c>
      <c r="P153" s="1">
        <v>0</v>
      </c>
      <c r="Q153" s="1" t="s">
        <v>1117</v>
      </c>
      <c r="R153" t="s">
        <v>2825</v>
      </c>
      <c r="S153" t="s">
        <v>3097</v>
      </c>
      <c r="T153" t="s">
        <v>3098</v>
      </c>
      <c r="U153" t="s">
        <v>17</v>
      </c>
    </row>
    <row r="154" spans="1:21">
      <c r="A154" s="1" t="s">
        <v>765</v>
      </c>
      <c r="B154" s="1" t="s">
        <v>766</v>
      </c>
      <c r="C154" s="1" t="s">
        <v>101</v>
      </c>
      <c r="D154" s="1" t="s">
        <v>102</v>
      </c>
      <c r="E154" s="1" t="s">
        <v>103</v>
      </c>
      <c r="F154" s="1" t="s">
        <v>690</v>
      </c>
      <c r="G154" s="1"/>
      <c r="H154" s="1" t="s">
        <v>106</v>
      </c>
      <c r="I154" s="1" t="s">
        <v>108</v>
      </c>
      <c r="J154" s="1" t="s">
        <v>109</v>
      </c>
      <c r="K154" s="9">
        <v>-18640.62</v>
      </c>
      <c r="L154" s="1" t="s">
        <v>110</v>
      </c>
      <c r="M154" s="1" t="s">
        <v>15</v>
      </c>
      <c r="N154" s="1" t="s">
        <v>3099</v>
      </c>
      <c r="O154" s="1" t="s">
        <v>829</v>
      </c>
      <c r="P154" s="1">
        <v>0</v>
      </c>
      <c r="Q154" s="1" t="s">
        <v>690</v>
      </c>
      <c r="R154" t="s">
        <v>2823</v>
      </c>
      <c r="S154" t="s">
        <v>3100</v>
      </c>
      <c r="T154" t="s">
        <v>17</v>
      </c>
      <c r="U154" t="s">
        <v>3101</v>
      </c>
    </row>
    <row r="155" spans="1:21">
      <c r="A155" s="1" t="s">
        <v>2631</v>
      </c>
      <c r="B155" s="1" t="s">
        <v>2632</v>
      </c>
      <c r="C155" s="1" t="s">
        <v>42</v>
      </c>
      <c r="D155" s="1" t="s">
        <v>42</v>
      </c>
      <c r="E155" s="1" t="s">
        <v>103</v>
      </c>
      <c r="F155" s="1" t="s">
        <v>850</v>
      </c>
      <c r="G155" s="1"/>
      <c r="H155" s="1" t="s">
        <v>2379</v>
      </c>
      <c r="I155" s="1" t="s">
        <v>2380</v>
      </c>
      <c r="J155" s="1"/>
      <c r="K155" s="9">
        <v>16755.62</v>
      </c>
      <c r="L155" s="1" t="s">
        <v>2535</v>
      </c>
      <c r="M155" s="1" t="s">
        <v>15</v>
      </c>
      <c r="N155" s="1" t="s">
        <v>3102</v>
      </c>
      <c r="O155" s="1" t="s">
        <v>850</v>
      </c>
      <c r="P155" s="1">
        <v>0</v>
      </c>
      <c r="Q155" s="1" t="s">
        <v>850</v>
      </c>
      <c r="R155" t="s">
        <v>2825</v>
      </c>
      <c r="S155" t="s">
        <v>3102</v>
      </c>
      <c r="T155" t="s">
        <v>17</v>
      </c>
      <c r="U155" t="s">
        <v>17</v>
      </c>
    </row>
    <row r="156" spans="1:21">
      <c r="A156" s="1" t="s">
        <v>731</v>
      </c>
      <c r="B156" s="1" t="s">
        <v>732</v>
      </c>
      <c r="C156" s="1" t="s">
        <v>101</v>
      </c>
      <c r="D156" s="1" t="s">
        <v>124</v>
      </c>
      <c r="E156" s="1" t="s">
        <v>103</v>
      </c>
      <c r="F156" s="1" t="s">
        <v>734</v>
      </c>
      <c r="G156" s="1" t="s">
        <v>733</v>
      </c>
      <c r="H156" s="1" t="s">
        <v>127</v>
      </c>
      <c r="I156" s="1" t="s">
        <v>131</v>
      </c>
      <c r="J156" s="1"/>
      <c r="K156" s="9">
        <v>13613.94</v>
      </c>
      <c r="L156" s="1" t="s">
        <v>132</v>
      </c>
      <c r="M156" s="1" t="s">
        <v>15</v>
      </c>
      <c r="N156" s="1" t="s">
        <v>2865</v>
      </c>
      <c r="O156" s="1" t="s">
        <v>1052</v>
      </c>
      <c r="P156" s="1">
        <v>0</v>
      </c>
      <c r="Q156" s="1" t="s">
        <v>734</v>
      </c>
      <c r="R156" t="s">
        <v>2825</v>
      </c>
      <c r="S156" t="s">
        <v>3103</v>
      </c>
      <c r="T156" t="s">
        <v>3104</v>
      </c>
      <c r="U156" t="s">
        <v>17</v>
      </c>
    </row>
    <row r="157" spans="1:21">
      <c r="A157" s="1" t="s">
        <v>1906</v>
      </c>
      <c r="B157" s="1" t="s">
        <v>1907</v>
      </c>
      <c r="C157" s="1" t="s">
        <v>101</v>
      </c>
      <c r="D157" s="1" t="s">
        <v>124</v>
      </c>
      <c r="E157" s="1" t="s">
        <v>103</v>
      </c>
      <c r="F157" s="1" t="s">
        <v>1908</v>
      </c>
      <c r="G157" s="1" t="s">
        <v>1909</v>
      </c>
      <c r="H157" s="1" t="s">
        <v>127</v>
      </c>
      <c r="I157" s="1" t="s">
        <v>131</v>
      </c>
      <c r="J157" s="1"/>
      <c r="K157" s="9">
        <v>15289.51</v>
      </c>
      <c r="L157" s="1" t="s">
        <v>132</v>
      </c>
      <c r="M157" s="1" t="s">
        <v>15</v>
      </c>
      <c r="N157" s="1" t="s">
        <v>2861</v>
      </c>
      <c r="O157" s="1" t="s">
        <v>2318</v>
      </c>
      <c r="P157" s="1">
        <v>0</v>
      </c>
      <c r="Q157" s="1" t="s">
        <v>1908</v>
      </c>
      <c r="R157" t="s">
        <v>2825</v>
      </c>
      <c r="S157" t="s">
        <v>3105</v>
      </c>
      <c r="T157" t="s">
        <v>3106</v>
      </c>
      <c r="U157" t="s">
        <v>17</v>
      </c>
    </row>
    <row r="158" spans="1:21">
      <c r="A158" s="1" t="s">
        <v>1411</v>
      </c>
      <c r="B158" s="1" t="s">
        <v>1412</v>
      </c>
      <c r="C158" s="1" t="s">
        <v>101</v>
      </c>
      <c r="D158" s="1" t="s">
        <v>102</v>
      </c>
      <c r="E158" s="1" t="s">
        <v>103</v>
      </c>
      <c r="F158" s="1" t="s">
        <v>1226</v>
      </c>
      <c r="G158" s="1"/>
      <c r="H158" s="1" t="s">
        <v>106</v>
      </c>
      <c r="I158" s="1" t="s">
        <v>108</v>
      </c>
      <c r="J158" s="1" t="s">
        <v>109</v>
      </c>
      <c r="K158" s="9">
        <v>-13613.94</v>
      </c>
      <c r="L158" s="1" t="s">
        <v>110</v>
      </c>
      <c r="M158" s="1" t="s">
        <v>15</v>
      </c>
      <c r="N158" s="1" t="s">
        <v>2933</v>
      </c>
      <c r="O158" s="1" t="s">
        <v>2654</v>
      </c>
      <c r="P158" s="1">
        <v>0</v>
      </c>
      <c r="Q158" s="1" t="s">
        <v>1226</v>
      </c>
      <c r="R158" t="s">
        <v>2823</v>
      </c>
      <c r="S158" t="s">
        <v>3107</v>
      </c>
      <c r="T158" t="s">
        <v>17</v>
      </c>
      <c r="U158" t="s">
        <v>3108</v>
      </c>
    </row>
    <row r="159" spans="1:21">
      <c r="A159" s="1" t="s">
        <v>1478</v>
      </c>
      <c r="B159" s="1" t="s">
        <v>1479</v>
      </c>
      <c r="C159" s="1" t="s">
        <v>101</v>
      </c>
      <c r="D159" s="1" t="s">
        <v>124</v>
      </c>
      <c r="E159" s="1" t="s">
        <v>103</v>
      </c>
      <c r="F159" s="1" t="s">
        <v>773</v>
      </c>
      <c r="G159" s="1" t="s">
        <v>1481</v>
      </c>
      <c r="H159" s="1" t="s">
        <v>127</v>
      </c>
      <c r="I159" s="1" t="s">
        <v>131</v>
      </c>
      <c r="J159" s="1"/>
      <c r="K159" s="9">
        <v>15498.94</v>
      </c>
      <c r="L159" s="1" t="s">
        <v>132</v>
      </c>
      <c r="M159" s="1" t="s">
        <v>15</v>
      </c>
      <c r="N159" s="1" t="s">
        <v>2918</v>
      </c>
      <c r="O159" s="1" t="s">
        <v>1986</v>
      </c>
      <c r="P159" s="1">
        <v>0</v>
      </c>
      <c r="Q159" s="1" t="s">
        <v>773</v>
      </c>
      <c r="R159" t="s">
        <v>2825</v>
      </c>
      <c r="S159" t="s">
        <v>3109</v>
      </c>
      <c r="T159" t="s">
        <v>3110</v>
      </c>
      <c r="U159" t="s">
        <v>17</v>
      </c>
    </row>
    <row r="160" spans="1:21">
      <c r="A160" s="1" t="s">
        <v>2633</v>
      </c>
      <c r="B160" s="1" t="s">
        <v>2634</v>
      </c>
      <c r="C160" s="1" t="s">
        <v>42</v>
      </c>
      <c r="D160" s="1" t="s">
        <v>42</v>
      </c>
      <c r="E160" s="1" t="s">
        <v>103</v>
      </c>
      <c r="F160" s="1" t="s">
        <v>875</v>
      </c>
      <c r="G160" s="1"/>
      <c r="H160" s="1" t="s">
        <v>2379</v>
      </c>
      <c r="I160" s="1" t="s">
        <v>2380</v>
      </c>
      <c r="J160" s="1"/>
      <c r="K160" s="9">
        <v>52151.86</v>
      </c>
      <c r="L160" s="1" t="s">
        <v>2535</v>
      </c>
      <c r="M160" s="1" t="s">
        <v>15</v>
      </c>
      <c r="N160" s="1" t="s">
        <v>3000</v>
      </c>
      <c r="O160" s="1" t="s">
        <v>875</v>
      </c>
      <c r="P160" s="1">
        <v>0</v>
      </c>
      <c r="Q160" s="1" t="s">
        <v>875</v>
      </c>
      <c r="R160" t="s">
        <v>2825</v>
      </c>
      <c r="S160" t="s">
        <v>3000</v>
      </c>
      <c r="T160" t="s">
        <v>17</v>
      </c>
      <c r="U160" t="s">
        <v>17</v>
      </c>
    </row>
    <row r="161" spans="1:21">
      <c r="A161" s="1" t="s">
        <v>1871</v>
      </c>
      <c r="B161" s="1" t="s">
        <v>1872</v>
      </c>
      <c r="C161" s="1" t="s">
        <v>101</v>
      </c>
      <c r="D161" s="1" t="s">
        <v>124</v>
      </c>
      <c r="E161" s="1" t="s">
        <v>103</v>
      </c>
      <c r="F161" s="1" t="s">
        <v>1874</v>
      </c>
      <c r="G161" s="1" t="s">
        <v>1873</v>
      </c>
      <c r="H161" s="1" t="s">
        <v>127</v>
      </c>
      <c r="I161" s="1" t="s">
        <v>131</v>
      </c>
      <c r="J161" s="1"/>
      <c r="K161" s="9">
        <v>15289.51</v>
      </c>
      <c r="L161" s="1" t="s">
        <v>132</v>
      </c>
      <c r="M161" s="1" t="s">
        <v>15</v>
      </c>
      <c r="N161" s="1" t="s">
        <v>2832</v>
      </c>
      <c r="O161" s="1" t="s">
        <v>298</v>
      </c>
      <c r="P161" s="1">
        <v>0</v>
      </c>
      <c r="Q161" s="1" t="s">
        <v>1874</v>
      </c>
      <c r="R161" t="s">
        <v>2825</v>
      </c>
      <c r="S161" t="s">
        <v>3111</v>
      </c>
      <c r="T161" t="s">
        <v>3112</v>
      </c>
      <c r="U161" t="s">
        <v>17</v>
      </c>
    </row>
    <row r="162" spans="1:21">
      <c r="A162" s="1" t="s">
        <v>2501</v>
      </c>
      <c r="B162" s="1" t="s">
        <v>17</v>
      </c>
      <c r="C162" s="1" t="s">
        <v>27</v>
      </c>
      <c r="D162" s="1" t="s">
        <v>2391</v>
      </c>
      <c r="E162" s="1" t="s">
        <v>103</v>
      </c>
      <c r="F162" s="1" t="s">
        <v>2259</v>
      </c>
      <c r="G162" s="1" t="s">
        <v>2502</v>
      </c>
      <c r="H162" s="1" t="s">
        <v>127</v>
      </c>
      <c r="I162" s="1" t="s">
        <v>131</v>
      </c>
      <c r="J162" s="1"/>
      <c r="K162" s="9">
        <v>29500</v>
      </c>
      <c r="L162" s="1" t="s">
        <v>2503</v>
      </c>
      <c r="M162" s="1" t="s">
        <v>15</v>
      </c>
      <c r="N162" s="1" t="s">
        <v>2818</v>
      </c>
      <c r="O162" s="1" t="s">
        <v>2819</v>
      </c>
      <c r="P162" s="1">
        <v>0</v>
      </c>
      <c r="Q162" s="1" t="s">
        <v>2259</v>
      </c>
      <c r="R162" t="s">
        <v>2815</v>
      </c>
      <c r="S162" t="s">
        <v>2820</v>
      </c>
      <c r="T162" t="s">
        <v>2821</v>
      </c>
      <c r="U162" t="s">
        <v>17</v>
      </c>
    </row>
    <row r="163" spans="1:21">
      <c r="A163" s="1" t="s">
        <v>571</v>
      </c>
      <c r="B163" s="1" t="s">
        <v>572</v>
      </c>
      <c r="C163" s="1" t="s">
        <v>40</v>
      </c>
      <c r="D163" s="1" t="s">
        <v>124</v>
      </c>
      <c r="E163" s="1" t="s">
        <v>103</v>
      </c>
      <c r="F163" s="1" t="s">
        <v>573</v>
      </c>
      <c r="G163" s="1" t="s">
        <v>574</v>
      </c>
      <c r="H163" s="1" t="s">
        <v>127</v>
      </c>
      <c r="I163" s="1" t="s">
        <v>131</v>
      </c>
      <c r="J163" s="1"/>
      <c r="K163" s="9">
        <v>18431.189999999999</v>
      </c>
      <c r="L163" s="1" t="s">
        <v>146</v>
      </c>
      <c r="M163" s="1" t="s">
        <v>15</v>
      </c>
      <c r="N163" s="1" t="s">
        <v>2830</v>
      </c>
      <c r="O163" s="1" t="s">
        <v>1986</v>
      </c>
      <c r="P163" s="1">
        <v>0</v>
      </c>
      <c r="Q163" s="1" t="s">
        <v>573</v>
      </c>
      <c r="R163" t="s">
        <v>2825</v>
      </c>
      <c r="S163" t="s">
        <v>3113</v>
      </c>
      <c r="T163" t="s">
        <v>3114</v>
      </c>
      <c r="U163" t="s">
        <v>17</v>
      </c>
    </row>
    <row r="164" spans="1:21">
      <c r="A164" s="1" t="s">
        <v>1898</v>
      </c>
      <c r="B164" s="1" t="s">
        <v>1899</v>
      </c>
      <c r="C164" s="1" t="s">
        <v>101</v>
      </c>
      <c r="D164" s="1" t="s">
        <v>352</v>
      </c>
      <c r="E164" s="1" t="s">
        <v>103</v>
      </c>
      <c r="F164" s="1" t="s">
        <v>1901</v>
      </c>
      <c r="G164" s="1"/>
      <c r="H164" s="1" t="s">
        <v>106</v>
      </c>
      <c r="I164" s="1" t="s">
        <v>108</v>
      </c>
      <c r="J164" s="1" t="s">
        <v>109</v>
      </c>
      <c r="K164" s="9">
        <v>-18431</v>
      </c>
      <c r="L164" s="1" t="s">
        <v>356</v>
      </c>
      <c r="M164" s="1" t="s">
        <v>15</v>
      </c>
      <c r="N164" s="1" t="s">
        <v>3069</v>
      </c>
      <c r="O164" s="1" t="s">
        <v>1901</v>
      </c>
      <c r="P164" s="1">
        <v>0</v>
      </c>
      <c r="Q164" s="1" t="s">
        <v>1901</v>
      </c>
      <c r="R164" t="s">
        <v>2823</v>
      </c>
      <c r="S164" t="s">
        <v>3115</v>
      </c>
      <c r="T164" t="s">
        <v>17</v>
      </c>
      <c r="U164" t="s">
        <v>3116</v>
      </c>
    </row>
    <row r="165" spans="1:21">
      <c r="A165" s="1" t="s">
        <v>1689</v>
      </c>
      <c r="B165" s="1" t="s">
        <v>1690</v>
      </c>
      <c r="C165" s="1" t="s">
        <v>101</v>
      </c>
      <c r="D165" s="1" t="s">
        <v>124</v>
      </c>
      <c r="E165" s="1" t="s">
        <v>103</v>
      </c>
      <c r="F165" s="1" t="s">
        <v>245</v>
      </c>
      <c r="G165" s="1" t="s">
        <v>1692</v>
      </c>
      <c r="H165" s="1" t="s">
        <v>127</v>
      </c>
      <c r="I165" s="1" t="s">
        <v>131</v>
      </c>
      <c r="J165" s="1"/>
      <c r="K165" s="9">
        <v>17174.509999999998</v>
      </c>
      <c r="L165" s="1" t="s">
        <v>132</v>
      </c>
      <c r="M165" s="1" t="s">
        <v>15</v>
      </c>
      <c r="N165" s="1" t="s">
        <v>2865</v>
      </c>
      <c r="O165" s="1" t="s">
        <v>1052</v>
      </c>
      <c r="P165" s="1">
        <v>0</v>
      </c>
      <c r="Q165" s="1" t="s">
        <v>245</v>
      </c>
      <c r="R165" t="s">
        <v>2825</v>
      </c>
      <c r="S165" t="s">
        <v>3117</v>
      </c>
      <c r="T165" t="s">
        <v>3118</v>
      </c>
      <c r="U165" t="s">
        <v>17</v>
      </c>
    </row>
    <row r="166" spans="1:21">
      <c r="A166" s="1" t="s">
        <v>1322</v>
      </c>
      <c r="B166" s="1" t="s">
        <v>1323</v>
      </c>
      <c r="C166" s="1" t="s">
        <v>101</v>
      </c>
      <c r="D166" s="1" t="s">
        <v>124</v>
      </c>
      <c r="E166" s="1" t="s">
        <v>103</v>
      </c>
      <c r="F166" s="1" t="s">
        <v>541</v>
      </c>
      <c r="G166" s="1" t="s">
        <v>1324</v>
      </c>
      <c r="H166" s="1" t="s">
        <v>127</v>
      </c>
      <c r="I166" s="1" t="s">
        <v>131</v>
      </c>
      <c r="J166" s="1"/>
      <c r="K166" s="9">
        <v>15289.51</v>
      </c>
      <c r="L166" s="1" t="s">
        <v>132</v>
      </c>
      <c r="M166" s="1" t="s">
        <v>15</v>
      </c>
      <c r="N166" s="1" t="s">
        <v>3087</v>
      </c>
      <c r="O166" s="1" t="s">
        <v>1879</v>
      </c>
      <c r="P166" s="1">
        <v>0</v>
      </c>
      <c r="Q166" s="1" t="s">
        <v>541</v>
      </c>
      <c r="R166" t="s">
        <v>2825</v>
      </c>
      <c r="S166" t="s">
        <v>3119</v>
      </c>
      <c r="T166" t="s">
        <v>3120</v>
      </c>
      <c r="U166" t="s">
        <v>17</v>
      </c>
    </row>
    <row r="167" spans="1:21">
      <c r="A167" s="1" t="s">
        <v>2635</v>
      </c>
      <c r="B167" s="1" t="s">
        <v>2584</v>
      </c>
      <c r="C167" s="1" t="s">
        <v>42</v>
      </c>
      <c r="D167" s="1" t="s">
        <v>42</v>
      </c>
      <c r="E167" s="1" t="s">
        <v>103</v>
      </c>
      <c r="F167" s="1" t="s">
        <v>314</v>
      </c>
      <c r="G167" s="1"/>
      <c r="H167" s="1" t="s">
        <v>2379</v>
      </c>
      <c r="I167" s="1" t="s">
        <v>2380</v>
      </c>
      <c r="J167" s="1"/>
      <c r="K167" s="9">
        <v>70792.53</v>
      </c>
      <c r="L167" s="1" t="s">
        <v>2535</v>
      </c>
      <c r="M167" s="1" t="s">
        <v>15</v>
      </c>
      <c r="N167" s="1" t="s">
        <v>2885</v>
      </c>
      <c r="O167" s="1" t="s">
        <v>314</v>
      </c>
      <c r="P167" s="1">
        <v>0</v>
      </c>
      <c r="Q167" s="1" t="s">
        <v>314</v>
      </c>
      <c r="R167" t="s">
        <v>2825</v>
      </c>
      <c r="S167" t="s">
        <v>2885</v>
      </c>
      <c r="T167" t="s">
        <v>17</v>
      </c>
      <c r="U167" t="s">
        <v>17</v>
      </c>
    </row>
    <row r="168" spans="1:21">
      <c r="A168" s="1" t="s">
        <v>1303</v>
      </c>
      <c r="B168" s="1" t="s">
        <v>1304</v>
      </c>
      <c r="C168" s="1" t="s">
        <v>40</v>
      </c>
      <c r="D168" s="1" t="s">
        <v>124</v>
      </c>
      <c r="E168" s="1" t="s">
        <v>103</v>
      </c>
      <c r="F168" s="1" t="s">
        <v>448</v>
      </c>
      <c r="G168" s="1" t="s">
        <v>1305</v>
      </c>
      <c r="H168" s="1" t="s">
        <v>127</v>
      </c>
      <c r="I168" s="1" t="s">
        <v>131</v>
      </c>
      <c r="J168" s="1"/>
      <c r="K168" s="9">
        <v>16546.18</v>
      </c>
      <c r="L168" s="1" t="s">
        <v>146</v>
      </c>
      <c r="M168" s="1" t="s">
        <v>15</v>
      </c>
      <c r="N168" s="1" t="s">
        <v>2827</v>
      </c>
      <c r="O168" s="1" t="s">
        <v>258</v>
      </c>
      <c r="P168" s="1">
        <v>0</v>
      </c>
      <c r="Q168" s="1" t="s">
        <v>448</v>
      </c>
      <c r="R168" t="s">
        <v>2825</v>
      </c>
      <c r="S168" t="s">
        <v>3121</v>
      </c>
      <c r="T168" t="s">
        <v>3122</v>
      </c>
      <c r="U168" t="s">
        <v>17</v>
      </c>
    </row>
    <row r="169" spans="1:21">
      <c r="A169" s="1" t="s">
        <v>2636</v>
      </c>
      <c r="B169" s="1" t="s">
        <v>2561</v>
      </c>
      <c r="C169" s="1" t="s">
        <v>42</v>
      </c>
      <c r="D169" s="1" t="s">
        <v>42</v>
      </c>
      <c r="E169" s="1" t="s">
        <v>103</v>
      </c>
      <c r="F169" s="1" t="s">
        <v>1457</v>
      </c>
      <c r="G169" s="1"/>
      <c r="H169" s="1" t="s">
        <v>2379</v>
      </c>
      <c r="I169" s="1" t="s">
        <v>2380</v>
      </c>
      <c r="J169" s="1"/>
      <c r="K169" s="9">
        <v>-15708.4</v>
      </c>
      <c r="L169" s="1" t="s">
        <v>2535</v>
      </c>
      <c r="M169" s="1" t="s">
        <v>15</v>
      </c>
      <c r="N169" s="1" t="s">
        <v>3123</v>
      </c>
      <c r="O169" s="1" t="s">
        <v>1457</v>
      </c>
      <c r="P169" s="1">
        <v>0</v>
      </c>
      <c r="Q169" s="1" t="s">
        <v>1457</v>
      </c>
      <c r="R169" t="s">
        <v>2825</v>
      </c>
      <c r="S169" t="s">
        <v>3123</v>
      </c>
      <c r="T169" t="s">
        <v>17</v>
      </c>
      <c r="U169" t="s">
        <v>17</v>
      </c>
    </row>
    <row r="170" spans="1:21">
      <c r="A170" s="1" t="s">
        <v>1115</v>
      </c>
      <c r="B170" s="1" t="s">
        <v>1116</v>
      </c>
      <c r="C170" s="1" t="s">
        <v>36</v>
      </c>
      <c r="D170" s="1" t="s">
        <v>124</v>
      </c>
      <c r="E170" s="1" t="s">
        <v>103</v>
      </c>
      <c r="F170" s="1" t="s">
        <v>1117</v>
      </c>
      <c r="G170" s="1" t="s">
        <v>1118</v>
      </c>
      <c r="H170" s="1" t="s">
        <v>127</v>
      </c>
      <c r="I170" s="1" t="s">
        <v>131</v>
      </c>
      <c r="J170" s="1"/>
      <c r="K170" s="9">
        <v>8260</v>
      </c>
      <c r="L170" s="1" t="s">
        <v>243</v>
      </c>
      <c r="M170" s="1" t="s">
        <v>15</v>
      </c>
      <c r="N170" s="1" t="s">
        <v>2836</v>
      </c>
      <c r="O170" s="1" t="s">
        <v>2518</v>
      </c>
      <c r="P170" s="1">
        <v>0</v>
      </c>
      <c r="Q170" s="1" t="s">
        <v>1117</v>
      </c>
      <c r="R170" t="s">
        <v>2825</v>
      </c>
      <c r="S170" t="s">
        <v>3124</v>
      </c>
      <c r="T170" t="s">
        <v>3125</v>
      </c>
      <c r="U170" t="s">
        <v>17</v>
      </c>
    </row>
    <row r="171" spans="1:21">
      <c r="A171" s="1" t="s">
        <v>1235</v>
      </c>
      <c r="B171" s="1" t="s">
        <v>1236</v>
      </c>
      <c r="C171" s="1" t="s">
        <v>101</v>
      </c>
      <c r="D171" s="1" t="s">
        <v>124</v>
      </c>
      <c r="E171" s="1" t="s">
        <v>103</v>
      </c>
      <c r="F171" s="1" t="s">
        <v>1237</v>
      </c>
      <c r="G171" s="1" t="s">
        <v>1238</v>
      </c>
      <c r="H171" s="1" t="s">
        <v>127</v>
      </c>
      <c r="I171" s="1" t="s">
        <v>131</v>
      </c>
      <c r="J171" s="1"/>
      <c r="K171" s="9">
        <v>15708.4</v>
      </c>
      <c r="L171" s="1" t="s">
        <v>132</v>
      </c>
      <c r="M171" s="1" t="s">
        <v>15</v>
      </c>
      <c r="N171" s="1" t="s">
        <v>3126</v>
      </c>
      <c r="O171" s="1" t="s">
        <v>564</v>
      </c>
      <c r="P171" s="1">
        <v>0</v>
      </c>
      <c r="Q171" s="1" t="s">
        <v>1237</v>
      </c>
      <c r="R171" t="s">
        <v>2825</v>
      </c>
      <c r="S171" t="s">
        <v>3127</v>
      </c>
      <c r="T171" t="s">
        <v>3128</v>
      </c>
      <c r="U171" t="s">
        <v>17</v>
      </c>
    </row>
    <row r="172" spans="1:21">
      <c r="A172" s="1" t="s">
        <v>2637</v>
      </c>
      <c r="B172" s="1" t="s">
        <v>2638</v>
      </c>
      <c r="C172" s="1" t="s">
        <v>42</v>
      </c>
      <c r="D172" s="1" t="s">
        <v>42</v>
      </c>
      <c r="E172" s="1" t="s">
        <v>103</v>
      </c>
      <c r="F172" s="1" t="s">
        <v>1011</v>
      </c>
      <c r="G172" s="1"/>
      <c r="H172" s="1" t="s">
        <v>2379</v>
      </c>
      <c r="I172" s="1" t="s">
        <v>2380</v>
      </c>
      <c r="J172" s="1"/>
      <c r="K172" s="9">
        <v>15498.94</v>
      </c>
      <c r="L172" s="1" t="s">
        <v>2535</v>
      </c>
      <c r="M172" s="1" t="s">
        <v>15</v>
      </c>
      <c r="N172" s="1" t="s">
        <v>3064</v>
      </c>
      <c r="O172" s="1" t="s">
        <v>1011</v>
      </c>
      <c r="P172" s="1">
        <v>0</v>
      </c>
      <c r="Q172" s="1" t="s">
        <v>1011</v>
      </c>
      <c r="R172" t="s">
        <v>2825</v>
      </c>
      <c r="S172" t="s">
        <v>3064</v>
      </c>
      <c r="T172" t="s">
        <v>17</v>
      </c>
      <c r="U172" t="s">
        <v>17</v>
      </c>
    </row>
    <row r="173" spans="1:21">
      <c r="A173" s="1" t="s">
        <v>2639</v>
      </c>
      <c r="B173" s="1" t="s">
        <v>2537</v>
      </c>
      <c r="C173" s="1" t="s">
        <v>42</v>
      </c>
      <c r="D173" s="1" t="s">
        <v>42</v>
      </c>
      <c r="E173" s="1" t="s">
        <v>103</v>
      </c>
      <c r="F173" s="1" t="s">
        <v>1335</v>
      </c>
      <c r="G173" s="1"/>
      <c r="H173" s="1" t="s">
        <v>2379</v>
      </c>
      <c r="I173" s="1" t="s">
        <v>2380</v>
      </c>
      <c r="J173" s="1"/>
      <c r="K173" s="9">
        <v>-18012.3</v>
      </c>
      <c r="L173" s="1" t="s">
        <v>2535</v>
      </c>
      <c r="M173" s="1" t="s">
        <v>15</v>
      </c>
      <c r="N173" s="1" t="s">
        <v>2864</v>
      </c>
      <c r="O173" s="1" t="s">
        <v>1335</v>
      </c>
      <c r="P173" s="1">
        <v>0</v>
      </c>
      <c r="Q173" s="1" t="s">
        <v>1335</v>
      </c>
      <c r="R173" t="s">
        <v>2825</v>
      </c>
      <c r="S173" t="s">
        <v>2864</v>
      </c>
      <c r="T173" t="s">
        <v>17</v>
      </c>
      <c r="U173" t="s">
        <v>17</v>
      </c>
    </row>
    <row r="174" spans="1:21">
      <c r="A174" s="1" t="s">
        <v>2640</v>
      </c>
      <c r="B174" s="1" t="s">
        <v>2641</v>
      </c>
      <c r="C174" s="1" t="s">
        <v>42</v>
      </c>
      <c r="D174" s="1" t="s">
        <v>42</v>
      </c>
      <c r="E174" s="1" t="s">
        <v>103</v>
      </c>
      <c r="F174" s="1" t="s">
        <v>2335</v>
      </c>
      <c r="G174" s="1"/>
      <c r="H174" s="1" t="s">
        <v>2379</v>
      </c>
      <c r="I174" s="1" t="s">
        <v>2380</v>
      </c>
      <c r="J174" s="1"/>
      <c r="K174" s="9">
        <v>-18012.3</v>
      </c>
      <c r="L174" s="1" t="s">
        <v>2535</v>
      </c>
      <c r="M174" s="1" t="s">
        <v>15</v>
      </c>
      <c r="N174" s="1" t="s">
        <v>3129</v>
      </c>
      <c r="O174" s="1" t="s">
        <v>2335</v>
      </c>
      <c r="P174" s="1">
        <v>0</v>
      </c>
      <c r="Q174" s="1" t="s">
        <v>2335</v>
      </c>
      <c r="R174" t="s">
        <v>2825</v>
      </c>
      <c r="S174" t="s">
        <v>3129</v>
      </c>
      <c r="T174" t="s">
        <v>17</v>
      </c>
      <c r="U174" t="s">
        <v>17</v>
      </c>
    </row>
    <row r="175" spans="1:21">
      <c r="A175" s="1" t="s">
        <v>2271</v>
      </c>
      <c r="B175" s="1" t="s">
        <v>2272</v>
      </c>
      <c r="C175" s="1" t="s">
        <v>101</v>
      </c>
      <c r="D175" s="1" t="s">
        <v>352</v>
      </c>
      <c r="E175" s="1" t="s">
        <v>103</v>
      </c>
      <c r="F175" s="1" t="s">
        <v>1563</v>
      </c>
      <c r="G175" s="1"/>
      <c r="H175" s="1" t="s">
        <v>106</v>
      </c>
      <c r="I175" s="1" t="s">
        <v>108</v>
      </c>
      <c r="J175" s="1" t="s">
        <v>109</v>
      </c>
      <c r="K175" s="9">
        <v>-57806.85</v>
      </c>
      <c r="L175" s="1" t="s">
        <v>356</v>
      </c>
      <c r="M175" s="1" t="s">
        <v>15</v>
      </c>
      <c r="N175" s="1" t="s">
        <v>2999</v>
      </c>
      <c r="O175" s="1" t="s">
        <v>2147</v>
      </c>
      <c r="P175" s="1">
        <v>0</v>
      </c>
      <c r="Q175" s="1" t="s">
        <v>1563</v>
      </c>
      <c r="R175" t="s">
        <v>2823</v>
      </c>
      <c r="S175" t="s">
        <v>3130</v>
      </c>
      <c r="T175" t="s">
        <v>17</v>
      </c>
      <c r="U175" t="s">
        <v>3131</v>
      </c>
    </row>
    <row r="176" spans="1:21">
      <c r="A176" s="1" t="s">
        <v>2642</v>
      </c>
      <c r="B176" s="1" t="s">
        <v>2643</v>
      </c>
      <c r="C176" s="1" t="s">
        <v>42</v>
      </c>
      <c r="D176" s="1" t="s">
        <v>42</v>
      </c>
      <c r="E176" s="1" t="s">
        <v>103</v>
      </c>
      <c r="F176" s="1" t="s">
        <v>338</v>
      </c>
      <c r="G176" s="1"/>
      <c r="H176" s="1" t="s">
        <v>2379</v>
      </c>
      <c r="I176" s="1" t="s">
        <v>2380</v>
      </c>
      <c r="J176" s="1"/>
      <c r="K176" s="9">
        <v>65556.37</v>
      </c>
      <c r="L176" s="1" t="s">
        <v>2535</v>
      </c>
      <c r="M176" s="1" t="s">
        <v>15</v>
      </c>
      <c r="N176" s="1" t="s">
        <v>2839</v>
      </c>
      <c r="O176" s="1" t="s">
        <v>338</v>
      </c>
      <c r="P176" s="1">
        <v>0</v>
      </c>
      <c r="Q176" s="1" t="s">
        <v>338</v>
      </c>
      <c r="R176" t="s">
        <v>2825</v>
      </c>
      <c r="S176" t="s">
        <v>2839</v>
      </c>
      <c r="T176" t="s">
        <v>17</v>
      </c>
      <c r="U176" t="s">
        <v>17</v>
      </c>
    </row>
    <row r="177" spans="1:21">
      <c r="A177" s="1" t="s">
        <v>2644</v>
      </c>
      <c r="B177" s="1" t="s">
        <v>2645</v>
      </c>
      <c r="C177" s="1" t="s">
        <v>42</v>
      </c>
      <c r="D177" s="1" t="s">
        <v>42</v>
      </c>
      <c r="E177" s="1" t="s">
        <v>103</v>
      </c>
      <c r="F177" s="1" t="s">
        <v>1177</v>
      </c>
      <c r="G177" s="1"/>
      <c r="H177" s="1" t="s">
        <v>2379</v>
      </c>
      <c r="I177" s="1" t="s">
        <v>2380</v>
      </c>
      <c r="J177" s="1"/>
      <c r="K177" s="9">
        <v>-12566.72</v>
      </c>
      <c r="L177" s="1" t="s">
        <v>2535</v>
      </c>
      <c r="M177" s="1" t="s">
        <v>15</v>
      </c>
      <c r="N177" s="1" t="s">
        <v>3132</v>
      </c>
      <c r="O177" s="1" t="s">
        <v>1177</v>
      </c>
      <c r="P177" s="1">
        <v>0</v>
      </c>
      <c r="Q177" s="1" t="s">
        <v>1177</v>
      </c>
      <c r="R177" t="s">
        <v>2825</v>
      </c>
      <c r="S177" t="s">
        <v>3132</v>
      </c>
      <c r="T177" t="s">
        <v>17</v>
      </c>
      <c r="U177" t="s">
        <v>17</v>
      </c>
    </row>
    <row r="178" spans="1:21">
      <c r="A178" s="1" t="s">
        <v>1892</v>
      </c>
      <c r="B178" s="1" t="s">
        <v>1893</v>
      </c>
      <c r="C178" s="1" t="s">
        <v>40</v>
      </c>
      <c r="D178" s="1" t="s">
        <v>124</v>
      </c>
      <c r="E178" s="1" t="s">
        <v>103</v>
      </c>
      <c r="F178" s="1" t="s">
        <v>1894</v>
      </c>
      <c r="G178" s="1" t="s">
        <v>1895</v>
      </c>
      <c r="H178" s="1" t="s">
        <v>127</v>
      </c>
      <c r="I178" s="1" t="s">
        <v>131</v>
      </c>
      <c r="J178" s="1"/>
      <c r="K178" s="9">
        <v>16546.18</v>
      </c>
      <c r="L178" s="1" t="s">
        <v>146</v>
      </c>
      <c r="M178" s="1" t="s">
        <v>15</v>
      </c>
      <c r="N178" s="1" t="s">
        <v>3017</v>
      </c>
      <c r="O178" s="1" t="s">
        <v>1106</v>
      </c>
      <c r="P178" s="1">
        <v>0</v>
      </c>
      <c r="Q178" s="1" t="s">
        <v>1894</v>
      </c>
      <c r="R178" t="s">
        <v>2825</v>
      </c>
      <c r="S178" t="s">
        <v>3133</v>
      </c>
      <c r="T178" t="s">
        <v>3134</v>
      </c>
      <c r="U178" t="s">
        <v>17</v>
      </c>
    </row>
    <row r="179" spans="1:21">
      <c r="A179" s="1" t="s">
        <v>2646</v>
      </c>
      <c r="B179" s="1" t="s">
        <v>2645</v>
      </c>
      <c r="C179" s="1" t="s">
        <v>42</v>
      </c>
      <c r="D179" s="1" t="s">
        <v>42</v>
      </c>
      <c r="E179" s="1" t="s">
        <v>103</v>
      </c>
      <c r="F179" s="1" t="s">
        <v>1177</v>
      </c>
      <c r="G179" s="1"/>
      <c r="H179" s="1" t="s">
        <v>2379</v>
      </c>
      <c r="I179" s="1" t="s">
        <v>2380</v>
      </c>
      <c r="J179" s="1"/>
      <c r="K179" s="9">
        <v>12566.72</v>
      </c>
      <c r="L179" s="1" t="s">
        <v>2535</v>
      </c>
      <c r="M179" s="1" t="s">
        <v>15</v>
      </c>
      <c r="N179" s="1" t="s">
        <v>3132</v>
      </c>
      <c r="O179" s="1" t="s">
        <v>1177</v>
      </c>
      <c r="P179" s="1">
        <v>0</v>
      </c>
      <c r="Q179" s="1" t="s">
        <v>1177</v>
      </c>
      <c r="R179" t="s">
        <v>2825</v>
      </c>
      <c r="S179" t="s">
        <v>3132</v>
      </c>
      <c r="T179" t="s">
        <v>17</v>
      </c>
      <c r="U179" t="s">
        <v>17</v>
      </c>
    </row>
    <row r="180" spans="1:21">
      <c r="A180" s="1" t="s">
        <v>1695</v>
      </c>
      <c r="B180" s="1" t="s">
        <v>1696</v>
      </c>
      <c r="C180" s="1" t="s">
        <v>40</v>
      </c>
      <c r="D180" s="1" t="s">
        <v>124</v>
      </c>
      <c r="E180" s="1" t="s">
        <v>103</v>
      </c>
      <c r="F180" s="1" t="s">
        <v>799</v>
      </c>
      <c r="G180" s="1" t="s">
        <v>1697</v>
      </c>
      <c r="H180" s="1" t="s">
        <v>127</v>
      </c>
      <c r="I180" s="1" t="s">
        <v>131</v>
      </c>
      <c r="J180" s="1"/>
      <c r="K180" s="9">
        <v>16965.080000000002</v>
      </c>
      <c r="L180" s="1" t="s">
        <v>146</v>
      </c>
      <c r="M180" s="1" t="s">
        <v>15</v>
      </c>
      <c r="N180" s="1" t="s">
        <v>3135</v>
      </c>
      <c r="O180" s="1" t="s">
        <v>190</v>
      </c>
      <c r="P180" s="1">
        <v>0</v>
      </c>
      <c r="Q180" s="1" t="s">
        <v>799</v>
      </c>
      <c r="R180" t="s">
        <v>2825</v>
      </c>
      <c r="S180" t="s">
        <v>3136</v>
      </c>
      <c r="T180" t="s">
        <v>3137</v>
      </c>
      <c r="U180" t="s">
        <v>17</v>
      </c>
    </row>
    <row r="181" spans="1:21">
      <c r="A181" s="1" t="s">
        <v>2647</v>
      </c>
      <c r="B181" s="1" t="s">
        <v>2648</v>
      </c>
      <c r="C181" s="1" t="s">
        <v>42</v>
      </c>
      <c r="D181" s="1" t="s">
        <v>42</v>
      </c>
      <c r="E181" s="1" t="s">
        <v>103</v>
      </c>
      <c r="F181" s="1" t="s">
        <v>564</v>
      </c>
      <c r="G181" s="1"/>
      <c r="H181" s="1" t="s">
        <v>2379</v>
      </c>
      <c r="I181" s="1" t="s">
        <v>2380</v>
      </c>
      <c r="J181" s="1"/>
      <c r="K181" s="9">
        <v>33092.370000000003</v>
      </c>
      <c r="L181" s="1" t="s">
        <v>2535</v>
      </c>
      <c r="M181" s="1" t="s">
        <v>15</v>
      </c>
      <c r="N181" s="1" t="s">
        <v>3126</v>
      </c>
      <c r="O181" s="1" t="s">
        <v>564</v>
      </c>
      <c r="P181" s="1">
        <v>0</v>
      </c>
      <c r="Q181" s="1" t="s">
        <v>564</v>
      </c>
      <c r="R181" t="s">
        <v>2825</v>
      </c>
      <c r="S181" t="s">
        <v>3126</v>
      </c>
      <c r="T181" t="s">
        <v>17</v>
      </c>
      <c r="U181" t="s">
        <v>17</v>
      </c>
    </row>
    <row r="182" spans="1:21">
      <c r="A182" s="1" t="s">
        <v>2504</v>
      </c>
      <c r="B182" s="1" t="s">
        <v>17</v>
      </c>
      <c r="C182" s="1" t="s">
        <v>33</v>
      </c>
      <c r="D182" s="1" t="s">
        <v>2391</v>
      </c>
      <c r="E182" s="1" t="s">
        <v>103</v>
      </c>
      <c r="F182" s="1" t="s">
        <v>964</v>
      </c>
      <c r="G182" s="1"/>
      <c r="H182" s="1" t="s">
        <v>2379</v>
      </c>
      <c r="I182" s="1" t="s">
        <v>2380</v>
      </c>
      <c r="J182" s="1"/>
      <c r="K182" s="9">
        <v>328908.40000000002</v>
      </c>
      <c r="L182" s="1" t="s">
        <v>2494</v>
      </c>
      <c r="M182" s="1" t="s">
        <v>15</v>
      </c>
      <c r="N182" s="1" t="s">
        <v>2833</v>
      </c>
      <c r="O182" s="1" t="s">
        <v>964</v>
      </c>
      <c r="P182" s="1">
        <v>0</v>
      </c>
      <c r="Q182" s="1" t="s">
        <v>964</v>
      </c>
      <c r="R182" t="s">
        <v>2823</v>
      </c>
      <c r="S182" t="s">
        <v>2833</v>
      </c>
      <c r="T182" t="s">
        <v>17</v>
      </c>
      <c r="U182" t="s">
        <v>17</v>
      </c>
    </row>
    <row r="183" spans="1:21">
      <c r="A183" s="1" t="s">
        <v>1108</v>
      </c>
      <c r="B183" s="1" t="s">
        <v>1109</v>
      </c>
      <c r="C183" s="1" t="s">
        <v>101</v>
      </c>
      <c r="D183" s="1" t="s">
        <v>124</v>
      </c>
      <c r="E183" s="1" t="s">
        <v>103</v>
      </c>
      <c r="F183" s="1" t="s">
        <v>1110</v>
      </c>
      <c r="G183" s="1" t="s">
        <v>1111</v>
      </c>
      <c r="H183" s="1" t="s">
        <v>127</v>
      </c>
      <c r="I183" s="1" t="s">
        <v>131</v>
      </c>
      <c r="J183" s="1"/>
      <c r="K183" s="9">
        <v>16127.29</v>
      </c>
      <c r="L183" s="1" t="s">
        <v>132</v>
      </c>
      <c r="M183" s="1" t="s">
        <v>15</v>
      </c>
      <c r="N183" s="1" t="s">
        <v>3036</v>
      </c>
      <c r="O183" s="1" t="s">
        <v>1826</v>
      </c>
      <c r="P183" s="1">
        <v>0</v>
      </c>
      <c r="Q183" s="1" t="s">
        <v>1110</v>
      </c>
      <c r="R183" t="s">
        <v>2825</v>
      </c>
      <c r="S183" t="s">
        <v>3138</v>
      </c>
      <c r="T183" t="s">
        <v>3139</v>
      </c>
      <c r="U183" t="s">
        <v>17</v>
      </c>
    </row>
    <row r="184" spans="1:21">
      <c r="A184" s="1" t="s">
        <v>1243</v>
      </c>
      <c r="B184" s="1" t="s">
        <v>1244</v>
      </c>
      <c r="C184" s="1" t="s">
        <v>101</v>
      </c>
      <c r="D184" s="1" t="s">
        <v>124</v>
      </c>
      <c r="E184" s="1" t="s">
        <v>103</v>
      </c>
      <c r="F184" s="1" t="s">
        <v>503</v>
      </c>
      <c r="G184" s="1" t="s">
        <v>1245</v>
      </c>
      <c r="H184" s="1" t="s">
        <v>127</v>
      </c>
      <c r="I184" s="1" t="s">
        <v>131</v>
      </c>
      <c r="J184" s="1"/>
      <c r="K184" s="9">
        <v>14451.72</v>
      </c>
      <c r="L184" s="1" t="s">
        <v>132</v>
      </c>
      <c r="M184" s="1" t="s">
        <v>15</v>
      </c>
      <c r="N184" s="1" t="s">
        <v>2874</v>
      </c>
      <c r="O184" s="1" t="s">
        <v>1154</v>
      </c>
      <c r="P184" s="1">
        <v>0</v>
      </c>
      <c r="Q184" s="1" t="s">
        <v>503</v>
      </c>
      <c r="R184" t="s">
        <v>2825</v>
      </c>
      <c r="S184" t="s">
        <v>3140</v>
      </c>
      <c r="T184" t="s">
        <v>3141</v>
      </c>
      <c r="U184" t="s">
        <v>17</v>
      </c>
    </row>
    <row r="185" spans="1:21">
      <c r="A185" s="1" t="s">
        <v>2505</v>
      </c>
      <c r="B185" s="1" t="s">
        <v>17</v>
      </c>
      <c r="C185" s="1" t="s">
        <v>33</v>
      </c>
      <c r="D185" s="1" t="s">
        <v>2391</v>
      </c>
      <c r="E185" s="1" t="s">
        <v>103</v>
      </c>
      <c r="F185" s="1" t="s">
        <v>258</v>
      </c>
      <c r="G185" s="1"/>
      <c r="H185" s="1" t="s">
        <v>2379</v>
      </c>
      <c r="I185" s="1" t="s">
        <v>2380</v>
      </c>
      <c r="J185" s="1"/>
      <c r="K185" s="9">
        <v>-108283.19</v>
      </c>
      <c r="L185" s="1" t="s">
        <v>2494</v>
      </c>
      <c r="M185" s="1" t="s">
        <v>15</v>
      </c>
      <c r="N185" s="1" t="s">
        <v>2827</v>
      </c>
      <c r="O185" s="1" t="s">
        <v>258</v>
      </c>
      <c r="P185" s="1">
        <v>0</v>
      </c>
      <c r="Q185" s="1" t="s">
        <v>258</v>
      </c>
      <c r="R185" t="s">
        <v>2825</v>
      </c>
      <c r="S185" t="s">
        <v>2827</v>
      </c>
      <c r="T185" t="s">
        <v>17</v>
      </c>
      <c r="U185" t="s">
        <v>17</v>
      </c>
    </row>
    <row r="186" spans="1:21">
      <c r="A186" s="1" t="s">
        <v>1028</v>
      </c>
      <c r="B186" s="1" t="s">
        <v>1029</v>
      </c>
      <c r="C186" s="1" t="s">
        <v>101</v>
      </c>
      <c r="D186" s="1" t="s">
        <v>124</v>
      </c>
      <c r="E186" s="1" t="s">
        <v>103</v>
      </c>
      <c r="F186" s="1" t="s">
        <v>690</v>
      </c>
      <c r="G186" s="1" t="s">
        <v>1030</v>
      </c>
      <c r="H186" s="1" t="s">
        <v>127</v>
      </c>
      <c r="I186" s="1" t="s">
        <v>131</v>
      </c>
      <c r="J186" s="1"/>
      <c r="K186" s="9">
        <v>11519.5</v>
      </c>
      <c r="L186" s="1" t="s">
        <v>132</v>
      </c>
      <c r="M186" s="1" t="s">
        <v>15</v>
      </c>
      <c r="N186" s="1" t="s">
        <v>2868</v>
      </c>
      <c r="O186" s="1" t="s">
        <v>1572</v>
      </c>
      <c r="P186" s="1">
        <v>0</v>
      </c>
      <c r="Q186" s="1" t="s">
        <v>690</v>
      </c>
      <c r="R186" t="s">
        <v>2825</v>
      </c>
      <c r="S186" t="s">
        <v>3142</v>
      </c>
      <c r="T186" t="s">
        <v>3143</v>
      </c>
      <c r="U186" t="s">
        <v>17</v>
      </c>
    </row>
    <row r="187" spans="1:21">
      <c r="A187" s="1" t="s">
        <v>1939</v>
      </c>
      <c r="B187" s="1" t="s">
        <v>1934</v>
      </c>
      <c r="C187" s="1" t="s">
        <v>101</v>
      </c>
      <c r="D187" s="1" t="s">
        <v>483</v>
      </c>
      <c r="E187" s="1" t="s">
        <v>103</v>
      </c>
      <c r="F187" s="1" t="s">
        <v>389</v>
      </c>
      <c r="G187" s="1"/>
      <c r="H187" s="1" t="s">
        <v>106</v>
      </c>
      <c r="I187" s="1" t="s">
        <v>108</v>
      </c>
      <c r="J187" s="1" t="s">
        <v>109</v>
      </c>
      <c r="K187" s="9">
        <v>-49847.97</v>
      </c>
      <c r="L187" s="1" t="s">
        <v>486</v>
      </c>
      <c r="M187" s="1" t="s">
        <v>15</v>
      </c>
      <c r="N187" s="1" t="s">
        <v>2854</v>
      </c>
      <c r="O187" s="1" t="s">
        <v>314</v>
      </c>
      <c r="P187" s="1">
        <v>0</v>
      </c>
      <c r="Q187" s="1" t="s">
        <v>389</v>
      </c>
      <c r="R187" t="s">
        <v>2823</v>
      </c>
      <c r="S187" t="s">
        <v>3144</v>
      </c>
      <c r="T187" t="s">
        <v>17</v>
      </c>
      <c r="U187" t="s">
        <v>3145</v>
      </c>
    </row>
    <row r="188" spans="1:21">
      <c r="A188" s="1" t="s">
        <v>2358</v>
      </c>
      <c r="B188" s="1" t="s">
        <v>2359</v>
      </c>
      <c r="C188" s="1" t="s">
        <v>101</v>
      </c>
      <c r="D188" s="1" t="s">
        <v>352</v>
      </c>
      <c r="E188" s="1" t="s">
        <v>103</v>
      </c>
      <c r="F188" s="1" t="s">
        <v>130</v>
      </c>
      <c r="G188" s="1"/>
      <c r="H188" s="1" t="s">
        <v>106</v>
      </c>
      <c r="I188" s="1" t="s">
        <v>108</v>
      </c>
      <c r="J188" s="1" t="s">
        <v>109</v>
      </c>
      <c r="K188" s="9">
        <v>-31206.73</v>
      </c>
      <c r="L188" s="1" t="s">
        <v>356</v>
      </c>
      <c r="M188" s="1" t="s">
        <v>15</v>
      </c>
      <c r="N188" s="1" t="s">
        <v>2924</v>
      </c>
      <c r="O188" s="1" t="s">
        <v>130</v>
      </c>
      <c r="P188" s="1">
        <v>0</v>
      </c>
      <c r="Q188" s="1" t="s">
        <v>130</v>
      </c>
      <c r="R188" t="s">
        <v>2823</v>
      </c>
      <c r="S188" t="s">
        <v>3146</v>
      </c>
      <c r="T188" t="s">
        <v>17</v>
      </c>
      <c r="U188" t="s">
        <v>3147</v>
      </c>
    </row>
    <row r="189" spans="1:21">
      <c r="A189" s="1" t="s">
        <v>452</v>
      </c>
      <c r="B189" s="1" t="s">
        <v>453</v>
      </c>
      <c r="C189" s="1" t="s">
        <v>101</v>
      </c>
      <c r="D189" s="1" t="s">
        <v>102</v>
      </c>
      <c r="E189" s="1" t="s">
        <v>103</v>
      </c>
      <c r="F189" s="1" t="s">
        <v>454</v>
      </c>
      <c r="G189" s="1"/>
      <c r="H189" s="1" t="s">
        <v>106</v>
      </c>
      <c r="I189" s="1" t="s">
        <v>108</v>
      </c>
      <c r="J189" s="1" t="s">
        <v>109</v>
      </c>
      <c r="K189" s="9">
        <v>-29531</v>
      </c>
      <c r="L189" s="1" t="s">
        <v>110</v>
      </c>
      <c r="M189" s="1" t="s">
        <v>15</v>
      </c>
      <c r="N189" s="1" t="s">
        <v>2875</v>
      </c>
      <c r="O189" s="1" t="s">
        <v>517</v>
      </c>
      <c r="P189" s="1">
        <v>0</v>
      </c>
      <c r="Q189" s="1" t="s">
        <v>454</v>
      </c>
      <c r="R189" t="s">
        <v>2823</v>
      </c>
      <c r="S189" t="s">
        <v>3148</v>
      </c>
      <c r="T189" t="s">
        <v>17</v>
      </c>
      <c r="U189" t="s">
        <v>3149</v>
      </c>
    </row>
    <row r="190" spans="1:21">
      <c r="A190" s="1" t="s">
        <v>1831</v>
      </c>
      <c r="B190" s="1" t="s">
        <v>1832</v>
      </c>
      <c r="C190" s="1" t="s">
        <v>101</v>
      </c>
      <c r="D190" s="1" t="s">
        <v>352</v>
      </c>
      <c r="E190" s="1" t="s">
        <v>103</v>
      </c>
      <c r="F190" s="1" t="s">
        <v>130</v>
      </c>
      <c r="G190" s="1"/>
      <c r="H190" s="1" t="s">
        <v>106</v>
      </c>
      <c r="I190" s="1" t="s">
        <v>108</v>
      </c>
      <c r="J190" s="1" t="s">
        <v>109</v>
      </c>
      <c r="K190" s="9">
        <v>-14661</v>
      </c>
      <c r="L190" s="1" t="s">
        <v>356</v>
      </c>
      <c r="M190" s="1" t="s">
        <v>15</v>
      </c>
      <c r="N190" s="1" t="s">
        <v>3055</v>
      </c>
      <c r="O190" s="1" t="s">
        <v>130</v>
      </c>
      <c r="P190" s="1">
        <v>0</v>
      </c>
      <c r="Q190" s="1" t="s">
        <v>130</v>
      </c>
      <c r="R190" t="s">
        <v>2823</v>
      </c>
      <c r="S190" t="s">
        <v>3150</v>
      </c>
      <c r="T190" t="s">
        <v>17</v>
      </c>
      <c r="U190" t="s">
        <v>3151</v>
      </c>
    </row>
    <row r="191" spans="1:21">
      <c r="A191" s="1" t="s">
        <v>272</v>
      </c>
      <c r="B191" s="1" t="s">
        <v>273</v>
      </c>
      <c r="C191" s="1" t="s">
        <v>101</v>
      </c>
      <c r="D191" s="1" t="s">
        <v>124</v>
      </c>
      <c r="E191" s="1" t="s">
        <v>103</v>
      </c>
      <c r="F191" s="1" t="s">
        <v>274</v>
      </c>
      <c r="G191" s="1" t="s">
        <v>275</v>
      </c>
      <c r="H191" s="1" t="s">
        <v>127</v>
      </c>
      <c r="I191" s="1" t="s">
        <v>131</v>
      </c>
      <c r="J191" s="1"/>
      <c r="K191" s="9">
        <v>11938.37</v>
      </c>
      <c r="L191" s="1" t="s">
        <v>132</v>
      </c>
      <c r="M191" s="1" t="s">
        <v>15</v>
      </c>
      <c r="N191" s="1" t="s">
        <v>2971</v>
      </c>
      <c r="O191" s="1" t="s">
        <v>1159</v>
      </c>
      <c r="P191" s="1">
        <v>0</v>
      </c>
      <c r="Q191" s="1" t="s">
        <v>274</v>
      </c>
      <c r="R191" t="s">
        <v>2825</v>
      </c>
      <c r="S191" t="s">
        <v>3152</v>
      </c>
      <c r="T191" t="s">
        <v>3153</v>
      </c>
      <c r="U191" t="s">
        <v>17</v>
      </c>
    </row>
    <row r="192" spans="1:21">
      <c r="A192" s="1" t="s">
        <v>1517</v>
      </c>
      <c r="B192" s="1" t="s">
        <v>1518</v>
      </c>
      <c r="C192" s="1" t="s">
        <v>101</v>
      </c>
      <c r="D192" s="1" t="s">
        <v>352</v>
      </c>
      <c r="E192" s="1" t="s">
        <v>103</v>
      </c>
      <c r="F192" s="1" t="s">
        <v>462</v>
      </c>
      <c r="G192" s="1"/>
      <c r="H192" s="1" t="s">
        <v>106</v>
      </c>
      <c r="I192" s="1" t="s">
        <v>108</v>
      </c>
      <c r="J192" s="1" t="s">
        <v>109</v>
      </c>
      <c r="K192" s="9">
        <v>-11100.61</v>
      </c>
      <c r="L192" s="1" t="s">
        <v>356</v>
      </c>
      <c r="M192" s="1" t="s">
        <v>15</v>
      </c>
      <c r="N192" s="1" t="s">
        <v>2908</v>
      </c>
      <c r="O192" s="1" t="s">
        <v>464</v>
      </c>
      <c r="P192" s="1">
        <v>0</v>
      </c>
      <c r="Q192" s="1" t="s">
        <v>462</v>
      </c>
      <c r="R192" t="s">
        <v>2823</v>
      </c>
      <c r="S192" t="s">
        <v>3154</v>
      </c>
      <c r="T192" t="s">
        <v>17</v>
      </c>
      <c r="U192" t="s">
        <v>3155</v>
      </c>
    </row>
    <row r="193" spans="1:21">
      <c r="A193" s="1" t="s">
        <v>2649</v>
      </c>
      <c r="B193" s="1" t="s">
        <v>2650</v>
      </c>
      <c r="C193" s="1" t="s">
        <v>42</v>
      </c>
      <c r="D193" s="1" t="s">
        <v>42</v>
      </c>
      <c r="E193" s="1" t="s">
        <v>103</v>
      </c>
      <c r="F193" s="1" t="s">
        <v>378</v>
      </c>
      <c r="G193" s="1"/>
      <c r="H193" s="1" t="s">
        <v>2379</v>
      </c>
      <c r="I193" s="1" t="s">
        <v>2380</v>
      </c>
      <c r="J193" s="1"/>
      <c r="K193" s="9">
        <v>56131.33</v>
      </c>
      <c r="L193" s="1" t="s">
        <v>2535</v>
      </c>
      <c r="M193" s="1" t="s">
        <v>15</v>
      </c>
      <c r="N193" s="1" t="s">
        <v>2842</v>
      </c>
      <c r="O193" s="1" t="s">
        <v>378</v>
      </c>
      <c r="P193" s="1">
        <v>0</v>
      </c>
      <c r="Q193" s="1" t="s">
        <v>378</v>
      </c>
      <c r="R193" t="s">
        <v>2825</v>
      </c>
      <c r="S193" t="s">
        <v>2842</v>
      </c>
      <c r="T193" t="s">
        <v>17</v>
      </c>
      <c r="U193" t="s">
        <v>17</v>
      </c>
    </row>
    <row r="194" spans="1:21">
      <c r="A194" s="1" t="s">
        <v>2651</v>
      </c>
      <c r="B194" s="1" t="s">
        <v>2652</v>
      </c>
      <c r="C194" s="1" t="s">
        <v>42</v>
      </c>
      <c r="D194" s="1" t="s">
        <v>42</v>
      </c>
      <c r="E194" s="1" t="s">
        <v>103</v>
      </c>
      <c r="F194" s="1" t="s">
        <v>301</v>
      </c>
      <c r="G194" s="1"/>
      <c r="H194" s="1" t="s">
        <v>2379</v>
      </c>
      <c r="I194" s="1" t="s">
        <v>2380</v>
      </c>
      <c r="J194" s="1"/>
      <c r="K194" s="9">
        <v>15080</v>
      </c>
      <c r="L194" s="1" t="s">
        <v>2535</v>
      </c>
      <c r="M194" s="1" t="s">
        <v>15</v>
      </c>
      <c r="N194" s="1" t="s">
        <v>3090</v>
      </c>
      <c r="O194" s="1" t="s">
        <v>301</v>
      </c>
      <c r="P194" s="1">
        <v>0</v>
      </c>
      <c r="Q194" s="1" t="s">
        <v>301</v>
      </c>
      <c r="R194" t="s">
        <v>2825</v>
      </c>
      <c r="S194" t="s">
        <v>3090</v>
      </c>
      <c r="T194" t="s">
        <v>17</v>
      </c>
      <c r="U194" t="s">
        <v>17</v>
      </c>
    </row>
    <row r="195" spans="1:21">
      <c r="A195" s="1" t="s">
        <v>1629</v>
      </c>
      <c r="B195" s="1" t="s">
        <v>1630</v>
      </c>
      <c r="C195" s="1" t="s">
        <v>36</v>
      </c>
      <c r="D195" s="1" t="s">
        <v>124</v>
      </c>
      <c r="E195" s="1" t="s">
        <v>103</v>
      </c>
      <c r="F195" s="1" t="s">
        <v>1472</v>
      </c>
      <c r="G195" s="1" t="s">
        <v>1631</v>
      </c>
      <c r="H195" s="1" t="s">
        <v>127</v>
      </c>
      <c r="I195" s="1" t="s">
        <v>131</v>
      </c>
      <c r="J195" s="1"/>
      <c r="K195" s="9">
        <v>8260</v>
      </c>
      <c r="L195" s="1" t="s">
        <v>243</v>
      </c>
      <c r="M195" s="1" t="s">
        <v>15</v>
      </c>
      <c r="N195" s="1" t="s">
        <v>2837</v>
      </c>
      <c r="O195" s="1" t="s">
        <v>454</v>
      </c>
      <c r="P195" s="1">
        <v>0</v>
      </c>
      <c r="Q195" s="1" t="s">
        <v>1472</v>
      </c>
      <c r="R195" t="s">
        <v>2825</v>
      </c>
      <c r="S195" t="s">
        <v>3156</v>
      </c>
      <c r="T195" t="s">
        <v>3157</v>
      </c>
      <c r="U195" t="s">
        <v>17</v>
      </c>
    </row>
    <row r="196" spans="1:21">
      <c r="A196" s="1" t="s">
        <v>919</v>
      </c>
      <c r="B196" s="1" t="s">
        <v>920</v>
      </c>
      <c r="C196" s="1" t="s">
        <v>101</v>
      </c>
      <c r="D196" s="1" t="s">
        <v>124</v>
      </c>
      <c r="E196" s="1" t="s">
        <v>103</v>
      </c>
      <c r="F196" s="1" t="s">
        <v>921</v>
      </c>
      <c r="G196" s="1" t="s">
        <v>922</v>
      </c>
      <c r="H196" s="1" t="s">
        <v>127</v>
      </c>
      <c r="I196" s="1" t="s">
        <v>131</v>
      </c>
      <c r="J196" s="1"/>
      <c r="K196" s="9">
        <v>14661.16</v>
      </c>
      <c r="L196" s="1" t="s">
        <v>132</v>
      </c>
      <c r="M196" s="1" t="s">
        <v>15</v>
      </c>
      <c r="N196" s="1" t="s">
        <v>2988</v>
      </c>
      <c r="O196" s="1" t="s">
        <v>151</v>
      </c>
      <c r="P196" s="1">
        <v>0</v>
      </c>
      <c r="Q196" s="1" t="s">
        <v>921</v>
      </c>
      <c r="R196" t="s">
        <v>2825</v>
      </c>
      <c r="S196" t="s">
        <v>3158</v>
      </c>
      <c r="T196" t="s">
        <v>3159</v>
      </c>
      <c r="U196" t="s">
        <v>17</v>
      </c>
    </row>
    <row r="197" spans="1:21">
      <c r="A197" s="1" t="s">
        <v>2653</v>
      </c>
      <c r="B197" s="1" t="s">
        <v>2577</v>
      </c>
      <c r="C197" s="1" t="s">
        <v>42</v>
      </c>
      <c r="D197" s="1" t="s">
        <v>42</v>
      </c>
      <c r="E197" s="1" t="s">
        <v>103</v>
      </c>
      <c r="F197" s="1" t="s">
        <v>2654</v>
      </c>
      <c r="G197" s="1"/>
      <c r="H197" s="1" t="s">
        <v>2379</v>
      </c>
      <c r="I197" s="1" t="s">
        <v>2380</v>
      </c>
      <c r="J197" s="1"/>
      <c r="K197" s="9">
        <v>13613.94</v>
      </c>
      <c r="L197" s="1" t="s">
        <v>2535</v>
      </c>
      <c r="M197" s="1" t="s">
        <v>15</v>
      </c>
      <c r="N197" s="1" t="s">
        <v>2933</v>
      </c>
      <c r="O197" s="1" t="s">
        <v>2654</v>
      </c>
      <c r="P197" s="1">
        <v>0</v>
      </c>
      <c r="Q197" s="1" t="s">
        <v>2654</v>
      </c>
      <c r="R197" t="s">
        <v>2825</v>
      </c>
      <c r="S197" t="s">
        <v>2933</v>
      </c>
      <c r="T197" t="s">
        <v>17</v>
      </c>
      <c r="U197" t="s">
        <v>17</v>
      </c>
    </row>
    <row r="198" spans="1:21">
      <c r="A198" s="1" t="s">
        <v>2506</v>
      </c>
      <c r="B198" s="1" t="s">
        <v>17</v>
      </c>
      <c r="C198" s="1" t="s">
        <v>33</v>
      </c>
      <c r="D198" s="1" t="s">
        <v>2391</v>
      </c>
      <c r="E198" s="1" t="s">
        <v>103</v>
      </c>
      <c r="F198" s="1" t="s">
        <v>1418</v>
      </c>
      <c r="G198" s="1"/>
      <c r="H198" s="1" t="s">
        <v>2379</v>
      </c>
      <c r="I198" s="1" t="s">
        <v>2380</v>
      </c>
      <c r="J198" s="1"/>
      <c r="K198" s="9">
        <v>-8260</v>
      </c>
      <c r="L198" s="1" t="s">
        <v>2494</v>
      </c>
      <c r="M198" s="1" t="s">
        <v>15</v>
      </c>
      <c r="N198" s="1" t="s">
        <v>2831</v>
      </c>
      <c r="O198" s="1" t="s">
        <v>1418</v>
      </c>
      <c r="P198" s="1">
        <v>0</v>
      </c>
      <c r="Q198" s="1" t="s">
        <v>1418</v>
      </c>
      <c r="R198" t="s">
        <v>2825</v>
      </c>
      <c r="S198" t="s">
        <v>2831</v>
      </c>
      <c r="T198" t="s">
        <v>17</v>
      </c>
      <c r="U198" t="s">
        <v>17</v>
      </c>
    </row>
    <row r="199" spans="1:21">
      <c r="A199" s="1" t="s">
        <v>2655</v>
      </c>
      <c r="B199" s="1" t="s">
        <v>2656</v>
      </c>
      <c r="C199" s="1" t="s">
        <v>42</v>
      </c>
      <c r="D199" s="1" t="s">
        <v>42</v>
      </c>
      <c r="E199" s="1" t="s">
        <v>103</v>
      </c>
      <c r="F199" s="1" t="s">
        <v>726</v>
      </c>
      <c r="G199" s="1"/>
      <c r="H199" s="1" t="s">
        <v>2379</v>
      </c>
      <c r="I199" s="1" t="s">
        <v>2380</v>
      </c>
      <c r="J199" s="1"/>
      <c r="K199" s="9">
        <v>13613.94</v>
      </c>
      <c r="L199" s="1" t="s">
        <v>2535</v>
      </c>
      <c r="M199" s="1" t="s">
        <v>15</v>
      </c>
      <c r="N199" s="1" t="s">
        <v>2968</v>
      </c>
      <c r="O199" s="1" t="s">
        <v>726</v>
      </c>
      <c r="P199" s="1">
        <v>0</v>
      </c>
      <c r="Q199" s="1" t="s">
        <v>726</v>
      </c>
      <c r="R199" t="s">
        <v>2825</v>
      </c>
      <c r="S199" t="s">
        <v>2968</v>
      </c>
      <c r="T199" t="s">
        <v>17</v>
      </c>
      <c r="U199" t="s">
        <v>17</v>
      </c>
    </row>
    <row r="200" spans="1:21">
      <c r="A200" s="1" t="s">
        <v>1593</v>
      </c>
      <c r="B200" s="1" t="s">
        <v>1594</v>
      </c>
      <c r="C200" s="1" t="s">
        <v>101</v>
      </c>
      <c r="D200" s="1" t="s">
        <v>352</v>
      </c>
      <c r="E200" s="1" t="s">
        <v>103</v>
      </c>
      <c r="F200" s="1" t="s">
        <v>338</v>
      </c>
      <c r="G200" s="1"/>
      <c r="H200" s="1" t="s">
        <v>106</v>
      </c>
      <c r="I200" s="1" t="s">
        <v>108</v>
      </c>
      <c r="J200" s="1" t="s">
        <v>109</v>
      </c>
      <c r="K200" s="9">
        <v>-15708</v>
      </c>
      <c r="L200" s="1" t="s">
        <v>356</v>
      </c>
      <c r="M200" s="1" t="s">
        <v>15</v>
      </c>
      <c r="N200" s="1" t="s">
        <v>3123</v>
      </c>
      <c r="O200" s="1" t="s">
        <v>1457</v>
      </c>
      <c r="P200" s="1">
        <v>0</v>
      </c>
      <c r="Q200" s="1" t="s">
        <v>338</v>
      </c>
      <c r="R200" t="s">
        <v>2823</v>
      </c>
      <c r="S200" t="s">
        <v>3160</v>
      </c>
      <c r="T200" t="s">
        <v>17</v>
      </c>
      <c r="U200" t="s">
        <v>3161</v>
      </c>
    </row>
    <row r="201" spans="1:21">
      <c r="A201" s="1" t="s">
        <v>1956</v>
      </c>
      <c r="B201" s="1" t="s">
        <v>1957</v>
      </c>
      <c r="C201" s="1" t="s">
        <v>101</v>
      </c>
      <c r="D201" s="1" t="s">
        <v>102</v>
      </c>
      <c r="E201" s="1" t="s">
        <v>103</v>
      </c>
      <c r="F201" s="1" t="s">
        <v>412</v>
      </c>
      <c r="G201" s="1"/>
      <c r="H201" s="1" t="s">
        <v>106</v>
      </c>
      <c r="I201" s="1" t="s">
        <v>108</v>
      </c>
      <c r="J201" s="1" t="s">
        <v>109</v>
      </c>
      <c r="K201" s="9">
        <v>-31626.240000000002</v>
      </c>
      <c r="L201" s="1" t="s">
        <v>110</v>
      </c>
      <c r="M201" s="1" t="s">
        <v>15</v>
      </c>
      <c r="N201" s="1" t="s">
        <v>2930</v>
      </c>
      <c r="O201" s="1" t="s">
        <v>1759</v>
      </c>
      <c r="P201" s="1">
        <v>0</v>
      </c>
      <c r="Q201" s="1" t="s">
        <v>412</v>
      </c>
      <c r="R201" t="s">
        <v>2823</v>
      </c>
      <c r="S201" t="s">
        <v>3162</v>
      </c>
      <c r="T201" t="s">
        <v>17</v>
      </c>
      <c r="U201" t="s">
        <v>3163</v>
      </c>
    </row>
    <row r="202" spans="1:21">
      <c r="A202" s="1" t="s">
        <v>2657</v>
      </c>
      <c r="B202" s="1" t="s">
        <v>2623</v>
      </c>
      <c r="C202" s="1" t="s">
        <v>42</v>
      </c>
      <c r="D202" s="1" t="s">
        <v>42</v>
      </c>
      <c r="E202" s="1" t="s">
        <v>103</v>
      </c>
      <c r="F202" s="1" t="s">
        <v>1986</v>
      </c>
      <c r="G202" s="1"/>
      <c r="H202" s="1" t="s">
        <v>2379</v>
      </c>
      <c r="I202" s="1" t="s">
        <v>2380</v>
      </c>
      <c r="J202" s="1"/>
      <c r="K202" s="9">
        <v>-15498.94</v>
      </c>
      <c r="L202" s="1" t="s">
        <v>2535</v>
      </c>
      <c r="M202" s="1" t="s">
        <v>15</v>
      </c>
      <c r="N202" s="1" t="s">
        <v>2918</v>
      </c>
      <c r="O202" s="1" t="s">
        <v>1986</v>
      </c>
      <c r="P202" s="1">
        <v>0</v>
      </c>
      <c r="Q202" s="1" t="s">
        <v>1986</v>
      </c>
      <c r="R202" t="s">
        <v>2823</v>
      </c>
      <c r="S202" t="s">
        <v>2918</v>
      </c>
      <c r="T202" t="s">
        <v>17</v>
      </c>
      <c r="U202" t="s">
        <v>17</v>
      </c>
    </row>
    <row r="203" spans="1:21">
      <c r="A203" s="1" t="s">
        <v>2658</v>
      </c>
      <c r="B203" s="1" t="s">
        <v>2610</v>
      </c>
      <c r="C203" s="1" t="s">
        <v>42</v>
      </c>
      <c r="D203" s="1" t="s">
        <v>42</v>
      </c>
      <c r="E203" s="1" t="s">
        <v>103</v>
      </c>
      <c r="F203" s="1" t="s">
        <v>1286</v>
      </c>
      <c r="G203" s="1"/>
      <c r="H203" s="1" t="s">
        <v>2379</v>
      </c>
      <c r="I203" s="1" t="s">
        <v>2380</v>
      </c>
      <c r="J203" s="1"/>
      <c r="K203" s="9">
        <v>-16127.29</v>
      </c>
      <c r="L203" s="1" t="s">
        <v>2535</v>
      </c>
      <c r="M203" s="1" t="s">
        <v>15</v>
      </c>
      <c r="N203" s="1" t="s">
        <v>3052</v>
      </c>
      <c r="O203" s="1" t="s">
        <v>1286</v>
      </c>
      <c r="P203" s="1">
        <v>0</v>
      </c>
      <c r="Q203" s="1" t="s">
        <v>1286</v>
      </c>
      <c r="R203" t="s">
        <v>2825</v>
      </c>
      <c r="S203" t="s">
        <v>3052</v>
      </c>
      <c r="T203" t="s">
        <v>17</v>
      </c>
      <c r="U203" t="s">
        <v>17</v>
      </c>
    </row>
    <row r="204" spans="1:21">
      <c r="A204" s="1" t="s">
        <v>2507</v>
      </c>
      <c r="B204" s="1" t="s">
        <v>17</v>
      </c>
      <c r="C204" s="1" t="s">
        <v>33</v>
      </c>
      <c r="D204" s="1" t="s">
        <v>2391</v>
      </c>
      <c r="E204" s="1" t="s">
        <v>103</v>
      </c>
      <c r="F204" s="1" t="s">
        <v>258</v>
      </c>
      <c r="G204" s="1"/>
      <c r="H204" s="1" t="s">
        <v>2379</v>
      </c>
      <c r="I204" s="1" t="s">
        <v>2380</v>
      </c>
      <c r="J204" s="1"/>
      <c r="K204" s="9">
        <v>108280.51</v>
      </c>
      <c r="L204" s="1" t="s">
        <v>2494</v>
      </c>
      <c r="M204" s="1" t="s">
        <v>15</v>
      </c>
      <c r="N204" s="1" t="s">
        <v>2827</v>
      </c>
      <c r="O204" s="1" t="s">
        <v>258</v>
      </c>
      <c r="P204" s="1">
        <v>0</v>
      </c>
      <c r="Q204" s="1" t="s">
        <v>258</v>
      </c>
      <c r="R204" t="s">
        <v>2825</v>
      </c>
      <c r="S204" t="s">
        <v>2827</v>
      </c>
      <c r="T204" t="s">
        <v>17</v>
      </c>
      <c r="U204" t="s">
        <v>17</v>
      </c>
    </row>
    <row r="205" spans="1:21">
      <c r="A205" s="1" t="s">
        <v>1424</v>
      </c>
      <c r="B205" s="1" t="s">
        <v>1425</v>
      </c>
      <c r="C205" s="1" t="s">
        <v>101</v>
      </c>
      <c r="D205" s="1" t="s">
        <v>124</v>
      </c>
      <c r="E205" s="1" t="s">
        <v>103</v>
      </c>
      <c r="F205" s="1" t="s">
        <v>193</v>
      </c>
      <c r="G205" s="1" t="s">
        <v>1426</v>
      </c>
      <c r="H205" s="1" t="s">
        <v>127</v>
      </c>
      <c r="I205" s="1" t="s">
        <v>131</v>
      </c>
      <c r="J205" s="1"/>
      <c r="K205" s="9">
        <v>12357.26</v>
      </c>
      <c r="L205" s="1" t="s">
        <v>132</v>
      </c>
      <c r="M205" s="1" t="s">
        <v>15</v>
      </c>
      <c r="N205" s="1" t="s">
        <v>3164</v>
      </c>
      <c r="O205" s="1" t="s">
        <v>526</v>
      </c>
      <c r="P205" s="1">
        <v>0</v>
      </c>
      <c r="Q205" s="1" t="s">
        <v>193</v>
      </c>
      <c r="R205" t="s">
        <v>2825</v>
      </c>
      <c r="S205" t="s">
        <v>3165</v>
      </c>
      <c r="T205" t="s">
        <v>3166</v>
      </c>
      <c r="U205" t="s">
        <v>17</v>
      </c>
    </row>
    <row r="206" spans="1:21">
      <c r="A206" s="1" t="s">
        <v>1366</v>
      </c>
      <c r="B206" s="1" t="s">
        <v>1367</v>
      </c>
      <c r="C206" s="1" t="s">
        <v>101</v>
      </c>
      <c r="D206" s="1" t="s">
        <v>124</v>
      </c>
      <c r="E206" s="1" t="s">
        <v>103</v>
      </c>
      <c r="F206" s="1" t="s">
        <v>1368</v>
      </c>
      <c r="G206" s="1" t="s">
        <v>1369</v>
      </c>
      <c r="H206" s="1" t="s">
        <v>127</v>
      </c>
      <c r="I206" s="1" t="s">
        <v>131</v>
      </c>
      <c r="J206" s="1"/>
      <c r="K206" s="9">
        <v>36588.019999999997</v>
      </c>
      <c r="L206" s="1" t="s">
        <v>132</v>
      </c>
      <c r="M206" s="1" t="s">
        <v>15</v>
      </c>
      <c r="N206" s="1" t="s">
        <v>3167</v>
      </c>
      <c r="O206" s="1" t="s">
        <v>1807</v>
      </c>
      <c r="P206" s="1">
        <v>0</v>
      </c>
      <c r="Q206" s="1" t="s">
        <v>1368</v>
      </c>
      <c r="R206" t="s">
        <v>2815</v>
      </c>
      <c r="S206" t="s">
        <v>3168</v>
      </c>
      <c r="T206" t="s">
        <v>3169</v>
      </c>
      <c r="U206" t="s">
        <v>17</v>
      </c>
    </row>
    <row r="207" spans="1:21">
      <c r="A207" s="1" t="s">
        <v>2064</v>
      </c>
      <c r="B207" s="1" t="s">
        <v>2065</v>
      </c>
      <c r="C207" s="1" t="s">
        <v>101</v>
      </c>
      <c r="D207" s="1" t="s">
        <v>352</v>
      </c>
      <c r="E207" s="1" t="s">
        <v>103</v>
      </c>
      <c r="F207" s="1" t="s">
        <v>1256</v>
      </c>
      <c r="G207" s="1"/>
      <c r="H207" s="1" t="s">
        <v>106</v>
      </c>
      <c r="I207" s="1" t="s">
        <v>108</v>
      </c>
      <c r="J207" s="1" t="s">
        <v>109</v>
      </c>
      <c r="K207" s="9">
        <v>-33930.129999999997</v>
      </c>
      <c r="L207" s="1" t="s">
        <v>356</v>
      </c>
      <c r="M207" s="1" t="s">
        <v>15</v>
      </c>
      <c r="N207" s="1" t="s">
        <v>3170</v>
      </c>
      <c r="O207" s="1" t="s">
        <v>1819</v>
      </c>
      <c r="P207" s="1">
        <v>0</v>
      </c>
      <c r="Q207" s="1" t="s">
        <v>1256</v>
      </c>
      <c r="R207" t="s">
        <v>2823</v>
      </c>
      <c r="S207" t="s">
        <v>3171</v>
      </c>
      <c r="T207" t="s">
        <v>17</v>
      </c>
      <c r="U207" t="s">
        <v>3172</v>
      </c>
    </row>
    <row r="208" spans="1:21">
      <c r="A208" s="1" t="s">
        <v>1131</v>
      </c>
      <c r="B208" s="1" t="s">
        <v>1132</v>
      </c>
      <c r="C208" s="1" t="s">
        <v>101</v>
      </c>
      <c r="D208" s="1" t="s">
        <v>102</v>
      </c>
      <c r="E208" s="1" t="s">
        <v>103</v>
      </c>
      <c r="F208" s="1" t="s">
        <v>1133</v>
      </c>
      <c r="G208" s="1"/>
      <c r="H208" s="1" t="s">
        <v>106</v>
      </c>
      <c r="I208" s="1" t="s">
        <v>108</v>
      </c>
      <c r="J208" s="1" t="s">
        <v>109</v>
      </c>
      <c r="K208" s="9">
        <v>-21572</v>
      </c>
      <c r="L208" s="1" t="s">
        <v>110</v>
      </c>
      <c r="M208" s="1" t="s">
        <v>15</v>
      </c>
      <c r="N208" s="1" t="s">
        <v>2822</v>
      </c>
      <c r="O208" s="1" t="s">
        <v>1117</v>
      </c>
      <c r="P208" s="1">
        <v>0</v>
      </c>
      <c r="Q208" s="1" t="s">
        <v>1133</v>
      </c>
      <c r="R208" t="s">
        <v>2823</v>
      </c>
      <c r="S208" t="s">
        <v>3173</v>
      </c>
      <c r="T208" t="s">
        <v>17</v>
      </c>
      <c r="U208" t="s">
        <v>3174</v>
      </c>
    </row>
    <row r="209" spans="1:21">
      <c r="A209" s="1" t="s">
        <v>2508</v>
      </c>
      <c r="B209" s="1" t="s">
        <v>17</v>
      </c>
      <c r="C209" s="1" t="s">
        <v>33</v>
      </c>
      <c r="D209" s="1" t="s">
        <v>2391</v>
      </c>
      <c r="E209" s="1" t="s">
        <v>103</v>
      </c>
      <c r="F209" s="1" t="s">
        <v>964</v>
      </c>
      <c r="G209" s="1"/>
      <c r="H209" s="1" t="s">
        <v>2379</v>
      </c>
      <c r="I209" s="1" t="s">
        <v>2380</v>
      </c>
      <c r="J209" s="1"/>
      <c r="K209" s="9">
        <v>-334308.40000000002</v>
      </c>
      <c r="L209" s="1" t="s">
        <v>2494</v>
      </c>
      <c r="M209" s="1" t="s">
        <v>15</v>
      </c>
      <c r="N209" s="1" t="s">
        <v>2833</v>
      </c>
      <c r="O209" s="1" t="s">
        <v>964</v>
      </c>
      <c r="P209" s="1">
        <v>0</v>
      </c>
      <c r="Q209" s="1" t="s">
        <v>964</v>
      </c>
      <c r="R209" t="s">
        <v>2823</v>
      </c>
      <c r="S209" t="s">
        <v>2833</v>
      </c>
      <c r="T209" t="s">
        <v>17</v>
      </c>
      <c r="U209" t="s">
        <v>17</v>
      </c>
    </row>
    <row r="210" spans="1:21">
      <c r="A210" s="1" t="s">
        <v>1096</v>
      </c>
      <c r="B210" s="1" t="s">
        <v>1097</v>
      </c>
      <c r="C210" s="1" t="s">
        <v>101</v>
      </c>
      <c r="D210" s="1" t="s">
        <v>124</v>
      </c>
      <c r="E210" s="1" t="s">
        <v>103</v>
      </c>
      <c r="F210" s="1" t="s">
        <v>921</v>
      </c>
      <c r="G210" s="1" t="s">
        <v>1098</v>
      </c>
      <c r="H210" s="1" t="s">
        <v>127</v>
      </c>
      <c r="I210" s="1" t="s">
        <v>131</v>
      </c>
      <c r="J210" s="1"/>
      <c r="K210" s="9">
        <v>16127.29</v>
      </c>
      <c r="L210" s="1" t="s">
        <v>132</v>
      </c>
      <c r="M210" s="1" t="s">
        <v>15</v>
      </c>
      <c r="N210" s="1" t="s">
        <v>3047</v>
      </c>
      <c r="O210" s="1" t="s">
        <v>151</v>
      </c>
      <c r="P210" s="1">
        <v>0</v>
      </c>
      <c r="Q210" s="1" t="s">
        <v>921</v>
      </c>
      <c r="R210" t="s">
        <v>2825</v>
      </c>
      <c r="S210" t="s">
        <v>3175</v>
      </c>
      <c r="T210" t="s">
        <v>3176</v>
      </c>
      <c r="U210" t="s">
        <v>17</v>
      </c>
    </row>
    <row r="211" spans="1:21">
      <c r="A211" s="1" t="s">
        <v>694</v>
      </c>
      <c r="B211" s="1" t="s">
        <v>695</v>
      </c>
      <c r="C211" s="1" t="s">
        <v>101</v>
      </c>
      <c r="D211" s="1" t="s">
        <v>102</v>
      </c>
      <c r="E211" s="1" t="s">
        <v>103</v>
      </c>
      <c r="F211" s="1" t="s">
        <v>573</v>
      </c>
      <c r="G211" s="1"/>
      <c r="H211" s="1" t="s">
        <v>106</v>
      </c>
      <c r="I211" s="1" t="s">
        <v>108</v>
      </c>
      <c r="J211" s="1" t="s">
        <v>109</v>
      </c>
      <c r="K211" s="9">
        <v>-14661</v>
      </c>
      <c r="L211" s="1" t="s">
        <v>110</v>
      </c>
      <c r="M211" s="1" t="s">
        <v>15</v>
      </c>
      <c r="N211" s="1" t="s">
        <v>3177</v>
      </c>
      <c r="O211" s="1" t="s">
        <v>1616</v>
      </c>
      <c r="P211" s="1">
        <v>0</v>
      </c>
      <c r="Q211" s="1" t="s">
        <v>573</v>
      </c>
      <c r="R211" t="s">
        <v>2823</v>
      </c>
      <c r="S211" t="s">
        <v>3178</v>
      </c>
      <c r="T211" t="s">
        <v>17</v>
      </c>
      <c r="U211" t="s">
        <v>3179</v>
      </c>
    </row>
    <row r="212" spans="1:21">
      <c r="A212" s="1" t="s">
        <v>2659</v>
      </c>
      <c r="B212" s="1" t="s">
        <v>2660</v>
      </c>
      <c r="C212" s="1" t="s">
        <v>42</v>
      </c>
      <c r="D212" s="1" t="s">
        <v>42</v>
      </c>
      <c r="E212" s="1" t="s">
        <v>103</v>
      </c>
      <c r="F212" s="1" t="s">
        <v>1256</v>
      </c>
      <c r="G212" s="1"/>
      <c r="H212" s="1" t="s">
        <v>2379</v>
      </c>
      <c r="I212" s="1" t="s">
        <v>2380</v>
      </c>
      <c r="J212" s="1"/>
      <c r="K212" s="9">
        <v>63252.42</v>
      </c>
      <c r="L212" s="1" t="s">
        <v>2535</v>
      </c>
      <c r="M212" s="1" t="s">
        <v>15</v>
      </c>
      <c r="N212" s="1" t="s">
        <v>3061</v>
      </c>
      <c r="O212" s="1" t="s">
        <v>1256</v>
      </c>
      <c r="P212" s="1">
        <v>0</v>
      </c>
      <c r="Q212" s="1" t="s">
        <v>1256</v>
      </c>
      <c r="R212" t="s">
        <v>2825</v>
      </c>
      <c r="S212" t="s">
        <v>3061</v>
      </c>
      <c r="T212" t="s">
        <v>17</v>
      </c>
      <c r="U212" t="s">
        <v>17</v>
      </c>
    </row>
    <row r="213" spans="1:21">
      <c r="A213" s="1" t="s">
        <v>1268</v>
      </c>
      <c r="B213" s="1" t="s">
        <v>1269</v>
      </c>
      <c r="C213" s="1" t="s">
        <v>40</v>
      </c>
      <c r="D213" s="1" t="s">
        <v>124</v>
      </c>
      <c r="E213" s="1" t="s">
        <v>103</v>
      </c>
      <c r="F213" s="1" t="s">
        <v>265</v>
      </c>
      <c r="G213" s="1" t="s">
        <v>1270</v>
      </c>
      <c r="H213" s="1" t="s">
        <v>127</v>
      </c>
      <c r="I213" s="1" t="s">
        <v>131</v>
      </c>
      <c r="J213" s="1"/>
      <c r="K213" s="9">
        <v>15289.51</v>
      </c>
      <c r="L213" s="1" t="s">
        <v>146</v>
      </c>
      <c r="M213" s="1" t="s">
        <v>15</v>
      </c>
      <c r="N213" s="1" t="s">
        <v>2941</v>
      </c>
      <c r="O213" s="1" t="s">
        <v>2566</v>
      </c>
      <c r="P213" s="1">
        <v>0</v>
      </c>
      <c r="Q213" s="1" t="s">
        <v>265</v>
      </c>
      <c r="R213" t="s">
        <v>2825</v>
      </c>
      <c r="S213" t="s">
        <v>3180</v>
      </c>
      <c r="T213" t="s">
        <v>3181</v>
      </c>
      <c r="U213" t="s">
        <v>17</v>
      </c>
    </row>
    <row r="214" spans="1:21">
      <c r="A214" s="1" t="s">
        <v>2346</v>
      </c>
      <c r="B214" s="1" t="s">
        <v>2347</v>
      </c>
      <c r="C214" s="1" t="s">
        <v>101</v>
      </c>
      <c r="D214" s="1" t="s">
        <v>124</v>
      </c>
      <c r="E214" s="1" t="s">
        <v>103</v>
      </c>
      <c r="F214" s="1" t="s">
        <v>1003</v>
      </c>
      <c r="G214" s="1" t="s">
        <v>2348</v>
      </c>
      <c r="H214" s="1" t="s">
        <v>127</v>
      </c>
      <c r="I214" s="1" t="s">
        <v>131</v>
      </c>
      <c r="J214" s="1"/>
      <c r="K214" s="9">
        <v>15289.51</v>
      </c>
      <c r="L214" s="1" t="s">
        <v>132</v>
      </c>
      <c r="M214" s="1" t="s">
        <v>15</v>
      </c>
      <c r="N214" s="1" t="s">
        <v>2930</v>
      </c>
      <c r="O214" s="1" t="s">
        <v>1759</v>
      </c>
      <c r="P214" s="1">
        <v>0</v>
      </c>
      <c r="Q214" s="1" t="s">
        <v>1003</v>
      </c>
      <c r="R214" t="s">
        <v>2825</v>
      </c>
      <c r="S214" t="s">
        <v>3182</v>
      </c>
      <c r="T214" t="s">
        <v>3183</v>
      </c>
      <c r="U214" t="s">
        <v>17</v>
      </c>
    </row>
    <row r="215" spans="1:21">
      <c r="A215" s="1" t="s">
        <v>2661</v>
      </c>
      <c r="B215" s="1" t="s">
        <v>2662</v>
      </c>
      <c r="C215" s="1" t="s">
        <v>42</v>
      </c>
      <c r="D215" s="1" t="s">
        <v>42</v>
      </c>
      <c r="E215" s="1" t="s">
        <v>103</v>
      </c>
      <c r="F215" s="1" t="s">
        <v>1110</v>
      </c>
      <c r="G215" s="1"/>
      <c r="H215" s="1" t="s">
        <v>2379</v>
      </c>
      <c r="I215" s="1" t="s">
        <v>2380</v>
      </c>
      <c r="J215" s="1"/>
      <c r="K215" s="9">
        <v>-31207.34</v>
      </c>
      <c r="L215" s="1" t="s">
        <v>2535</v>
      </c>
      <c r="M215" s="1" t="s">
        <v>15</v>
      </c>
      <c r="N215" s="1" t="s">
        <v>2892</v>
      </c>
      <c r="O215" s="1" t="s">
        <v>1110</v>
      </c>
      <c r="P215" s="1">
        <v>0</v>
      </c>
      <c r="Q215" s="1" t="s">
        <v>1110</v>
      </c>
      <c r="R215" t="s">
        <v>2823</v>
      </c>
      <c r="S215" t="s">
        <v>2892</v>
      </c>
      <c r="T215" t="s">
        <v>17</v>
      </c>
      <c r="U215" t="s">
        <v>17</v>
      </c>
    </row>
    <row r="216" spans="1:21">
      <c r="A216" s="1" t="s">
        <v>2663</v>
      </c>
      <c r="B216" s="1" t="s">
        <v>2656</v>
      </c>
      <c r="C216" s="1" t="s">
        <v>42</v>
      </c>
      <c r="D216" s="1" t="s">
        <v>42</v>
      </c>
      <c r="E216" s="1" t="s">
        <v>103</v>
      </c>
      <c r="F216" s="1" t="s">
        <v>2654</v>
      </c>
      <c r="G216" s="1"/>
      <c r="H216" s="1" t="s">
        <v>2379</v>
      </c>
      <c r="I216" s="1" t="s">
        <v>2380</v>
      </c>
      <c r="J216" s="1"/>
      <c r="K216" s="9">
        <v>-13613.94</v>
      </c>
      <c r="L216" s="1" t="s">
        <v>2535</v>
      </c>
      <c r="M216" s="1" t="s">
        <v>15</v>
      </c>
      <c r="N216" s="1" t="s">
        <v>2933</v>
      </c>
      <c r="O216" s="1" t="s">
        <v>2654</v>
      </c>
      <c r="P216" s="1">
        <v>0</v>
      </c>
      <c r="Q216" s="1" t="s">
        <v>2654</v>
      </c>
      <c r="R216" t="s">
        <v>2825</v>
      </c>
      <c r="S216" t="s">
        <v>2933</v>
      </c>
      <c r="T216" t="s">
        <v>17</v>
      </c>
      <c r="U216" t="s">
        <v>17</v>
      </c>
    </row>
    <row r="217" spans="1:21">
      <c r="A217" s="1" t="s">
        <v>2664</v>
      </c>
      <c r="B217" s="1" t="s">
        <v>2629</v>
      </c>
      <c r="C217" s="1" t="s">
        <v>42</v>
      </c>
      <c r="D217" s="1" t="s">
        <v>42</v>
      </c>
      <c r="E217" s="1" t="s">
        <v>103</v>
      </c>
      <c r="F217" s="1" t="s">
        <v>290</v>
      </c>
      <c r="G217" s="1"/>
      <c r="H217" s="1" t="s">
        <v>2379</v>
      </c>
      <c r="I217" s="1" t="s">
        <v>2380</v>
      </c>
      <c r="J217" s="1"/>
      <c r="K217" s="9">
        <v>-14032.83</v>
      </c>
      <c r="L217" s="1" t="s">
        <v>2535</v>
      </c>
      <c r="M217" s="1" t="s">
        <v>15</v>
      </c>
      <c r="N217" s="1" t="s">
        <v>3184</v>
      </c>
      <c r="O217" s="1" t="s">
        <v>290</v>
      </c>
      <c r="P217" s="1">
        <v>0</v>
      </c>
      <c r="Q217" s="1" t="s">
        <v>290</v>
      </c>
      <c r="R217" t="s">
        <v>2823</v>
      </c>
      <c r="S217" t="s">
        <v>3184</v>
      </c>
      <c r="T217" t="s">
        <v>17</v>
      </c>
      <c r="U217" t="s">
        <v>17</v>
      </c>
    </row>
    <row r="218" spans="1:21">
      <c r="A218" s="1" t="s">
        <v>249</v>
      </c>
      <c r="B218" s="1" t="s">
        <v>250</v>
      </c>
      <c r="C218" s="1" t="s">
        <v>40</v>
      </c>
      <c r="D218" s="1" t="s">
        <v>124</v>
      </c>
      <c r="E218" s="1" t="s">
        <v>103</v>
      </c>
      <c r="F218" s="1" t="s">
        <v>251</v>
      </c>
      <c r="G218" s="1" t="s">
        <v>252</v>
      </c>
      <c r="H218" s="1" t="s">
        <v>127</v>
      </c>
      <c r="I218" s="1" t="s">
        <v>131</v>
      </c>
      <c r="J218" s="1"/>
      <c r="K218" s="9">
        <v>64849.120000000003</v>
      </c>
      <c r="L218" s="1" t="s">
        <v>146</v>
      </c>
      <c r="M218" s="1" t="s">
        <v>15</v>
      </c>
      <c r="N218" s="1" t="s">
        <v>3185</v>
      </c>
      <c r="O218" s="1" t="s">
        <v>2259</v>
      </c>
      <c r="P218" s="1">
        <v>0</v>
      </c>
      <c r="Q218" s="1" t="s">
        <v>251</v>
      </c>
      <c r="R218" t="s">
        <v>2815</v>
      </c>
      <c r="S218" t="s">
        <v>3186</v>
      </c>
      <c r="T218" t="s">
        <v>3187</v>
      </c>
      <c r="U218" t="s">
        <v>17</v>
      </c>
    </row>
    <row r="219" spans="1:21">
      <c r="A219" s="1" t="s">
        <v>2665</v>
      </c>
      <c r="B219" s="1" t="s">
        <v>2666</v>
      </c>
      <c r="C219" s="1" t="s">
        <v>42</v>
      </c>
      <c r="D219" s="1" t="s">
        <v>42</v>
      </c>
      <c r="E219" s="1" t="s">
        <v>103</v>
      </c>
      <c r="F219" s="1" t="s">
        <v>783</v>
      </c>
      <c r="G219" s="1"/>
      <c r="H219" s="1" t="s">
        <v>2379</v>
      </c>
      <c r="I219" s="1" t="s">
        <v>2380</v>
      </c>
      <c r="J219" s="1"/>
      <c r="K219" s="9">
        <v>-19059.52</v>
      </c>
      <c r="L219" s="1" t="s">
        <v>2535</v>
      </c>
      <c r="M219" s="1" t="s">
        <v>15</v>
      </c>
      <c r="N219" s="1" t="s">
        <v>2996</v>
      </c>
      <c r="O219" s="1" t="s">
        <v>783</v>
      </c>
      <c r="P219" s="1">
        <v>0</v>
      </c>
      <c r="Q219" s="1" t="s">
        <v>783</v>
      </c>
      <c r="R219" t="s">
        <v>2823</v>
      </c>
      <c r="S219" t="s">
        <v>2996</v>
      </c>
      <c r="T219" t="s">
        <v>17</v>
      </c>
      <c r="U219" t="s">
        <v>17</v>
      </c>
    </row>
    <row r="220" spans="1:21">
      <c r="A220" s="1" t="s">
        <v>2300</v>
      </c>
      <c r="B220" s="1" t="s">
        <v>2301</v>
      </c>
      <c r="C220" s="1" t="s">
        <v>101</v>
      </c>
      <c r="D220" s="1" t="s">
        <v>124</v>
      </c>
      <c r="E220" s="1" t="s">
        <v>103</v>
      </c>
      <c r="F220" s="1" t="s">
        <v>2302</v>
      </c>
      <c r="G220" s="1" t="s">
        <v>2303</v>
      </c>
      <c r="H220" s="1" t="s">
        <v>127</v>
      </c>
      <c r="I220" s="1" t="s">
        <v>131</v>
      </c>
      <c r="J220" s="1"/>
      <c r="K220" s="9">
        <v>14870.62</v>
      </c>
      <c r="L220" s="1" t="s">
        <v>132</v>
      </c>
      <c r="M220" s="1" t="s">
        <v>15</v>
      </c>
      <c r="N220" s="1" t="s">
        <v>2905</v>
      </c>
      <c r="O220" s="1" t="s">
        <v>174</v>
      </c>
      <c r="P220" s="1">
        <v>0</v>
      </c>
      <c r="Q220" s="1" t="s">
        <v>2302</v>
      </c>
      <c r="R220" t="s">
        <v>2825</v>
      </c>
      <c r="S220" t="s">
        <v>3188</v>
      </c>
      <c r="T220" t="s">
        <v>3189</v>
      </c>
      <c r="U220" t="s">
        <v>17</v>
      </c>
    </row>
    <row r="221" spans="1:21">
      <c r="A221" s="1" t="s">
        <v>2009</v>
      </c>
      <c r="B221" s="1" t="s">
        <v>2010</v>
      </c>
      <c r="C221" s="1" t="s">
        <v>40</v>
      </c>
      <c r="D221" s="1" t="s">
        <v>124</v>
      </c>
      <c r="E221" s="1" t="s">
        <v>103</v>
      </c>
      <c r="F221" s="1" t="s">
        <v>2011</v>
      </c>
      <c r="G221" s="1" t="s">
        <v>2012</v>
      </c>
      <c r="H221" s="1" t="s">
        <v>127</v>
      </c>
      <c r="I221" s="1" t="s">
        <v>131</v>
      </c>
      <c r="J221" s="1"/>
      <c r="K221" s="9">
        <v>14032.83</v>
      </c>
      <c r="L221" s="1" t="s">
        <v>146</v>
      </c>
      <c r="M221" s="1" t="s">
        <v>15</v>
      </c>
      <c r="N221" s="1" t="s">
        <v>3190</v>
      </c>
      <c r="O221" s="1" t="s">
        <v>2734</v>
      </c>
      <c r="P221" s="1">
        <v>0</v>
      </c>
      <c r="Q221" s="1" t="s">
        <v>2011</v>
      </c>
      <c r="R221" t="s">
        <v>2825</v>
      </c>
      <c r="S221" t="s">
        <v>3191</v>
      </c>
      <c r="T221" t="s">
        <v>3192</v>
      </c>
      <c r="U221" t="s">
        <v>17</v>
      </c>
    </row>
    <row r="222" spans="1:21">
      <c r="A222" s="1" t="s">
        <v>164</v>
      </c>
      <c r="B222" s="1" t="s">
        <v>165</v>
      </c>
      <c r="C222" s="1" t="s">
        <v>101</v>
      </c>
      <c r="D222" s="1" t="s">
        <v>102</v>
      </c>
      <c r="E222" s="1" t="s">
        <v>103</v>
      </c>
      <c r="F222" s="1" t="s">
        <v>166</v>
      </c>
      <c r="G222" s="1"/>
      <c r="H222" s="1" t="s">
        <v>106</v>
      </c>
      <c r="I222" s="1" t="s">
        <v>108</v>
      </c>
      <c r="J222" s="1" t="s">
        <v>109</v>
      </c>
      <c r="K222" s="9">
        <v>-15498.94</v>
      </c>
      <c r="L222" s="1" t="s">
        <v>110</v>
      </c>
      <c r="M222" s="1" t="s">
        <v>15</v>
      </c>
      <c r="N222" s="1" t="s">
        <v>3064</v>
      </c>
      <c r="O222" s="1" t="s">
        <v>1011</v>
      </c>
      <c r="P222" s="1">
        <v>0</v>
      </c>
      <c r="Q222" s="1" t="s">
        <v>166</v>
      </c>
      <c r="R222" t="s">
        <v>2823</v>
      </c>
      <c r="S222" t="s">
        <v>3193</v>
      </c>
      <c r="T222" t="s">
        <v>17</v>
      </c>
      <c r="U222" t="s">
        <v>3194</v>
      </c>
    </row>
    <row r="223" spans="1:21">
      <c r="A223" s="1" t="s">
        <v>859</v>
      </c>
      <c r="B223" s="1" t="s">
        <v>860</v>
      </c>
      <c r="C223" s="1" t="s">
        <v>101</v>
      </c>
      <c r="D223" s="1" t="s">
        <v>124</v>
      </c>
      <c r="E223" s="1" t="s">
        <v>103</v>
      </c>
      <c r="F223" s="1" t="s">
        <v>861</v>
      </c>
      <c r="G223" s="1" t="s">
        <v>862</v>
      </c>
      <c r="H223" s="1" t="s">
        <v>127</v>
      </c>
      <c r="I223" s="1" t="s">
        <v>131</v>
      </c>
      <c r="J223" s="1"/>
      <c r="K223" s="9">
        <v>34190.879999999997</v>
      </c>
      <c r="L223" s="1" t="s">
        <v>132</v>
      </c>
      <c r="M223" s="1" t="s">
        <v>15</v>
      </c>
      <c r="N223" s="1" t="s">
        <v>3195</v>
      </c>
      <c r="O223" s="1" t="s">
        <v>3042</v>
      </c>
      <c r="P223" s="1">
        <v>0</v>
      </c>
      <c r="Q223" s="1" t="s">
        <v>861</v>
      </c>
      <c r="R223" t="s">
        <v>2815</v>
      </c>
      <c r="S223" t="s">
        <v>3196</v>
      </c>
      <c r="T223" t="s">
        <v>3197</v>
      </c>
      <c r="U223" t="s">
        <v>17</v>
      </c>
    </row>
    <row r="224" spans="1:21">
      <c r="A224" s="1" t="s">
        <v>1348</v>
      </c>
      <c r="B224" s="1" t="s">
        <v>1349</v>
      </c>
      <c r="C224" s="1" t="s">
        <v>40</v>
      </c>
      <c r="D224" s="1" t="s">
        <v>124</v>
      </c>
      <c r="E224" s="1" t="s">
        <v>103</v>
      </c>
      <c r="F224" s="1" t="s">
        <v>1350</v>
      </c>
      <c r="G224" s="1" t="s">
        <v>1351</v>
      </c>
      <c r="H224" s="1" t="s">
        <v>127</v>
      </c>
      <c r="I224" s="1" t="s">
        <v>131</v>
      </c>
      <c r="J224" s="1"/>
      <c r="K224" s="9">
        <v>14661.16</v>
      </c>
      <c r="L224" s="1" t="s">
        <v>146</v>
      </c>
      <c r="M224" s="1" t="s">
        <v>15</v>
      </c>
      <c r="N224" s="1" t="s">
        <v>3055</v>
      </c>
      <c r="O224" s="1" t="s">
        <v>130</v>
      </c>
      <c r="P224" s="1">
        <v>0</v>
      </c>
      <c r="Q224" s="1" t="s">
        <v>1350</v>
      </c>
      <c r="R224" t="s">
        <v>2825</v>
      </c>
      <c r="S224" t="s">
        <v>3198</v>
      </c>
      <c r="T224" t="s">
        <v>3199</v>
      </c>
      <c r="U224" t="s">
        <v>17</v>
      </c>
    </row>
    <row r="225" spans="1:21">
      <c r="A225" s="1" t="s">
        <v>2667</v>
      </c>
      <c r="B225" s="1" t="s">
        <v>2668</v>
      </c>
      <c r="C225" s="1" t="s">
        <v>42</v>
      </c>
      <c r="D225" s="1" t="s">
        <v>42</v>
      </c>
      <c r="E225" s="1" t="s">
        <v>103</v>
      </c>
      <c r="F225" s="1" t="s">
        <v>958</v>
      </c>
      <c r="G225" s="1" t="s">
        <v>2669</v>
      </c>
      <c r="H225" s="1" t="s">
        <v>127</v>
      </c>
      <c r="I225" s="1" t="s">
        <v>131</v>
      </c>
      <c r="J225" s="1"/>
      <c r="K225" s="9">
        <v>-123900</v>
      </c>
      <c r="L225" s="1" t="s">
        <v>2670</v>
      </c>
      <c r="M225" s="1" t="s">
        <v>15</v>
      </c>
      <c r="N225" s="1" t="s">
        <v>3200</v>
      </c>
      <c r="O225" s="1" t="s">
        <v>958</v>
      </c>
      <c r="P225" s="1">
        <v>0</v>
      </c>
      <c r="Q225" s="1" t="s">
        <v>958</v>
      </c>
      <c r="R225" t="s">
        <v>2815</v>
      </c>
      <c r="S225" t="s">
        <v>3201</v>
      </c>
      <c r="T225" t="s">
        <v>3202</v>
      </c>
      <c r="U225" t="s">
        <v>17</v>
      </c>
    </row>
    <row r="226" spans="1:21">
      <c r="A226" s="1" t="s">
        <v>2509</v>
      </c>
      <c r="B226" s="1" t="s">
        <v>17</v>
      </c>
      <c r="C226" s="1" t="s">
        <v>33</v>
      </c>
      <c r="D226" s="1" t="s">
        <v>2391</v>
      </c>
      <c r="E226" s="1" t="s">
        <v>103</v>
      </c>
      <c r="F226" s="1" t="s">
        <v>752</v>
      </c>
      <c r="G226" s="1"/>
      <c r="H226" s="1" t="s">
        <v>2379</v>
      </c>
      <c r="I226" s="1" t="s">
        <v>2380</v>
      </c>
      <c r="J226" s="1"/>
      <c r="K226" s="9">
        <v>38279.5</v>
      </c>
      <c r="L226" s="1" t="s">
        <v>2494</v>
      </c>
      <c r="M226" s="1" t="s">
        <v>15</v>
      </c>
      <c r="N226" s="1" t="s">
        <v>2824</v>
      </c>
      <c r="O226" s="1" t="s">
        <v>752</v>
      </c>
      <c r="P226" s="1">
        <v>0</v>
      </c>
      <c r="Q226" s="1" t="s">
        <v>752</v>
      </c>
      <c r="R226" t="s">
        <v>2825</v>
      </c>
      <c r="S226" t="s">
        <v>2824</v>
      </c>
      <c r="T226" t="s">
        <v>17</v>
      </c>
      <c r="U226" t="s">
        <v>17</v>
      </c>
    </row>
    <row r="227" spans="1:21">
      <c r="A227" s="1" t="s">
        <v>925</v>
      </c>
      <c r="B227" s="1" t="s">
        <v>926</v>
      </c>
      <c r="C227" s="1" t="s">
        <v>40</v>
      </c>
      <c r="D227" s="1" t="s">
        <v>124</v>
      </c>
      <c r="E227" s="1" t="s">
        <v>103</v>
      </c>
      <c r="F227" s="1" t="s">
        <v>927</v>
      </c>
      <c r="G227" s="1" t="s">
        <v>928</v>
      </c>
      <c r="H227" s="1" t="s">
        <v>127</v>
      </c>
      <c r="I227" s="1" t="s">
        <v>131</v>
      </c>
      <c r="J227" s="1"/>
      <c r="K227" s="9">
        <v>15080.05</v>
      </c>
      <c r="L227" s="1" t="s">
        <v>146</v>
      </c>
      <c r="M227" s="1" t="s">
        <v>15</v>
      </c>
      <c r="N227" s="1" t="s">
        <v>2835</v>
      </c>
      <c r="O227" s="1" t="s">
        <v>204</v>
      </c>
      <c r="P227" s="1">
        <v>0</v>
      </c>
      <c r="Q227" s="1" t="s">
        <v>927</v>
      </c>
      <c r="R227" t="s">
        <v>2825</v>
      </c>
      <c r="S227" t="s">
        <v>3203</v>
      </c>
      <c r="T227" t="s">
        <v>3204</v>
      </c>
      <c r="U227" t="s">
        <v>17</v>
      </c>
    </row>
    <row r="228" spans="1:21">
      <c r="A228" s="1" t="s">
        <v>536</v>
      </c>
      <c r="B228" s="1" t="s">
        <v>537</v>
      </c>
      <c r="C228" s="1" t="s">
        <v>101</v>
      </c>
      <c r="D228" s="1" t="s">
        <v>124</v>
      </c>
      <c r="E228" s="1" t="s">
        <v>103</v>
      </c>
      <c r="F228" s="1" t="s">
        <v>538</v>
      </c>
      <c r="G228" s="1" t="s">
        <v>539</v>
      </c>
      <c r="H228" s="1" t="s">
        <v>127</v>
      </c>
      <c r="I228" s="1" t="s">
        <v>131</v>
      </c>
      <c r="J228" s="1"/>
      <c r="K228" s="9">
        <v>16127.29</v>
      </c>
      <c r="L228" s="1" t="s">
        <v>132</v>
      </c>
      <c r="M228" s="1" t="s">
        <v>15</v>
      </c>
      <c r="N228" s="1" t="s">
        <v>3052</v>
      </c>
      <c r="O228" s="1" t="s">
        <v>1286</v>
      </c>
      <c r="P228" s="1">
        <v>0</v>
      </c>
      <c r="Q228" s="1" t="s">
        <v>538</v>
      </c>
      <c r="R228" t="s">
        <v>2825</v>
      </c>
      <c r="S228" t="s">
        <v>3205</v>
      </c>
      <c r="T228" t="s">
        <v>3206</v>
      </c>
      <c r="U228" t="s">
        <v>17</v>
      </c>
    </row>
    <row r="229" spans="1:21">
      <c r="A229" s="1" t="s">
        <v>1050</v>
      </c>
      <c r="B229" s="1" t="s">
        <v>1051</v>
      </c>
      <c r="C229" s="1" t="s">
        <v>101</v>
      </c>
      <c r="D229" s="1" t="s">
        <v>124</v>
      </c>
      <c r="E229" s="1" t="s">
        <v>103</v>
      </c>
      <c r="F229" s="1" t="s">
        <v>1052</v>
      </c>
      <c r="G229" s="1" t="s">
        <v>1053</v>
      </c>
      <c r="H229" s="1" t="s">
        <v>127</v>
      </c>
      <c r="I229" s="1" t="s">
        <v>131</v>
      </c>
      <c r="J229" s="1"/>
      <c r="K229" s="9">
        <v>18850.080000000002</v>
      </c>
      <c r="L229" s="1" t="s">
        <v>132</v>
      </c>
      <c r="M229" s="1" t="s">
        <v>15</v>
      </c>
      <c r="N229" s="1" t="s">
        <v>2971</v>
      </c>
      <c r="O229" s="1" t="s">
        <v>1159</v>
      </c>
      <c r="P229" s="1">
        <v>0</v>
      </c>
      <c r="Q229" s="1" t="s">
        <v>1052</v>
      </c>
      <c r="R229" t="s">
        <v>2825</v>
      </c>
      <c r="S229" t="s">
        <v>3207</v>
      </c>
      <c r="T229" t="s">
        <v>3208</v>
      </c>
      <c r="U229" t="s">
        <v>17</v>
      </c>
    </row>
    <row r="230" spans="1:21">
      <c r="A230" s="1" t="s">
        <v>1984</v>
      </c>
      <c r="B230" s="1" t="s">
        <v>1985</v>
      </c>
      <c r="C230" s="1" t="s">
        <v>40</v>
      </c>
      <c r="D230" s="1" t="s">
        <v>124</v>
      </c>
      <c r="E230" s="1" t="s">
        <v>103</v>
      </c>
      <c r="F230" s="1" t="s">
        <v>1986</v>
      </c>
      <c r="G230" s="1" t="s">
        <v>1987</v>
      </c>
      <c r="H230" s="1" t="s">
        <v>127</v>
      </c>
      <c r="I230" s="1" t="s">
        <v>131</v>
      </c>
      <c r="J230" s="1"/>
      <c r="K230" s="9">
        <v>17593.400000000001</v>
      </c>
      <c r="L230" s="1" t="s">
        <v>146</v>
      </c>
      <c r="M230" s="1" t="s">
        <v>15</v>
      </c>
      <c r="N230" s="1" t="s">
        <v>3135</v>
      </c>
      <c r="O230" s="1" t="s">
        <v>190</v>
      </c>
      <c r="P230" s="1">
        <v>0</v>
      </c>
      <c r="Q230" s="1" t="s">
        <v>1986</v>
      </c>
      <c r="R230" t="s">
        <v>2825</v>
      </c>
      <c r="S230" t="s">
        <v>3209</v>
      </c>
      <c r="T230" t="s">
        <v>3210</v>
      </c>
      <c r="U230" t="s">
        <v>17</v>
      </c>
    </row>
    <row r="231" spans="1:21">
      <c r="A231" s="1" t="s">
        <v>2671</v>
      </c>
      <c r="B231" s="1" t="s">
        <v>2672</v>
      </c>
      <c r="C231" s="1" t="s">
        <v>42</v>
      </c>
      <c r="D231" s="1" t="s">
        <v>42</v>
      </c>
      <c r="E231" s="1" t="s">
        <v>103</v>
      </c>
      <c r="F231" s="1" t="s">
        <v>2673</v>
      </c>
      <c r="G231" s="1"/>
      <c r="H231" s="1" t="s">
        <v>2379</v>
      </c>
      <c r="I231" s="1" t="s">
        <v>2380</v>
      </c>
      <c r="J231" s="1"/>
      <c r="K231" s="9">
        <v>-16336.73</v>
      </c>
      <c r="L231" s="1" t="s">
        <v>2535</v>
      </c>
      <c r="M231" s="1" t="s">
        <v>15</v>
      </c>
      <c r="N231" s="1" t="s">
        <v>3211</v>
      </c>
      <c r="O231" s="1" t="s">
        <v>2673</v>
      </c>
      <c r="P231" s="1">
        <v>0</v>
      </c>
      <c r="Q231" s="1" t="s">
        <v>2673</v>
      </c>
      <c r="R231" t="s">
        <v>2825</v>
      </c>
      <c r="S231" t="s">
        <v>3211</v>
      </c>
      <c r="T231" t="s">
        <v>17</v>
      </c>
      <c r="U231" t="s">
        <v>17</v>
      </c>
    </row>
    <row r="232" spans="1:21">
      <c r="A232" s="1" t="s">
        <v>2674</v>
      </c>
      <c r="B232" s="1" t="s">
        <v>2579</v>
      </c>
      <c r="C232" s="1" t="s">
        <v>42</v>
      </c>
      <c r="D232" s="1" t="s">
        <v>42</v>
      </c>
      <c r="E232" s="1" t="s">
        <v>103</v>
      </c>
      <c r="F232" s="1" t="s">
        <v>2580</v>
      </c>
      <c r="G232" s="1"/>
      <c r="H232" s="1" t="s">
        <v>2379</v>
      </c>
      <c r="I232" s="1" t="s">
        <v>2380</v>
      </c>
      <c r="J232" s="1"/>
      <c r="K232" s="9">
        <v>-10262.82</v>
      </c>
      <c r="L232" s="1" t="s">
        <v>2535</v>
      </c>
      <c r="M232" s="1" t="s">
        <v>15</v>
      </c>
      <c r="N232" s="1" t="s">
        <v>2976</v>
      </c>
      <c r="O232" s="1" t="s">
        <v>2580</v>
      </c>
      <c r="P232" s="1">
        <v>0</v>
      </c>
      <c r="Q232" s="1" t="s">
        <v>2580</v>
      </c>
      <c r="R232" t="s">
        <v>2823</v>
      </c>
      <c r="S232" t="s">
        <v>2976</v>
      </c>
      <c r="T232" t="s">
        <v>17</v>
      </c>
      <c r="U232" t="s">
        <v>17</v>
      </c>
    </row>
    <row r="233" spans="1:21">
      <c r="A233" s="1" t="s">
        <v>2675</v>
      </c>
      <c r="B233" s="1" t="s">
        <v>2676</v>
      </c>
      <c r="C233" s="1" t="s">
        <v>42</v>
      </c>
      <c r="D233" s="1" t="s">
        <v>42</v>
      </c>
      <c r="E233" s="1" t="s">
        <v>103</v>
      </c>
      <c r="F233" s="1" t="s">
        <v>1672</v>
      </c>
      <c r="G233" s="1"/>
      <c r="H233" s="1" t="s">
        <v>2379</v>
      </c>
      <c r="I233" s="1" t="s">
        <v>2380</v>
      </c>
      <c r="J233" s="1"/>
      <c r="K233" s="9">
        <v>-43774.06</v>
      </c>
      <c r="L233" s="1" t="s">
        <v>2535</v>
      </c>
      <c r="M233" s="1" t="s">
        <v>15</v>
      </c>
      <c r="N233" s="1" t="s">
        <v>2845</v>
      </c>
      <c r="O233" s="1" t="s">
        <v>1672</v>
      </c>
      <c r="P233" s="1">
        <v>0</v>
      </c>
      <c r="Q233" s="1" t="s">
        <v>1672</v>
      </c>
      <c r="R233" t="s">
        <v>2823</v>
      </c>
      <c r="S233" t="s">
        <v>2845</v>
      </c>
      <c r="T233" t="s">
        <v>17</v>
      </c>
      <c r="U233" t="s">
        <v>17</v>
      </c>
    </row>
    <row r="234" spans="1:21">
      <c r="A234" s="1" t="s">
        <v>2277</v>
      </c>
      <c r="B234" s="1" t="s">
        <v>2278</v>
      </c>
      <c r="C234" s="1" t="s">
        <v>40</v>
      </c>
      <c r="D234" s="1" t="s">
        <v>124</v>
      </c>
      <c r="E234" s="1" t="s">
        <v>103</v>
      </c>
      <c r="F234" s="1" t="s">
        <v>104</v>
      </c>
      <c r="G234" s="1" t="s">
        <v>2279</v>
      </c>
      <c r="H234" s="1" t="s">
        <v>127</v>
      </c>
      <c r="I234" s="1" t="s">
        <v>131</v>
      </c>
      <c r="J234" s="1"/>
      <c r="K234" s="9">
        <v>17383.97</v>
      </c>
      <c r="L234" s="1" t="s">
        <v>146</v>
      </c>
      <c r="M234" s="1" t="s">
        <v>15</v>
      </c>
      <c r="N234" s="1" t="s">
        <v>2941</v>
      </c>
      <c r="O234" s="1" t="s">
        <v>2566</v>
      </c>
      <c r="P234" s="1">
        <v>0</v>
      </c>
      <c r="Q234" s="1" t="s">
        <v>104</v>
      </c>
      <c r="R234" t="s">
        <v>2825</v>
      </c>
      <c r="S234" t="s">
        <v>3212</v>
      </c>
      <c r="T234" t="s">
        <v>3213</v>
      </c>
      <c r="U234" t="s">
        <v>17</v>
      </c>
    </row>
    <row r="235" spans="1:21">
      <c r="A235" s="1" t="s">
        <v>1151</v>
      </c>
      <c r="B235" s="1" t="s">
        <v>1152</v>
      </c>
      <c r="C235" s="1" t="s">
        <v>101</v>
      </c>
      <c r="D235" s="1" t="s">
        <v>124</v>
      </c>
      <c r="E235" s="1" t="s">
        <v>103</v>
      </c>
      <c r="F235" s="1" t="s">
        <v>1154</v>
      </c>
      <c r="G235" s="1" t="s">
        <v>1153</v>
      </c>
      <c r="H235" s="1" t="s">
        <v>127</v>
      </c>
      <c r="I235" s="1" t="s">
        <v>131</v>
      </c>
      <c r="J235" s="1"/>
      <c r="K235" s="9">
        <v>15498.94</v>
      </c>
      <c r="L235" s="1" t="s">
        <v>132</v>
      </c>
      <c r="M235" s="1" t="s">
        <v>15</v>
      </c>
      <c r="N235" s="1" t="s">
        <v>2942</v>
      </c>
      <c r="O235" s="1" t="s">
        <v>822</v>
      </c>
      <c r="P235" s="1">
        <v>0</v>
      </c>
      <c r="Q235" s="1" t="s">
        <v>1154</v>
      </c>
      <c r="R235" t="s">
        <v>2825</v>
      </c>
      <c r="S235" t="s">
        <v>3214</v>
      </c>
      <c r="T235" t="s">
        <v>3215</v>
      </c>
      <c r="U235" t="s">
        <v>17</v>
      </c>
    </row>
    <row r="236" spans="1:21">
      <c r="A236" s="1" t="s">
        <v>2677</v>
      </c>
      <c r="B236" s="1" t="s">
        <v>2678</v>
      </c>
      <c r="C236" s="1" t="s">
        <v>42</v>
      </c>
      <c r="D236" s="1" t="s">
        <v>42</v>
      </c>
      <c r="E236" s="1" t="s">
        <v>103</v>
      </c>
      <c r="F236" s="1" t="s">
        <v>1826</v>
      </c>
      <c r="G236" s="1"/>
      <c r="H236" s="1" t="s">
        <v>2379</v>
      </c>
      <c r="I236" s="1" t="s">
        <v>2380</v>
      </c>
      <c r="J236" s="1"/>
      <c r="K236" s="9">
        <v>16127.29</v>
      </c>
      <c r="L236" s="1" t="s">
        <v>2535</v>
      </c>
      <c r="M236" s="1" t="s">
        <v>15</v>
      </c>
      <c r="N236" s="1" t="s">
        <v>3036</v>
      </c>
      <c r="O236" s="1" t="s">
        <v>1826</v>
      </c>
      <c r="P236" s="1">
        <v>0</v>
      </c>
      <c r="Q236" s="1" t="s">
        <v>1826</v>
      </c>
      <c r="R236" t="s">
        <v>2825</v>
      </c>
      <c r="S236" t="s">
        <v>3036</v>
      </c>
      <c r="T236" t="s">
        <v>17</v>
      </c>
      <c r="U236" t="s">
        <v>17</v>
      </c>
    </row>
    <row r="237" spans="1:21">
      <c r="A237" s="1" t="s">
        <v>1224</v>
      </c>
      <c r="B237" s="1" t="s">
        <v>1225</v>
      </c>
      <c r="C237" s="1" t="s">
        <v>101</v>
      </c>
      <c r="D237" s="1" t="s">
        <v>124</v>
      </c>
      <c r="E237" s="1" t="s">
        <v>103</v>
      </c>
      <c r="F237" s="1" t="s">
        <v>1226</v>
      </c>
      <c r="G237" s="1" t="s">
        <v>1227</v>
      </c>
      <c r="H237" s="1" t="s">
        <v>127</v>
      </c>
      <c r="I237" s="1" t="s">
        <v>131</v>
      </c>
      <c r="J237" s="1"/>
      <c r="K237" s="9">
        <v>36461.86</v>
      </c>
      <c r="L237" s="1" t="s">
        <v>132</v>
      </c>
      <c r="M237" s="1" t="s">
        <v>15</v>
      </c>
      <c r="N237" s="1" t="s">
        <v>3012</v>
      </c>
      <c r="O237" s="1" t="s">
        <v>3013</v>
      </c>
      <c r="P237" s="1">
        <v>0</v>
      </c>
      <c r="Q237" s="1" t="s">
        <v>1226</v>
      </c>
      <c r="R237" t="s">
        <v>2815</v>
      </c>
      <c r="S237" t="s">
        <v>3216</v>
      </c>
      <c r="T237" t="s">
        <v>3217</v>
      </c>
      <c r="U237" t="s">
        <v>17</v>
      </c>
    </row>
    <row r="238" spans="1:21">
      <c r="A238" s="1" t="s">
        <v>1058</v>
      </c>
      <c r="B238" s="1" t="s">
        <v>1059</v>
      </c>
      <c r="C238" s="1" t="s">
        <v>101</v>
      </c>
      <c r="D238" s="1" t="s">
        <v>102</v>
      </c>
      <c r="E238" s="1" t="s">
        <v>103</v>
      </c>
      <c r="F238" s="1" t="s">
        <v>265</v>
      </c>
      <c r="G238" s="1"/>
      <c r="H238" s="1" t="s">
        <v>106</v>
      </c>
      <c r="I238" s="1" t="s">
        <v>108</v>
      </c>
      <c r="J238" s="1" t="s">
        <v>109</v>
      </c>
      <c r="K238" s="9">
        <v>-23666.83</v>
      </c>
      <c r="L238" s="1" t="s">
        <v>110</v>
      </c>
      <c r="M238" s="1" t="s">
        <v>15</v>
      </c>
      <c r="N238" s="1" t="s">
        <v>3056</v>
      </c>
      <c r="O238" s="1" t="s">
        <v>104</v>
      </c>
      <c r="P238" s="1">
        <v>0</v>
      </c>
      <c r="Q238" s="1" t="s">
        <v>265</v>
      </c>
      <c r="R238" t="s">
        <v>2823</v>
      </c>
      <c r="S238" t="s">
        <v>3218</v>
      </c>
      <c r="T238" t="s">
        <v>17</v>
      </c>
      <c r="U238" t="s">
        <v>3219</v>
      </c>
    </row>
    <row r="239" spans="1:21">
      <c r="A239" s="1" t="s">
        <v>2075</v>
      </c>
      <c r="B239" s="1" t="s">
        <v>2076</v>
      </c>
      <c r="C239" s="1" t="s">
        <v>101</v>
      </c>
      <c r="D239" s="1" t="s">
        <v>124</v>
      </c>
      <c r="E239" s="1" t="s">
        <v>103</v>
      </c>
      <c r="F239" s="1" t="s">
        <v>1213</v>
      </c>
      <c r="G239" s="1" t="s">
        <v>2077</v>
      </c>
      <c r="H239" s="1" t="s">
        <v>127</v>
      </c>
      <c r="I239" s="1" t="s">
        <v>131</v>
      </c>
      <c r="J239" s="1"/>
      <c r="K239" s="9">
        <v>12566.72</v>
      </c>
      <c r="L239" s="1" t="s">
        <v>132</v>
      </c>
      <c r="M239" s="1" t="s">
        <v>15</v>
      </c>
      <c r="N239" s="1" t="s">
        <v>3132</v>
      </c>
      <c r="O239" s="1" t="s">
        <v>1177</v>
      </c>
      <c r="P239" s="1">
        <v>0</v>
      </c>
      <c r="Q239" s="1" t="s">
        <v>1213</v>
      </c>
      <c r="R239" t="s">
        <v>2825</v>
      </c>
      <c r="S239" t="s">
        <v>3220</v>
      </c>
      <c r="T239" t="s">
        <v>3221</v>
      </c>
      <c r="U239" t="s">
        <v>17</v>
      </c>
    </row>
    <row r="240" spans="1:21">
      <c r="A240" s="1" t="s">
        <v>312</v>
      </c>
      <c r="B240" s="1" t="s">
        <v>313</v>
      </c>
      <c r="C240" s="1" t="s">
        <v>101</v>
      </c>
      <c r="D240" s="1" t="s">
        <v>124</v>
      </c>
      <c r="E240" s="1" t="s">
        <v>103</v>
      </c>
      <c r="F240" s="1" t="s">
        <v>316</v>
      </c>
      <c r="G240" s="1" t="s">
        <v>315</v>
      </c>
      <c r="H240" s="1" t="s">
        <v>127</v>
      </c>
      <c r="I240" s="1" t="s">
        <v>131</v>
      </c>
      <c r="J240" s="1"/>
      <c r="K240" s="9">
        <v>17174.509999999998</v>
      </c>
      <c r="L240" s="1" t="s">
        <v>132</v>
      </c>
      <c r="M240" s="1" t="s">
        <v>15</v>
      </c>
      <c r="N240" s="1" t="s">
        <v>2888</v>
      </c>
      <c r="O240" s="1" t="s">
        <v>1473</v>
      </c>
      <c r="P240" s="1">
        <v>0</v>
      </c>
      <c r="Q240" s="1" t="s">
        <v>316</v>
      </c>
      <c r="R240" t="s">
        <v>2825</v>
      </c>
      <c r="S240" t="s">
        <v>3222</v>
      </c>
      <c r="T240" t="s">
        <v>3223</v>
      </c>
      <c r="U240" t="s">
        <v>17</v>
      </c>
    </row>
    <row r="241" spans="1:21">
      <c r="A241" s="1" t="s">
        <v>2679</v>
      </c>
      <c r="B241" s="1" t="s">
        <v>2549</v>
      </c>
      <c r="C241" s="1" t="s">
        <v>42</v>
      </c>
      <c r="D241" s="1" t="s">
        <v>42</v>
      </c>
      <c r="E241" s="1" t="s">
        <v>103</v>
      </c>
      <c r="F241" s="1" t="s">
        <v>1473</v>
      </c>
      <c r="G241" s="1"/>
      <c r="H241" s="1" t="s">
        <v>2379</v>
      </c>
      <c r="I241" s="1" t="s">
        <v>2380</v>
      </c>
      <c r="J241" s="1"/>
      <c r="K241" s="9">
        <v>-32464.02</v>
      </c>
      <c r="L241" s="1" t="s">
        <v>2535</v>
      </c>
      <c r="M241" s="1" t="s">
        <v>15</v>
      </c>
      <c r="N241" s="1" t="s">
        <v>2888</v>
      </c>
      <c r="O241" s="1" t="s">
        <v>1473</v>
      </c>
      <c r="P241" s="1">
        <v>0</v>
      </c>
      <c r="Q241" s="1" t="s">
        <v>1473</v>
      </c>
      <c r="R241" t="s">
        <v>2825</v>
      </c>
      <c r="S241" t="s">
        <v>2888</v>
      </c>
      <c r="T241" t="s">
        <v>17</v>
      </c>
      <c r="U241" t="s">
        <v>17</v>
      </c>
    </row>
    <row r="242" spans="1:21">
      <c r="A242" s="1" t="s">
        <v>2190</v>
      </c>
      <c r="B242" s="1" t="s">
        <v>2191</v>
      </c>
      <c r="C242" s="1" t="s">
        <v>101</v>
      </c>
      <c r="D242" s="1" t="s">
        <v>124</v>
      </c>
      <c r="E242" s="1" t="s">
        <v>103</v>
      </c>
      <c r="F242" s="1" t="s">
        <v>806</v>
      </c>
      <c r="G242" s="1" t="s">
        <v>2192</v>
      </c>
      <c r="H242" s="1" t="s">
        <v>127</v>
      </c>
      <c r="I242" s="1" t="s">
        <v>131</v>
      </c>
      <c r="J242" s="1"/>
      <c r="K242" s="9">
        <v>17383.97</v>
      </c>
      <c r="L242" s="1" t="s">
        <v>132</v>
      </c>
      <c r="M242" s="1" t="s">
        <v>15</v>
      </c>
      <c r="N242" s="1" t="s">
        <v>2885</v>
      </c>
      <c r="O242" s="1" t="s">
        <v>314</v>
      </c>
      <c r="P242" s="1">
        <v>0</v>
      </c>
      <c r="Q242" s="1" t="s">
        <v>806</v>
      </c>
      <c r="R242" t="s">
        <v>2825</v>
      </c>
      <c r="S242" t="s">
        <v>3224</v>
      </c>
      <c r="T242" t="s">
        <v>3225</v>
      </c>
      <c r="U242" t="s">
        <v>17</v>
      </c>
    </row>
    <row r="243" spans="1:21">
      <c r="A243" s="1" t="s">
        <v>2037</v>
      </c>
      <c r="B243" s="1" t="s">
        <v>2038</v>
      </c>
      <c r="C243" s="1" t="s">
        <v>101</v>
      </c>
      <c r="D243" s="1" t="s">
        <v>102</v>
      </c>
      <c r="E243" s="1" t="s">
        <v>103</v>
      </c>
      <c r="F243" s="1" t="s">
        <v>2039</v>
      </c>
      <c r="G243" s="1"/>
      <c r="H243" s="1" t="s">
        <v>106</v>
      </c>
      <c r="I243" s="1" t="s">
        <v>108</v>
      </c>
      <c r="J243" s="1" t="s">
        <v>109</v>
      </c>
      <c r="K243" s="9">
        <v>-10262.030000000001</v>
      </c>
      <c r="L243" s="1" t="s">
        <v>110</v>
      </c>
      <c r="M243" s="1" t="s">
        <v>15</v>
      </c>
      <c r="N243" s="1" t="s">
        <v>2976</v>
      </c>
      <c r="O243" s="1" t="s">
        <v>2580</v>
      </c>
      <c r="P243" s="1">
        <v>0</v>
      </c>
      <c r="Q243" s="1" t="s">
        <v>2039</v>
      </c>
      <c r="R243" t="s">
        <v>2823</v>
      </c>
      <c r="S243" t="s">
        <v>3226</v>
      </c>
      <c r="T243" t="s">
        <v>17</v>
      </c>
      <c r="U243" t="s">
        <v>3227</v>
      </c>
    </row>
    <row r="244" spans="1:21">
      <c r="A244" s="1" t="s">
        <v>2510</v>
      </c>
      <c r="B244" s="1" t="s">
        <v>17</v>
      </c>
      <c r="C244" s="1" t="s">
        <v>33</v>
      </c>
      <c r="D244" s="1" t="s">
        <v>2391</v>
      </c>
      <c r="E244" s="1" t="s">
        <v>103</v>
      </c>
      <c r="F244" s="1" t="s">
        <v>1117</v>
      </c>
      <c r="G244" s="1"/>
      <c r="H244" s="1" t="s">
        <v>2379</v>
      </c>
      <c r="I244" s="1" t="s">
        <v>2380</v>
      </c>
      <c r="J244" s="1"/>
      <c r="K244" s="9">
        <v>61574</v>
      </c>
      <c r="L244" s="1" t="s">
        <v>2494</v>
      </c>
      <c r="M244" s="1" t="s">
        <v>15</v>
      </c>
      <c r="N244" s="1" t="s">
        <v>2834</v>
      </c>
      <c r="O244" s="1" t="s">
        <v>1117</v>
      </c>
      <c r="P244" s="1">
        <v>0</v>
      </c>
      <c r="Q244" s="1" t="s">
        <v>1117</v>
      </c>
      <c r="R244" t="s">
        <v>2823</v>
      </c>
      <c r="S244" t="s">
        <v>2834</v>
      </c>
      <c r="T244" t="s">
        <v>17</v>
      </c>
      <c r="U244" t="s">
        <v>17</v>
      </c>
    </row>
    <row r="245" spans="1:21">
      <c r="A245" s="1" t="s">
        <v>2680</v>
      </c>
      <c r="B245" s="1" t="s">
        <v>2648</v>
      </c>
      <c r="C245" s="1" t="s">
        <v>42</v>
      </c>
      <c r="D245" s="1" t="s">
        <v>42</v>
      </c>
      <c r="E245" s="1" t="s">
        <v>103</v>
      </c>
      <c r="F245" s="1" t="s">
        <v>564</v>
      </c>
      <c r="G245" s="1"/>
      <c r="H245" s="1" t="s">
        <v>2379</v>
      </c>
      <c r="I245" s="1" t="s">
        <v>2380</v>
      </c>
      <c r="J245" s="1"/>
      <c r="K245" s="9">
        <v>-33092.370000000003</v>
      </c>
      <c r="L245" s="1" t="s">
        <v>2535</v>
      </c>
      <c r="M245" s="1" t="s">
        <v>15</v>
      </c>
      <c r="N245" s="1" t="s">
        <v>3126</v>
      </c>
      <c r="O245" s="1" t="s">
        <v>564</v>
      </c>
      <c r="P245" s="1">
        <v>0</v>
      </c>
      <c r="Q245" s="1" t="s">
        <v>564</v>
      </c>
      <c r="R245" t="s">
        <v>2825</v>
      </c>
      <c r="S245" t="s">
        <v>3126</v>
      </c>
      <c r="T245" t="s">
        <v>17</v>
      </c>
      <c r="U245" t="s">
        <v>17</v>
      </c>
    </row>
    <row r="246" spans="1:21">
      <c r="A246" s="1" t="s">
        <v>2681</v>
      </c>
      <c r="B246" s="1" t="s">
        <v>2587</v>
      </c>
      <c r="C246" s="1" t="s">
        <v>42</v>
      </c>
      <c r="D246" s="1" t="s">
        <v>42</v>
      </c>
      <c r="E246" s="1" t="s">
        <v>103</v>
      </c>
      <c r="F246" s="1" t="s">
        <v>1213</v>
      </c>
      <c r="G246" s="1"/>
      <c r="H246" s="1" t="s">
        <v>2379</v>
      </c>
      <c r="I246" s="1" t="s">
        <v>2380</v>
      </c>
      <c r="J246" s="1"/>
      <c r="K246" s="9">
        <v>15498</v>
      </c>
      <c r="L246" s="1" t="s">
        <v>2535</v>
      </c>
      <c r="M246" s="1" t="s">
        <v>15</v>
      </c>
      <c r="N246" s="1" t="s">
        <v>3007</v>
      </c>
      <c r="O246" s="1" t="s">
        <v>1213</v>
      </c>
      <c r="P246" s="1">
        <v>0</v>
      </c>
      <c r="Q246" s="1" t="s">
        <v>1213</v>
      </c>
      <c r="R246" t="s">
        <v>2825</v>
      </c>
      <c r="S246" t="s">
        <v>3007</v>
      </c>
      <c r="T246" t="s">
        <v>17</v>
      </c>
      <c r="U246" t="s">
        <v>17</v>
      </c>
    </row>
    <row r="247" spans="1:21">
      <c r="A247" s="1" t="s">
        <v>1545</v>
      </c>
      <c r="B247" s="1" t="s">
        <v>1546</v>
      </c>
      <c r="C247" s="1" t="s">
        <v>101</v>
      </c>
      <c r="D247" s="1" t="s">
        <v>102</v>
      </c>
      <c r="E247" s="1" t="s">
        <v>103</v>
      </c>
      <c r="F247" s="1" t="s">
        <v>773</v>
      </c>
      <c r="G247" s="1"/>
      <c r="H247" s="1" t="s">
        <v>106</v>
      </c>
      <c r="I247" s="1" t="s">
        <v>108</v>
      </c>
      <c r="J247" s="1" t="s">
        <v>109</v>
      </c>
      <c r="K247" s="9">
        <v>-8120</v>
      </c>
      <c r="L247" s="1" t="s">
        <v>110</v>
      </c>
      <c r="M247" s="1" t="s">
        <v>15</v>
      </c>
      <c r="N247" s="1" t="s">
        <v>2836</v>
      </c>
      <c r="O247" s="1" t="s">
        <v>2518</v>
      </c>
      <c r="P247" s="1">
        <v>0</v>
      </c>
      <c r="Q247" s="1" t="s">
        <v>773</v>
      </c>
      <c r="R247" t="s">
        <v>2823</v>
      </c>
      <c r="S247" t="s">
        <v>3228</v>
      </c>
      <c r="T247" t="s">
        <v>17</v>
      </c>
      <c r="U247" t="s">
        <v>3229</v>
      </c>
    </row>
    <row r="248" spans="1:21">
      <c r="A248" s="1" t="s">
        <v>2682</v>
      </c>
      <c r="B248" s="1" t="s">
        <v>2683</v>
      </c>
      <c r="C248" s="1" t="s">
        <v>42</v>
      </c>
      <c r="D248" s="1" t="s">
        <v>42</v>
      </c>
      <c r="E248" s="1" t="s">
        <v>103</v>
      </c>
      <c r="F248" s="1" t="s">
        <v>1879</v>
      </c>
      <c r="G248" s="1"/>
      <c r="H248" s="1" t="s">
        <v>2379</v>
      </c>
      <c r="I248" s="1" t="s">
        <v>2380</v>
      </c>
      <c r="J248" s="1"/>
      <c r="K248" s="9">
        <v>-15289.51</v>
      </c>
      <c r="L248" s="1" t="s">
        <v>2535</v>
      </c>
      <c r="M248" s="1" t="s">
        <v>15</v>
      </c>
      <c r="N248" s="1" t="s">
        <v>3087</v>
      </c>
      <c r="O248" s="1" t="s">
        <v>1879</v>
      </c>
      <c r="P248" s="1">
        <v>0</v>
      </c>
      <c r="Q248" s="1" t="s">
        <v>1879</v>
      </c>
      <c r="R248" t="s">
        <v>2825</v>
      </c>
      <c r="S248" t="s">
        <v>3087</v>
      </c>
      <c r="T248" t="s">
        <v>17</v>
      </c>
      <c r="U248" t="s">
        <v>17</v>
      </c>
    </row>
    <row r="249" spans="1:21">
      <c r="A249" s="1" t="s">
        <v>2241</v>
      </c>
      <c r="B249" s="1" t="s">
        <v>2242</v>
      </c>
      <c r="C249" s="1" t="s">
        <v>40</v>
      </c>
      <c r="D249" s="1" t="s">
        <v>124</v>
      </c>
      <c r="E249" s="1" t="s">
        <v>103</v>
      </c>
      <c r="F249" s="1" t="s">
        <v>753</v>
      </c>
      <c r="G249" s="1" t="s">
        <v>2243</v>
      </c>
      <c r="H249" s="1" t="s">
        <v>127</v>
      </c>
      <c r="I249" s="1" t="s">
        <v>131</v>
      </c>
      <c r="J249" s="1"/>
      <c r="K249" s="9">
        <v>12776.16</v>
      </c>
      <c r="L249" s="1" t="s">
        <v>146</v>
      </c>
      <c r="M249" s="1" t="s">
        <v>15</v>
      </c>
      <c r="N249" s="1" t="s">
        <v>2865</v>
      </c>
      <c r="O249" s="1" t="s">
        <v>1052</v>
      </c>
      <c r="P249" s="1">
        <v>0</v>
      </c>
      <c r="Q249" s="1" t="s">
        <v>753</v>
      </c>
      <c r="R249" t="s">
        <v>2825</v>
      </c>
      <c r="S249" t="s">
        <v>3230</v>
      </c>
      <c r="T249" t="s">
        <v>3231</v>
      </c>
      <c r="U249" t="s">
        <v>17</v>
      </c>
    </row>
    <row r="250" spans="1:21">
      <c r="A250" s="1" t="s">
        <v>717</v>
      </c>
      <c r="B250" s="1" t="s">
        <v>718</v>
      </c>
      <c r="C250" s="1" t="s">
        <v>101</v>
      </c>
      <c r="D250" s="1" t="s">
        <v>102</v>
      </c>
      <c r="E250" s="1" t="s">
        <v>103</v>
      </c>
      <c r="F250" s="1" t="s">
        <v>719</v>
      </c>
      <c r="G250" s="1"/>
      <c r="H250" s="1" t="s">
        <v>106</v>
      </c>
      <c r="I250" s="1" t="s">
        <v>108</v>
      </c>
      <c r="J250" s="1" t="s">
        <v>109</v>
      </c>
      <c r="K250" s="9">
        <v>-31416.799999999999</v>
      </c>
      <c r="L250" s="1" t="s">
        <v>110</v>
      </c>
      <c r="M250" s="1" t="s">
        <v>15</v>
      </c>
      <c r="N250" s="1" t="s">
        <v>2936</v>
      </c>
      <c r="O250" s="1" t="s">
        <v>1551</v>
      </c>
      <c r="P250" s="1">
        <v>0</v>
      </c>
      <c r="Q250" s="1" t="s">
        <v>719</v>
      </c>
      <c r="R250" t="s">
        <v>2823</v>
      </c>
      <c r="S250" t="s">
        <v>3232</v>
      </c>
      <c r="T250" t="s">
        <v>17</v>
      </c>
      <c r="U250" t="s">
        <v>3233</v>
      </c>
    </row>
    <row r="251" spans="1:21">
      <c r="A251" s="1" t="s">
        <v>996</v>
      </c>
      <c r="B251" s="1" t="s">
        <v>997</v>
      </c>
      <c r="C251" s="1" t="s">
        <v>101</v>
      </c>
      <c r="D251" s="1" t="s">
        <v>124</v>
      </c>
      <c r="E251" s="1" t="s">
        <v>103</v>
      </c>
      <c r="F251" s="1" t="s">
        <v>761</v>
      </c>
      <c r="G251" s="1" t="s">
        <v>998</v>
      </c>
      <c r="H251" s="1" t="s">
        <v>127</v>
      </c>
      <c r="I251" s="1" t="s">
        <v>131</v>
      </c>
      <c r="J251" s="1"/>
      <c r="K251" s="9">
        <v>17174.509999999998</v>
      </c>
      <c r="L251" s="1" t="s">
        <v>132</v>
      </c>
      <c r="M251" s="1" t="s">
        <v>15</v>
      </c>
      <c r="N251" s="1" t="s">
        <v>2999</v>
      </c>
      <c r="O251" s="1" t="s">
        <v>2147</v>
      </c>
      <c r="P251" s="1">
        <v>0</v>
      </c>
      <c r="Q251" s="1" t="s">
        <v>761</v>
      </c>
      <c r="R251" t="s">
        <v>2825</v>
      </c>
      <c r="S251" t="s">
        <v>3234</v>
      </c>
      <c r="T251" t="s">
        <v>3235</v>
      </c>
      <c r="U251" t="s">
        <v>17</v>
      </c>
    </row>
    <row r="252" spans="1:21">
      <c r="A252" s="1" t="s">
        <v>2684</v>
      </c>
      <c r="B252" s="1" t="s">
        <v>2685</v>
      </c>
      <c r="C252" s="1" t="s">
        <v>42</v>
      </c>
      <c r="D252" s="1" t="s">
        <v>42</v>
      </c>
      <c r="E252" s="1" t="s">
        <v>103</v>
      </c>
      <c r="F252" s="1" t="s">
        <v>2686</v>
      </c>
      <c r="G252" s="1"/>
      <c r="H252" s="1" t="s">
        <v>2379</v>
      </c>
      <c r="I252" s="1" t="s">
        <v>2380</v>
      </c>
      <c r="J252" s="1"/>
      <c r="K252" s="9">
        <v>-13404.5</v>
      </c>
      <c r="L252" s="1" t="s">
        <v>2535</v>
      </c>
      <c r="M252" s="1" t="s">
        <v>15</v>
      </c>
      <c r="N252" s="1" t="s">
        <v>2858</v>
      </c>
      <c r="O252" s="1" t="s">
        <v>2686</v>
      </c>
      <c r="P252" s="1">
        <v>0</v>
      </c>
      <c r="Q252" s="1" t="s">
        <v>2686</v>
      </c>
      <c r="R252" t="s">
        <v>2823</v>
      </c>
      <c r="S252" t="s">
        <v>2858</v>
      </c>
      <c r="T252" t="s">
        <v>17</v>
      </c>
      <c r="U252" t="s">
        <v>17</v>
      </c>
    </row>
    <row r="253" spans="1:21">
      <c r="A253" s="1" t="s">
        <v>701</v>
      </c>
      <c r="B253" s="1" t="s">
        <v>702</v>
      </c>
      <c r="C253" s="1" t="s">
        <v>101</v>
      </c>
      <c r="D253" s="1" t="s">
        <v>124</v>
      </c>
      <c r="E253" s="1" t="s">
        <v>103</v>
      </c>
      <c r="F253" s="1" t="s">
        <v>703</v>
      </c>
      <c r="G253" s="1" t="s">
        <v>704</v>
      </c>
      <c r="H253" s="1" t="s">
        <v>127</v>
      </c>
      <c r="I253" s="1" t="s">
        <v>131</v>
      </c>
      <c r="J253" s="1"/>
      <c r="K253" s="9">
        <v>18640.62</v>
      </c>
      <c r="L253" s="1" t="s">
        <v>132</v>
      </c>
      <c r="M253" s="1" t="s">
        <v>15</v>
      </c>
      <c r="N253" s="1" t="s">
        <v>3099</v>
      </c>
      <c r="O253" s="1" t="s">
        <v>829</v>
      </c>
      <c r="P253" s="1">
        <v>0</v>
      </c>
      <c r="Q253" s="1" t="s">
        <v>703</v>
      </c>
      <c r="R253" t="s">
        <v>2825</v>
      </c>
      <c r="S253" t="s">
        <v>3236</v>
      </c>
      <c r="T253" t="s">
        <v>3237</v>
      </c>
      <c r="U253" t="s">
        <v>17</v>
      </c>
    </row>
    <row r="254" spans="1:21">
      <c r="A254" s="1" t="s">
        <v>877</v>
      </c>
      <c r="B254" s="1" t="s">
        <v>878</v>
      </c>
      <c r="C254" s="1" t="s">
        <v>101</v>
      </c>
      <c r="D254" s="1" t="s">
        <v>124</v>
      </c>
      <c r="E254" s="1" t="s">
        <v>103</v>
      </c>
      <c r="F254" s="1" t="s">
        <v>880</v>
      </c>
      <c r="G254" s="1" t="s">
        <v>879</v>
      </c>
      <c r="H254" s="1" t="s">
        <v>127</v>
      </c>
      <c r="I254" s="1" t="s">
        <v>131</v>
      </c>
      <c r="J254" s="1"/>
      <c r="K254" s="9">
        <v>17383.97</v>
      </c>
      <c r="L254" s="1" t="s">
        <v>132</v>
      </c>
      <c r="M254" s="1" t="s">
        <v>15</v>
      </c>
      <c r="N254" s="1" t="s">
        <v>2936</v>
      </c>
      <c r="O254" s="1" t="s">
        <v>1551</v>
      </c>
      <c r="P254" s="1">
        <v>0</v>
      </c>
      <c r="Q254" s="1" t="s">
        <v>880</v>
      </c>
      <c r="R254" t="s">
        <v>2825</v>
      </c>
      <c r="S254" t="s">
        <v>3238</v>
      </c>
      <c r="T254" t="s">
        <v>3239</v>
      </c>
      <c r="U254" t="s">
        <v>17</v>
      </c>
    </row>
    <row r="255" spans="1:21">
      <c r="A255" s="1" t="s">
        <v>2687</v>
      </c>
      <c r="B255" s="1" t="s">
        <v>2688</v>
      </c>
      <c r="C255" s="1" t="s">
        <v>42</v>
      </c>
      <c r="D255" s="1" t="s">
        <v>42</v>
      </c>
      <c r="E255" s="1" t="s">
        <v>103</v>
      </c>
      <c r="F255" s="1" t="s">
        <v>958</v>
      </c>
      <c r="G255" s="1"/>
      <c r="H255" s="1" t="s">
        <v>2379</v>
      </c>
      <c r="I255" s="1" t="s">
        <v>2380</v>
      </c>
      <c r="J255" s="1"/>
      <c r="K255" s="9">
        <v>-123900</v>
      </c>
      <c r="L255" s="1" t="s">
        <v>2535</v>
      </c>
      <c r="M255" s="1" t="s">
        <v>15</v>
      </c>
      <c r="N255" s="1" t="s">
        <v>3200</v>
      </c>
      <c r="O255" s="1" t="s">
        <v>958</v>
      </c>
      <c r="P255" s="1">
        <v>0</v>
      </c>
      <c r="Q255" s="1" t="s">
        <v>958</v>
      </c>
      <c r="R255" t="s">
        <v>2815</v>
      </c>
      <c r="S255" t="s">
        <v>3200</v>
      </c>
      <c r="T255" t="s">
        <v>17</v>
      </c>
      <c r="U255" t="s">
        <v>17</v>
      </c>
    </row>
    <row r="256" spans="1:21">
      <c r="A256" s="1" t="s">
        <v>2689</v>
      </c>
      <c r="B256" s="1" t="s">
        <v>2690</v>
      </c>
      <c r="C256" s="1" t="s">
        <v>42</v>
      </c>
      <c r="D256" s="1" t="s">
        <v>42</v>
      </c>
      <c r="E256" s="1" t="s">
        <v>103</v>
      </c>
      <c r="F256" s="1" t="s">
        <v>829</v>
      </c>
      <c r="G256" s="1"/>
      <c r="H256" s="1" t="s">
        <v>2379</v>
      </c>
      <c r="I256" s="1" t="s">
        <v>2380</v>
      </c>
      <c r="J256" s="1"/>
      <c r="K256" s="9">
        <v>-18640.62</v>
      </c>
      <c r="L256" s="1" t="s">
        <v>2535</v>
      </c>
      <c r="M256" s="1" t="s">
        <v>15</v>
      </c>
      <c r="N256" s="1" t="s">
        <v>3099</v>
      </c>
      <c r="O256" s="1" t="s">
        <v>829</v>
      </c>
      <c r="P256" s="1">
        <v>0</v>
      </c>
      <c r="Q256" s="1" t="s">
        <v>829</v>
      </c>
      <c r="R256" t="s">
        <v>2825</v>
      </c>
      <c r="S256" t="s">
        <v>3099</v>
      </c>
      <c r="T256" t="s">
        <v>17</v>
      </c>
      <c r="U256" t="s">
        <v>17</v>
      </c>
    </row>
    <row r="257" spans="1:21">
      <c r="A257" s="1" t="s">
        <v>1877</v>
      </c>
      <c r="B257" s="1" t="s">
        <v>1878</v>
      </c>
      <c r="C257" s="1" t="s">
        <v>101</v>
      </c>
      <c r="D257" s="1" t="s">
        <v>124</v>
      </c>
      <c r="E257" s="1" t="s">
        <v>103</v>
      </c>
      <c r="F257" s="1" t="s">
        <v>261</v>
      </c>
      <c r="G257" s="1" t="s">
        <v>1880</v>
      </c>
      <c r="H257" s="1" t="s">
        <v>127</v>
      </c>
      <c r="I257" s="1" t="s">
        <v>131</v>
      </c>
      <c r="J257" s="1"/>
      <c r="K257" s="9">
        <v>30153.58</v>
      </c>
      <c r="L257" s="1" t="s">
        <v>132</v>
      </c>
      <c r="M257" s="1" t="s">
        <v>15</v>
      </c>
      <c r="N257" s="1" t="s">
        <v>3185</v>
      </c>
      <c r="O257" s="1" t="s">
        <v>2259</v>
      </c>
      <c r="P257" s="1">
        <v>0</v>
      </c>
      <c r="Q257" s="1" t="s">
        <v>261</v>
      </c>
      <c r="R257" t="s">
        <v>2815</v>
      </c>
      <c r="S257" t="s">
        <v>3240</v>
      </c>
      <c r="T257" t="s">
        <v>3241</v>
      </c>
      <c r="U257" t="s">
        <v>17</v>
      </c>
    </row>
    <row r="258" spans="1:21">
      <c r="A258" s="1" t="s">
        <v>2115</v>
      </c>
      <c r="B258" s="1" t="s">
        <v>2116</v>
      </c>
      <c r="C258" s="1" t="s">
        <v>101</v>
      </c>
      <c r="D258" s="1" t="s">
        <v>124</v>
      </c>
      <c r="E258" s="1" t="s">
        <v>103</v>
      </c>
      <c r="F258" s="1" t="s">
        <v>2117</v>
      </c>
      <c r="G258" s="1" t="s">
        <v>2118</v>
      </c>
      <c r="H258" s="1" t="s">
        <v>127</v>
      </c>
      <c r="I258" s="1" t="s">
        <v>131</v>
      </c>
      <c r="J258" s="1"/>
      <c r="K258" s="9">
        <v>33055.379999999997</v>
      </c>
      <c r="L258" s="1" t="s">
        <v>132</v>
      </c>
      <c r="M258" s="1" t="s">
        <v>15</v>
      </c>
      <c r="N258" s="1" t="s">
        <v>3242</v>
      </c>
      <c r="O258" s="1" t="s">
        <v>3243</v>
      </c>
      <c r="P258" s="1">
        <v>0</v>
      </c>
      <c r="Q258" s="1" t="s">
        <v>2117</v>
      </c>
      <c r="R258" t="s">
        <v>2815</v>
      </c>
      <c r="S258" t="s">
        <v>3244</v>
      </c>
      <c r="T258" t="s">
        <v>3245</v>
      </c>
      <c r="U258" t="s">
        <v>17</v>
      </c>
    </row>
    <row r="259" spans="1:21">
      <c r="A259" s="1" t="s">
        <v>2691</v>
      </c>
      <c r="B259" s="1" t="s">
        <v>2638</v>
      </c>
      <c r="C259" s="1" t="s">
        <v>42</v>
      </c>
      <c r="D259" s="1" t="s">
        <v>42</v>
      </c>
      <c r="E259" s="1" t="s">
        <v>103</v>
      </c>
      <c r="F259" s="1" t="s">
        <v>2624</v>
      </c>
      <c r="G259" s="1"/>
      <c r="H259" s="1" t="s">
        <v>2379</v>
      </c>
      <c r="I259" s="1" t="s">
        <v>2380</v>
      </c>
      <c r="J259" s="1"/>
      <c r="K259" s="9">
        <v>-15498.94</v>
      </c>
      <c r="L259" s="1" t="s">
        <v>2535</v>
      </c>
      <c r="M259" s="1" t="s">
        <v>15</v>
      </c>
      <c r="N259" s="1" t="s">
        <v>3076</v>
      </c>
      <c r="O259" s="1" t="s">
        <v>2624</v>
      </c>
      <c r="P259" s="1">
        <v>0</v>
      </c>
      <c r="Q259" s="1" t="s">
        <v>2624</v>
      </c>
      <c r="R259" t="s">
        <v>2825</v>
      </c>
      <c r="S259" t="s">
        <v>3076</v>
      </c>
      <c r="T259" t="s">
        <v>17</v>
      </c>
      <c r="U259" t="s">
        <v>17</v>
      </c>
    </row>
    <row r="260" spans="1:21">
      <c r="A260" s="1" t="s">
        <v>403</v>
      </c>
      <c r="B260" s="1" t="s">
        <v>404</v>
      </c>
      <c r="C260" s="1" t="s">
        <v>36</v>
      </c>
      <c r="D260" s="1" t="s">
        <v>124</v>
      </c>
      <c r="E260" s="1" t="s">
        <v>103</v>
      </c>
      <c r="F260" s="1" t="s">
        <v>261</v>
      </c>
      <c r="G260" s="1" t="s">
        <v>405</v>
      </c>
      <c r="H260" s="1" t="s">
        <v>127</v>
      </c>
      <c r="I260" s="1" t="s">
        <v>131</v>
      </c>
      <c r="J260" s="1"/>
      <c r="K260" s="9">
        <v>29500</v>
      </c>
      <c r="L260" s="1" t="s">
        <v>243</v>
      </c>
      <c r="M260" s="1" t="s">
        <v>15</v>
      </c>
      <c r="N260" s="1" t="s">
        <v>3185</v>
      </c>
      <c r="O260" s="1" t="s">
        <v>2259</v>
      </c>
      <c r="P260" s="1">
        <v>0</v>
      </c>
      <c r="Q260" s="1" t="s">
        <v>261</v>
      </c>
      <c r="R260" t="s">
        <v>2815</v>
      </c>
      <c r="S260" t="s">
        <v>3246</v>
      </c>
      <c r="T260" t="s">
        <v>3247</v>
      </c>
      <c r="U260" t="s">
        <v>17</v>
      </c>
    </row>
    <row r="261" spans="1:21">
      <c r="A261" s="1" t="s">
        <v>2692</v>
      </c>
      <c r="B261" s="1" t="s">
        <v>2565</v>
      </c>
      <c r="C261" s="1" t="s">
        <v>42</v>
      </c>
      <c r="D261" s="1" t="s">
        <v>42</v>
      </c>
      <c r="E261" s="1" t="s">
        <v>103</v>
      </c>
      <c r="F261" s="1" t="s">
        <v>2566</v>
      </c>
      <c r="G261" s="1"/>
      <c r="H261" s="1" t="s">
        <v>2379</v>
      </c>
      <c r="I261" s="1" t="s">
        <v>2380</v>
      </c>
      <c r="J261" s="1"/>
      <c r="K261" s="9">
        <v>-32673.48</v>
      </c>
      <c r="L261" s="1" t="s">
        <v>2535</v>
      </c>
      <c r="M261" s="1" t="s">
        <v>15</v>
      </c>
      <c r="N261" s="1" t="s">
        <v>2941</v>
      </c>
      <c r="O261" s="1" t="s">
        <v>2566</v>
      </c>
      <c r="P261" s="1">
        <v>0</v>
      </c>
      <c r="Q261" s="1" t="s">
        <v>2566</v>
      </c>
      <c r="R261" t="s">
        <v>2825</v>
      </c>
      <c r="S261" t="s">
        <v>2941</v>
      </c>
      <c r="T261" t="s">
        <v>17</v>
      </c>
      <c r="U261" t="s">
        <v>17</v>
      </c>
    </row>
    <row r="262" spans="1:21">
      <c r="A262" s="1" t="s">
        <v>2511</v>
      </c>
      <c r="B262" s="1" t="s">
        <v>17</v>
      </c>
      <c r="C262" s="1" t="s">
        <v>27</v>
      </c>
      <c r="D262" s="1" t="s">
        <v>2391</v>
      </c>
      <c r="E262" s="1" t="s">
        <v>103</v>
      </c>
      <c r="F262" s="1" t="s">
        <v>2512</v>
      </c>
      <c r="G262" s="1" t="s">
        <v>2513</v>
      </c>
      <c r="H262" s="1" t="s">
        <v>127</v>
      </c>
      <c r="I262" s="1" t="s">
        <v>131</v>
      </c>
      <c r="J262" s="1"/>
      <c r="K262" s="9">
        <v>34947.879999999997</v>
      </c>
      <c r="L262" s="1" t="s">
        <v>2503</v>
      </c>
      <c r="M262" s="1" t="s">
        <v>15</v>
      </c>
      <c r="N262" s="1" t="s">
        <v>2813</v>
      </c>
      <c r="O262" s="1" t="s">
        <v>2814</v>
      </c>
      <c r="P262" s="1">
        <v>0</v>
      </c>
      <c r="Q262" s="1" t="s">
        <v>2512</v>
      </c>
      <c r="R262" t="s">
        <v>2815</v>
      </c>
      <c r="S262" t="s">
        <v>2816</v>
      </c>
      <c r="T262" t="s">
        <v>2817</v>
      </c>
      <c r="U262" t="s">
        <v>17</v>
      </c>
    </row>
    <row r="263" spans="1:21">
      <c r="A263" s="1" t="s">
        <v>1817</v>
      </c>
      <c r="B263" s="1" t="s">
        <v>1818</v>
      </c>
      <c r="C263" s="1" t="s">
        <v>101</v>
      </c>
      <c r="D263" s="1" t="s">
        <v>102</v>
      </c>
      <c r="E263" s="1" t="s">
        <v>103</v>
      </c>
      <c r="F263" s="1" t="s">
        <v>1819</v>
      </c>
      <c r="G263" s="1"/>
      <c r="H263" s="1" t="s">
        <v>106</v>
      </c>
      <c r="I263" s="1" t="s">
        <v>108</v>
      </c>
      <c r="J263" s="1" t="s">
        <v>109</v>
      </c>
      <c r="K263" s="9">
        <v>-15498</v>
      </c>
      <c r="L263" s="1" t="s">
        <v>110</v>
      </c>
      <c r="M263" s="1" t="s">
        <v>15</v>
      </c>
      <c r="N263" s="1" t="s">
        <v>3007</v>
      </c>
      <c r="O263" s="1" t="s">
        <v>1213</v>
      </c>
      <c r="P263" s="1">
        <v>0</v>
      </c>
      <c r="Q263" s="1" t="s">
        <v>1819</v>
      </c>
      <c r="R263" t="s">
        <v>2823</v>
      </c>
      <c r="S263" t="s">
        <v>3248</v>
      </c>
      <c r="T263" t="s">
        <v>17</v>
      </c>
      <c r="U263" t="s">
        <v>3249</v>
      </c>
    </row>
    <row r="264" spans="1:21">
      <c r="A264" s="1" t="s">
        <v>2693</v>
      </c>
      <c r="B264" s="1" t="s">
        <v>2694</v>
      </c>
      <c r="C264" s="1" t="s">
        <v>42</v>
      </c>
      <c r="D264" s="1" t="s">
        <v>42</v>
      </c>
      <c r="E264" s="1" t="s">
        <v>103</v>
      </c>
      <c r="F264" s="1" t="s">
        <v>265</v>
      </c>
      <c r="G264" s="1"/>
      <c r="H264" s="1" t="s">
        <v>2379</v>
      </c>
      <c r="I264" s="1" t="s">
        <v>2380</v>
      </c>
      <c r="J264" s="1"/>
      <c r="K264" s="9">
        <v>-31207.34</v>
      </c>
      <c r="L264" s="1" t="s">
        <v>2535</v>
      </c>
      <c r="M264" s="1" t="s">
        <v>15</v>
      </c>
      <c r="N264" s="1" t="s">
        <v>2965</v>
      </c>
      <c r="O264" s="1" t="s">
        <v>265</v>
      </c>
      <c r="P264" s="1">
        <v>0</v>
      </c>
      <c r="Q264" s="1" t="s">
        <v>265</v>
      </c>
      <c r="R264" t="s">
        <v>2823</v>
      </c>
      <c r="S264" t="s">
        <v>2965</v>
      </c>
      <c r="T264" t="s">
        <v>17</v>
      </c>
      <c r="U264" t="s">
        <v>17</v>
      </c>
    </row>
    <row r="265" spans="1:21">
      <c r="A265" s="1" t="s">
        <v>2322</v>
      </c>
      <c r="B265" s="1" t="s">
        <v>2323</v>
      </c>
      <c r="C265" s="1" t="s">
        <v>101</v>
      </c>
      <c r="D265" s="1" t="s">
        <v>124</v>
      </c>
      <c r="E265" s="1" t="s">
        <v>103</v>
      </c>
      <c r="F265" s="1" t="s">
        <v>2324</v>
      </c>
      <c r="G265" s="1" t="s">
        <v>2325</v>
      </c>
      <c r="H265" s="1" t="s">
        <v>127</v>
      </c>
      <c r="I265" s="1" t="s">
        <v>131</v>
      </c>
      <c r="J265" s="1"/>
      <c r="K265" s="9">
        <v>15498.94</v>
      </c>
      <c r="L265" s="1" t="s">
        <v>132</v>
      </c>
      <c r="M265" s="1" t="s">
        <v>15</v>
      </c>
      <c r="N265" s="1" t="s">
        <v>2854</v>
      </c>
      <c r="O265" s="1" t="s">
        <v>314</v>
      </c>
      <c r="P265" s="1">
        <v>0</v>
      </c>
      <c r="Q265" s="1" t="s">
        <v>2324</v>
      </c>
      <c r="R265" t="s">
        <v>2825</v>
      </c>
      <c r="S265" t="s">
        <v>3250</v>
      </c>
      <c r="T265" t="s">
        <v>3251</v>
      </c>
      <c r="U265" t="s">
        <v>17</v>
      </c>
    </row>
    <row r="266" spans="1:21">
      <c r="A266" s="1" t="s">
        <v>2082</v>
      </c>
      <c r="B266" s="1" t="s">
        <v>2083</v>
      </c>
      <c r="C266" s="1" t="s">
        <v>101</v>
      </c>
      <c r="D266" s="1" t="s">
        <v>124</v>
      </c>
      <c r="E266" s="1" t="s">
        <v>103</v>
      </c>
      <c r="F266" s="1" t="s">
        <v>829</v>
      </c>
      <c r="G266" s="1" t="s">
        <v>2084</v>
      </c>
      <c r="H266" s="1" t="s">
        <v>127</v>
      </c>
      <c r="I266" s="1" t="s">
        <v>131</v>
      </c>
      <c r="J266" s="1"/>
      <c r="K266" s="9">
        <v>18640.62</v>
      </c>
      <c r="L266" s="1" t="s">
        <v>132</v>
      </c>
      <c r="M266" s="1" t="s">
        <v>15</v>
      </c>
      <c r="N266" s="1" t="s">
        <v>2988</v>
      </c>
      <c r="O266" s="1" t="s">
        <v>151</v>
      </c>
      <c r="P266" s="1">
        <v>0</v>
      </c>
      <c r="Q266" s="1" t="s">
        <v>829</v>
      </c>
      <c r="R266" t="s">
        <v>2825</v>
      </c>
      <c r="S266" t="s">
        <v>3252</v>
      </c>
      <c r="T266" t="s">
        <v>3253</v>
      </c>
      <c r="U266" t="s">
        <v>17</v>
      </c>
    </row>
    <row r="267" spans="1:21">
      <c r="A267" s="1" t="s">
        <v>2695</v>
      </c>
      <c r="B267" s="1" t="s">
        <v>2688</v>
      </c>
      <c r="C267" s="1" t="s">
        <v>42</v>
      </c>
      <c r="D267" s="1" t="s">
        <v>42</v>
      </c>
      <c r="E267" s="1" t="s">
        <v>103</v>
      </c>
      <c r="F267" s="1" t="s">
        <v>958</v>
      </c>
      <c r="G267" s="1"/>
      <c r="H267" s="1" t="s">
        <v>2379</v>
      </c>
      <c r="I267" s="1" t="s">
        <v>2380</v>
      </c>
      <c r="J267" s="1"/>
      <c r="K267" s="9">
        <v>123900</v>
      </c>
      <c r="L267" s="1" t="s">
        <v>2535</v>
      </c>
      <c r="M267" s="1" t="s">
        <v>15</v>
      </c>
      <c r="N267" s="1" t="s">
        <v>3200</v>
      </c>
      <c r="O267" s="1" t="s">
        <v>958</v>
      </c>
      <c r="P267" s="1">
        <v>0</v>
      </c>
      <c r="Q267" s="1" t="s">
        <v>958</v>
      </c>
      <c r="R267" t="s">
        <v>2815</v>
      </c>
      <c r="S267" t="s">
        <v>3200</v>
      </c>
      <c r="T267" t="s">
        <v>17</v>
      </c>
      <c r="U267" t="s">
        <v>17</v>
      </c>
    </row>
    <row r="268" spans="1:21">
      <c r="A268" s="1" t="s">
        <v>2696</v>
      </c>
      <c r="B268" s="1" t="s">
        <v>2618</v>
      </c>
      <c r="C268" s="1" t="s">
        <v>42</v>
      </c>
      <c r="D268" s="1" t="s">
        <v>42</v>
      </c>
      <c r="E268" s="1" t="s">
        <v>103</v>
      </c>
      <c r="F268" s="1" t="s">
        <v>1674</v>
      </c>
      <c r="G268" s="1"/>
      <c r="H268" s="1" t="s">
        <v>2379</v>
      </c>
      <c r="I268" s="1" t="s">
        <v>2380</v>
      </c>
      <c r="J268" s="1"/>
      <c r="K268" s="9">
        <v>-18431.189999999999</v>
      </c>
      <c r="L268" s="1" t="s">
        <v>2535</v>
      </c>
      <c r="M268" s="1" t="s">
        <v>15</v>
      </c>
      <c r="N268" s="1" t="s">
        <v>2959</v>
      </c>
      <c r="O268" s="1" t="s">
        <v>1674</v>
      </c>
      <c r="P268" s="1">
        <v>0</v>
      </c>
      <c r="Q268" s="1" t="s">
        <v>1674</v>
      </c>
      <c r="R268" t="s">
        <v>2823</v>
      </c>
      <c r="S268" t="s">
        <v>2959</v>
      </c>
      <c r="T268" t="s">
        <v>17</v>
      </c>
      <c r="U268" t="s">
        <v>17</v>
      </c>
    </row>
    <row r="269" spans="1:21">
      <c r="A269" s="1" t="s">
        <v>2697</v>
      </c>
      <c r="B269" s="1" t="s">
        <v>2582</v>
      </c>
      <c r="C269" s="1" t="s">
        <v>42</v>
      </c>
      <c r="D269" s="1" t="s">
        <v>42</v>
      </c>
      <c r="E269" s="1" t="s">
        <v>103</v>
      </c>
      <c r="F269" s="1" t="s">
        <v>1079</v>
      </c>
      <c r="G269" s="1"/>
      <c r="H269" s="1" t="s">
        <v>2379</v>
      </c>
      <c r="I269" s="1" t="s">
        <v>2380</v>
      </c>
      <c r="J269" s="1"/>
      <c r="K269" s="9">
        <v>9843.93</v>
      </c>
      <c r="L269" s="1" t="s">
        <v>2535</v>
      </c>
      <c r="M269" s="1" t="s">
        <v>15</v>
      </c>
      <c r="N269" s="1" t="s">
        <v>2979</v>
      </c>
      <c r="O269" s="1" t="s">
        <v>1079</v>
      </c>
      <c r="P269" s="1">
        <v>0</v>
      </c>
      <c r="Q269" s="1" t="s">
        <v>1079</v>
      </c>
      <c r="R269" t="s">
        <v>2825</v>
      </c>
      <c r="S269" t="s">
        <v>2979</v>
      </c>
      <c r="T269" t="s">
        <v>17</v>
      </c>
      <c r="U269" t="s">
        <v>17</v>
      </c>
    </row>
    <row r="270" spans="1:21">
      <c r="A270" s="1" t="s">
        <v>2339</v>
      </c>
      <c r="B270" s="1" t="s">
        <v>2340</v>
      </c>
      <c r="C270" s="1" t="s">
        <v>40</v>
      </c>
      <c r="D270" s="1" t="s">
        <v>124</v>
      </c>
      <c r="E270" s="1" t="s">
        <v>103</v>
      </c>
      <c r="F270" s="1" t="s">
        <v>151</v>
      </c>
      <c r="G270" s="1" t="s">
        <v>2341</v>
      </c>
      <c r="H270" s="1" t="s">
        <v>127</v>
      </c>
      <c r="I270" s="1" t="s">
        <v>131</v>
      </c>
      <c r="J270" s="1"/>
      <c r="K270" s="9">
        <v>13195.05</v>
      </c>
      <c r="L270" s="1" t="s">
        <v>146</v>
      </c>
      <c r="M270" s="1" t="s">
        <v>15</v>
      </c>
      <c r="N270" s="1" t="s">
        <v>2999</v>
      </c>
      <c r="O270" s="1" t="s">
        <v>2147</v>
      </c>
      <c r="P270" s="1">
        <v>0</v>
      </c>
      <c r="Q270" s="1" t="s">
        <v>151</v>
      </c>
      <c r="R270" t="s">
        <v>2825</v>
      </c>
      <c r="S270" t="s">
        <v>3254</v>
      </c>
      <c r="T270" t="s">
        <v>3255</v>
      </c>
      <c r="U270" t="s">
        <v>17</v>
      </c>
    </row>
    <row r="271" spans="1:21">
      <c r="A271" s="1" t="s">
        <v>1044</v>
      </c>
      <c r="B271" s="1" t="s">
        <v>1045</v>
      </c>
      <c r="C271" s="1" t="s">
        <v>101</v>
      </c>
      <c r="D271" s="1" t="s">
        <v>352</v>
      </c>
      <c r="E271" s="1" t="s">
        <v>103</v>
      </c>
      <c r="F271" s="1" t="s">
        <v>338</v>
      </c>
      <c r="G271" s="1"/>
      <c r="H271" s="1" t="s">
        <v>106</v>
      </c>
      <c r="I271" s="1" t="s">
        <v>108</v>
      </c>
      <c r="J271" s="1" t="s">
        <v>109</v>
      </c>
      <c r="K271" s="9">
        <v>-65556.37</v>
      </c>
      <c r="L271" s="1" t="s">
        <v>356</v>
      </c>
      <c r="M271" s="1" t="s">
        <v>15</v>
      </c>
      <c r="N271" s="1" t="s">
        <v>2839</v>
      </c>
      <c r="O271" s="1" t="s">
        <v>338</v>
      </c>
      <c r="P271" s="1">
        <v>0</v>
      </c>
      <c r="Q271" s="1" t="s">
        <v>338</v>
      </c>
      <c r="R271" t="s">
        <v>2823</v>
      </c>
      <c r="S271" t="s">
        <v>3256</v>
      </c>
      <c r="T271" t="s">
        <v>17</v>
      </c>
      <c r="U271" t="s">
        <v>3257</v>
      </c>
    </row>
    <row r="272" spans="1:21">
      <c r="A272" s="1" t="s">
        <v>2368</v>
      </c>
      <c r="B272" s="1" t="s">
        <v>2369</v>
      </c>
      <c r="C272" s="1" t="s">
        <v>40</v>
      </c>
      <c r="D272" s="1" t="s">
        <v>124</v>
      </c>
      <c r="E272" s="1" t="s">
        <v>103</v>
      </c>
      <c r="F272" s="1" t="s">
        <v>1473</v>
      </c>
      <c r="G272" s="1" t="s">
        <v>2370</v>
      </c>
      <c r="H272" s="1" t="s">
        <v>127</v>
      </c>
      <c r="I272" s="1" t="s">
        <v>131</v>
      </c>
      <c r="J272" s="1"/>
      <c r="K272" s="9">
        <v>16965.080000000002</v>
      </c>
      <c r="L272" s="1" t="s">
        <v>146</v>
      </c>
      <c r="M272" s="1" t="s">
        <v>15</v>
      </c>
      <c r="N272" s="1" t="s">
        <v>2857</v>
      </c>
      <c r="O272" s="1" t="s">
        <v>395</v>
      </c>
      <c r="P272" s="1">
        <v>0</v>
      </c>
      <c r="Q272" s="1" t="s">
        <v>1473</v>
      </c>
      <c r="R272" t="s">
        <v>2825</v>
      </c>
      <c r="S272" t="s">
        <v>3258</v>
      </c>
      <c r="T272" t="s">
        <v>3259</v>
      </c>
      <c r="U272" t="s">
        <v>17</v>
      </c>
    </row>
    <row r="273" spans="1:21">
      <c r="A273" s="1" t="s">
        <v>1835</v>
      </c>
      <c r="B273" s="1" t="s">
        <v>1836</v>
      </c>
      <c r="C273" s="1" t="s">
        <v>40</v>
      </c>
      <c r="D273" s="1" t="s">
        <v>124</v>
      </c>
      <c r="E273" s="1" t="s">
        <v>103</v>
      </c>
      <c r="F273" s="1" t="s">
        <v>1838</v>
      </c>
      <c r="G273" s="1" t="s">
        <v>1837</v>
      </c>
      <c r="H273" s="1" t="s">
        <v>127</v>
      </c>
      <c r="I273" s="1" t="s">
        <v>131</v>
      </c>
      <c r="J273" s="1"/>
      <c r="K273" s="9">
        <v>11938.37</v>
      </c>
      <c r="L273" s="1" t="s">
        <v>146</v>
      </c>
      <c r="M273" s="1" t="s">
        <v>15</v>
      </c>
      <c r="N273" s="1" t="s">
        <v>2857</v>
      </c>
      <c r="O273" s="1" t="s">
        <v>395</v>
      </c>
      <c r="P273" s="1">
        <v>0</v>
      </c>
      <c r="Q273" s="1" t="s">
        <v>1838</v>
      </c>
      <c r="R273" t="s">
        <v>2825</v>
      </c>
      <c r="S273" t="s">
        <v>3260</v>
      </c>
      <c r="T273" t="s">
        <v>3261</v>
      </c>
      <c r="U273" t="s">
        <v>17</v>
      </c>
    </row>
    <row r="274" spans="1:21">
      <c r="A274" s="1" t="s">
        <v>1860</v>
      </c>
      <c r="B274" s="1" t="s">
        <v>1861</v>
      </c>
      <c r="C274" s="1" t="s">
        <v>101</v>
      </c>
      <c r="D274" s="1" t="s">
        <v>102</v>
      </c>
      <c r="E274" s="1" t="s">
        <v>103</v>
      </c>
      <c r="F274" s="1" t="s">
        <v>400</v>
      </c>
      <c r="G274" s="1"/>
      <c r="H274" s="1" t="s">
        <v>106</v>
      </c>
      <c r="I274" s="1" t="s">
        <v>108</v>
      </c>
      <c r="J274" s="1" t="s">
        <v>109</v>
      </c>
      <c r="K274" s="9">
        <v>-29322.34</v>
      </c>
      <c r="L274" s="1" t="s">
        <v>110</v>
      </c>
      <c r="M274" s="1" t="s">
        <v>15</v>
      </c>
      <c r="N274" s="1" t="s">
        <v>3262</v>
      </c>
      <c r="O274" s="1" t="s">
        <v>251</v>
      </c>
      <c r="P274" s="1">
        <v>0</v>
      </c>
      <c r="Q274" s="1" t="s">
        <v>400</v>
      </c>
      <c r="R274" t="s">
        <v>2823</v>
      </c>
      <c r="S274" t="s">
        <v>3263</v>
      </c>
      <c r="T274" t="s">
        <v>17</v>
      </c>
      <c r="U274" t="s">
        <v>3264</v>
      </c>
    </row>
    <row r="275" spans="1:21">
      <c r="A275" s="1" t="s">
        <v>2514</v>
      </c>
      <c r="B275" s="1" t="s">
        <v>17</v>
      </c>
      <c r="C275" s="1" t="s">
        <v>33</v>
      </c>
      <c r="D275" s="1" t="s">
        <v>2391</v>
      </c>
      <c r="E275" s="1" t="s">
        <v>103</v>
      </c>
      <c r="F275" s="1" t="s">
        <v>1337</v>
      </c>
      <c r="G275" s="1"/>
      <c r="H275" s="1" t="s">
        <v>2379</v>
      </c>
      <c r="I275" s="1" t="s">
        <v>2380</v>
      </c>
      <c r="J275" s="1"/>
      <c r="K275" s="9">
        <v>8120</v>
      </c>
      <c r="L275" s="1" t="s">
        <v>2494</v>
      </c>
      <c r="M275" s="1" t="s">
        <v>15</v>
      </c>
      <c r="N275" s="1" t="s">
        <v>2838</v>
      </c>
      <c r="O275" s="1" t="s">
        <v>1337</v>
      </c>
      <c r="P275" s="1">
        <v>0</v>
      </c>
      <c r="Q275" s="1" t="s">
        <v>1337</v>
      </c>
      <c r="R275" t="s">
        <v>2825</v>
      </c>
      <c r="S275" t="s">
        <v>2838</v>
      </c>
      <c r="T275" t="s">
        <v>17</v>
      </c>
      <c r="U275" t="s">
        <v>17</v>
      </c>
    </row>
    <row r="276" spans="1:21">
      <c r="A276" s="1" t="s">
        <v>1081</v>
      </c>
      <c r="B276" s="1" t="s">
        <v>1082</v>
      </c>
      <c r="C276" s="1" t="s">
        <v>101</v>
      </c>
      <c r="D276" s="1" t="s">
        <v>102</v>
      </c>
      <c r="E276" s="1" t="s">
        <v>103</v>
      </c>
      <c r="F276" s="1" t="s">
        <v>901</v>
      </c>
      <c r="G276" s="1"/>
      <c r="H276" s="1" t="s">
        <v>106</v>
      </c>
      <c r="I276" s="1" t="s">
        <v>108</v>
      </c>
      <c r="J276" s="1" t="s">
        <v>109</v>
      </c>
      <c r="K276" s="9">
        <v>-8120</v>
      </c>
      <c r="L276" s="1" t="s">
        <v>110</v>
      </c>
      <c r="M276" s="1" t="s">
        <v>15</v>
      </c>
      <c r="N276" s="1" t="s">
        <v>2831</v>
      </c>
      <c r="O276" s="1" t="s">
        <v>1418</v>
      </c>
      <c r="P276" s="1">
        <v>0</v>
      </c>
      <c r="Q276" s="1" t="s">
        <v>901</v>
      </c>
      <c r="R276" t="s">
        <v>2823</v>
      </c>
      <c r="S276" t="s">
        <v>3265</v>
      </c>
      <c r="T276" t="s">
        <v>17</v>
      </c>
      <c r="U276" t="s">
        <v>3266</v>
      </c>
    </row>
    <row r="277" spans="1:21">
      <c r="A277" s="1" t="s">
        <v>2698</v>
      </c>
      <c r="B277" s="1" t="s">
        <v>2599</v>
      </c>
      <c r="C277" s="1" t="s">
        <v>42</v>
      </c>
      <c r="D277" s="1" t="s">
        <v>42</v>
      </c>
      <c r="E277" s="1" t="s">
        <v>103</v>
      </c>
      <c r="F277" s="1" t="s">
        <v>1572</v>
      </c>
      <c r="G277" s="1"/>
      <c r="H277" s="1" t="s">
        <v>2379</v>
      </c>
      <c r="I277" s="1" t="s">
        <v>2380</v>
      </c>
      <c r="J277" s="1"/>
      <c r="K277" s="9">
        <v>-46496.88</v>
      </c>
      <c r="L277" s="1" t="s">
        <v>2535</v>
      </c>
      <c r="M277" s="1" t="s">
        <v>15</v>
      </c>
      <c r="N277" s="1" t="s">
        <v>2868</v>
      </c>
      <c r="O277" s="1" t="s">
        <v>1572</v>
      </c>
      <c r="P277" s="1">
        <v>0</v>
      </c>
      <c r="Q277" s="1" t="s">
        <v>1572</v>
      </c>
      <c r="R277" t="s">
        <v>2825</v>
      </c>
      <c r="S277" t="s">
        <v>2868</v>
      </c>
      <c r="T277" t="s">
        <v>17</v>
      </c>
      <c r="U277" t="s">
        <v>17</v>
      </c>
    </row>
    <row r="278" spans="1:21">
      <c r="A278" s="1" t="s">
        <v>633</v>
      </c>
      <c r="B278" s="1" t="s">
        <v>634</v>
      </c>
      <c r="C278" s="1" t="s">
        <v>101</v>
      </c>
      <c r="D278" s="1" t="s">
        <v>352</v>
      </c>
      <c r="E278" s="1" t="s">
        <v>103</v>
      </c>
      <c r="F278" s="1" t="s">
        <v>190</v>
      </c>
      <c r="G278" s="1"/>
      <c r="H278" s="1" t="s">
        <v>106</v>
      </c>
      <c r="I278" s="1" t="s">
        <v>108</v>
      </c>
      <c r="J278" s="1" t="s">
        <v>109</v>
      </c>
      <c r="K278" s="9">
        <v>-77074.94</v>
      </c>
      <c r="L278" s="1" t="s">
        <v>356</v>
      </c>
      <c r="M278" s="1" t="s">
        <v>15</v>
      </c>
      <c r="N278" s="1" t="s">
        <v>3135</v>
      </c>
      <c r="O278" s="1" t="s">
        <v>190</v>
      </c>
      <c r="P278" s="1">
        <v>0</v>
      </c>
      <c r="Q278" s="1" t="s">
        <v>190</v>
      </c>
      <c r="R278" t="s">
        <v>2823</v>
      </c>
      <c r="S278" t="s">
        <v>3267</v>
      </c>
      <c r="T278" t="s">
        <v>17</v>
      </c>
      <c r="U278" t="s">
        <v>3268</v>
      </c>
    </row>
    <row r="279" spans="1:21">
      <c r="A279" s="1" t="s">
        <v>2699</v>
      </c>
      <c r="B279" s="1" t="s">
        <v>2700</v>
      </c>
      <c r="C279" s="1" t="s">
        <v>42</v>
      </c>
      <c r="D279" s="1" t="s">
        <v>42</v>
      </c>
      <c r="E279" s="1" t="s">
        <v>103</v>
      </c>
      <c r="F279" s="1" t="s">
        <v>1551</v>
      </c>
      <c r="G279" s="1"/>
      <c r="H279" s="1" t="s">
        <v>2379</v>
      </c>
      <c r="I279" s="1" t="s">
        <v>2380</v>
      </c>
      <c r="J279" s="1"/>
      <c r="K279" s="9">
        <v>-31416.799999999999</v>
      </c>
      <c r="L279" s="1" t="s">
        <v>2535</v>
      </c>
      <c r="M279" s="1" t="s">
        <v>15</v>
      </c>
      <c r="N279" s="1" t="s">
        <v>2936</v>
      </c>
      <c r="O279" s="1" t="s">
        <v>1551</v>
      </c>
      <c r="P279" s="1">
        <v>0</v>
      </c>
      <c r="Q279" s="1" t="s">
        <v>1551</v>
      </c>
      <c r="R279" t="s">
        <v>2825</v>
      </c>
      <c r="S279" t="s">
        <v>2936</v>
      </c>
      <c r="T279" t="s">
        <v>17</v>
      </c>
      <c r="U279" t="s">
        <v>17</v>
      </c>
    </row>
    <row r="280" spans="1:21">
      <c r="A280" s="1" t="s">
        <v>218</v>
      </c>
      <c r="B280" s="1" t="s">
        <v>219</v>
      </c>
      <c r="C280" s="1" t="s">
        <v>101</v>
      </c>
      <c r="D280" s="1" t="s">
        <v>124</v>
      </c>
      <c r="E280" s="1" t="s">
        <v>103</v>
      </c>
      <c r="F280" s="1" t="s">
        <v>221</v>
      </c>
      <c r="G280" s="1" t="s">
        <v>220</v>
      </c>
      <c r="H280" s="1" t="s">
        <v>127</v>
      </c>
      <c r="I280" s="1" t="s">
        <v>131</v>
      </c>
      <c r="J280" s="1"/>
      <c r="K280" s="9">
        <v>15498.94</v>
      </c>
      <c r="L280" s="1" t="s">
        <v>132</v>
      </c>
      <c r="M280" s="1" t="s">
        <v>15</v>
      </c>
      <c r="N280" s="1" t="s">
        <v>3076</v>
      </c>
      <c r="O280" s="1" t="s">
        <v>2624</v>
      </c>
      <c r="P280" s="1">
        <v>0</v>
      </c>
      <c r="Q280" s="1" t="s">
        <v>221</v>
      </c>
      <c r="R280" t="s">
        <v>2825</v>
      </c>
      <c r="S280" t="s">
        <v>3269</v>
      </c>
      <c r="T280" t="s">
        <v>3270</v>
      </c>
      <c r="U280" t="s">
        <v>17</v>
      </c>
    </row>
    <row r="281" spans="1:21">
      <c r="A281" s="1" t="s">
        <v>2701</v>
      </c>
      <c r="B281" s="1" t="s">
        <v>2702</v>
      </c>
      <c r="C281" s="1" t="s">
        <v>42</v>
      </c>
      <c r="D281" s="1" t="s">
        <v>42</v>
      </c>
      <c r="E281" s="1" t="s">
        <v>103</v>
      </c>
      <c r="F281" s="1" t="s">
        <v>526</v>
      </c>
      <c r="G281" s="1"/>
      <c r="H281" s="1" t="s">
        <v>2379</v>
      </c>
      <c r="I281" s="1" t="s">
        <v>2380</v>
      </c>
      <c r="J281" s="1"/>
      <c r="K281" s="9">
        <v>-25761.759999999998</v>
      </c>
      <c r="L281" s="1" t="s">
        <v>2535</v>
      </c>
      <c r="M281" s="1" t="s">
        <v>15</v>
      </c>
      <c r="N281" s="1" t="s">
        <v>3164</v>
      </c>
      <c r="O281" s="1" t="s">
        <v>526</v>
      </c>
      <c r="P281" s="1">
        <v>0</v>
      </c>
      <c r="Q281" s="1" t="s">
        <v>526</v>
      </c>
      <c r="R281" t="s">
        <v>2825</v>
      </c>
      <c r="S281" t="s">
        <v>3164</v>
      </c>
      <c r="T281" t="s">
        <v>17</v>
      </c>
      <c r="U281" t="s">
        <v>17</v>
      </c>
    </row>
    <row r="282" spans="1:21">
      <c r="A282" s="1" t="s">
        <v>1811</v>
      </c>
      <c r="B282" s="1" t="s">
        <v>1812</v>
      </c>
      <c r="C282" s="1" t="s">
        <v>101</v>
      </c>
      <c r="D282" s="1" t="s">
        <v>124</v>
      </c>
      <c r="E282" s="1" t="s">
        <v>103</v>
      </c>
      <c r="F282" s="1" t="s">
        <v>1814</v>
      </c>
      <c r="G282" s="1" t="s">
        <v>1813</v>
      </c>
      <c r="H282" s="1" t="s">
        <v>127</v>
      </c>
      <c r="I282" s="1" t="s">
        <v>131</v>
      </c>
      <c r="J282" s="1"/>
      <c r="K282" s="9">
        <v>14661.16</v>
      </c>
      <c r="L282" s="1" t="s">
        <v>132</v>
      </c>
      <c r="M282" s="1" t="s">
        <v>15</v>
      </c>
      <c r="N282" s="1" t="s">
        <v>2832</v>
      </c>
      <c r="O282" s="1" t="s">
        <v>298</v>
      </c>
      <c r="P282" s="1">
        <v>0</v>
      </c>
      <c r="Q282" s="1" t="s">
        <v>1814</v>
      </c>
      <c r="R282" t="s">
        <v>2825</v>
      </c>
      <c r="S282" t="s">
        <v>3271</v>
      </c>
      <c r="T282" t="s">
        <v>3272</v>
      </c>
      <c r="U282" t="s">
        <v>17</v>
      </c>
    </row>
    <row r="283" spans="1:21">
      <c r="A283" s="1" t="s">
        <v>899</v>
      </c>
      <c r="B283" s="1" t="s">
        <v>900</v>
      </c>
      <c r="C283" s="1" t="s">
        <v>40</v>
      </c>
      <c r="D283" s="1" t="s">
        <v>124</v>
      </c>
      <c r="E283" s="1" t="s">
        <v>103</v>
      </c>
      <c r="F283" s="1" t="s">
        <v>901</v>
      </c>
      <c r="G283" s="1" t="s">
        <v>902</v>
      </c>
      <c r="H283" s="1" t="s">
        <v>127</v>
      </c>
      <c r="I283" s="1" t="s">
        <v>131</v>
      </c>
      <c r="J283" s="1"/>
      <c r="K283" s="9">
        <v>10891.15</v>
      </c>
      <c r="L283" s="1" t="s">
        <v>146</v>
      </c>
      <c r="M283" s="1" t="s">
        <v>15</v>
      </c>
      <c r="N283" s="1" t="s">
        <v>2905</v>
      </c>
      <c r="O283" s="1" t="s">
        <v>174</v>
      </c>
      <c r="P283" s="1">
        <v>0</v>
      </c>
      <c r="Q283" s="1" t="s">
        <v>901</v>
      </c>
      <c r="R283" t="s">
        <v>2825</v>
      </c>
      <c r="S283" t="s">
        <v>3273</v>
      </c>
      <c r="T283" t="s">
        <v>3274</v>
      </c>
      <c r="U283" t="s">
        <v>17</v>
      </c>
    </row>
    <row r="284" spans="1:21">
      <c r="A284" s="1" t="s">
        <v>1576</v>
      </c>
      <c r="B284" s="1" t="s">
        <v>1577</v>
      </c>
      <c r="C284" s="1" t="s">
        <v>40</v>
      </c>
      <c r="D284" s="1" t="s">
        <v>124</v>
      </c>
      <c r="E284" s="1" t="s">
        <v>103</v>
      </c>
      <c r="F284" s="1" t="s">
        <v>1480</v>
      </c>
      <c r="G284" s="1" t="s">
        <v>1578</v>
      </c>
      <c r="H284" s="1" t="s">
        <v>127</v>
      </c>
      <c r="I284" s="1" t="s">
        <v>131</v>
      </c>
      <c r="J284" s="1"/>
      <c r="K284" s="9">
        <v>19687.86</v>
      </c>
      <c r="L284" s="1" t="s">
        <v>146</v>
      </c>
      <c r="M284" s="1" t="s">
        <v>15</v>
      </c>
      <c r="N284" s="1" t="s">
        <v>2830</v>
      </c>
      <c r="O284" s="1" t="s">
        <v>1986</v>
      </c>
      <c r="P284" s="1">
        <v>0</v>
      </c>
      <c r="Q284" s="1" t="s">
        <v>1480</v>
      </c>
      <c r="R284" t="s">
        <v>2825</v>
      </c>
      <c r="S284" t="s">
        <v>3275</v>
      </c>
      <c r="T284" t="s">
        <v>3276</v>
      </c>
      <c r="U284" t="s">
        <v>17</v>
      </c>
    </row>
    <row r="285" spans="1:21">
      <c r="A285" s="1" t="s">
        <v>1913</v>
      </c>
      <c r="B285" s="1" t="s">
        <v>1914</v>
      </c>
      <c r="C285" s="1" t="s">
        <v>40</v>
      </c>
      <c r="D285" s="1" t="s">
        <v>124</v>
      </c>
      <c r="E285" s="1" t="s">
        <v>103</v>
      </c>
      <c r="F285" s="1" t="s">
        <v>1644</v>
      </c>
      <c r="G285" s="1" t="s">
        <v>1915</v>
      </c>
      <c r="H285" s="1" t="s">
        <v>127</v>
      </c>
      <c r="I285" s="1" t="s">
        <v>131</v>
      </c>
      <c r="J285" s="1"/>
      <c r="K285" s="9">
        <v>11519.5</v>
      </c>
      <c r="L285" s="1" t="s">
        <v>146</v>
      </c>
      <c r="M285" s="1" t="s">
        <v>15</v>
      </c>
      <c r="N285" s="1" t="s">
        <v>2876</v>
      </c>
      <c r="O285" s="1" t="s">
        <v>901</v>
      </c>
      <c r="P285" s="1">
        <v>0</v>
      </c>
      <c r="Q285" s="1" t="s">
        <v>1644</v>
      </c>
      <c r="R285" t="s">
        <v>2825</v>
      </c>
      <c r="S285" t="s">
        <v>3277</v>
      </c>
      <c r="T285" t="s">
        <v>3278</v>
      </c>
      <c r="U285" t="s">
        <v>17</v>
      </c>
    </row>
    <row r="286" spans="1:21">
      <c r="A286" s="1" t="s">
        <v>1794</v>
      </c>
      <c r="B286" s="1" t="s">
        <v>1795</v>
      </c>
      <c r="C286" s="1" t="s">
        <v>36</v>
      </c>
      <c r="D286" s="1" t="s">
        <v>124</v>
      </c>
      <c r="E286" s="1" t="s">
        <v>103</v>
      </c>
      <c r="F286" s="1" t="s">
        <v>333</v>
      </c>
      <c r="G286" s="1" t="s">
        <v>1796</v>
      </c>
      <c r="H286" s="1" t="s">
        <v>127</v>
      </c>
      <c r="I286" s="1" t="s">
        <v>131</v>
      </c>
      <c r="J286" s="1"/>
      <c r="K286" s="9">
        <v>194700</v>
      </c>
      <c r="L286" s="1" t="s">
        <v>243</v>
      </c>
      <c r="M286" s="1" t="s">
        <v>15</v>
      </c>
      <c r="N286" s="1" t="s">
        <v>2833</v>
      </c>
      <c r="O286" s="1" t="s">
        <v>964</v>
      </c>
      <c r="P286" s="1">
        <v>0</v>
      </c>
      <c r="Q286" s="1" t="s">
        <v>333</v>
      </c>
      <c r="R286" t="s">
        <v>2815</v>
      </c>
      <c r="S286" t="s">
        <v>3279</v>
      </c>
      <c r="T286" t="s">
        <v>3280</v>
      </c>
      <c r="U286" t="s">
        <v>17</v>
      </c>
    </row>
    <row r="287" spans="1:21">
      <c r="A287" s="1" t="s">
        <v>2316</v>
      </c>
      <c r="B287" s="1" t="s">
        <v>2317</v>
      </c>
      <c r="C287" s="1" t="s">
        <v>40</v>
      </c>
      <c r="D287" s="1" t="s">
        <v>124</v>
      </c>
      <c r="E287" s="1" t="s">
        <v>103</v>
      </c>
      <c r="F287" s="1" t="s">
        <v>2318</v>
      </c>
      <c r="G287" s="1" t="s">
        <v>2319</v>
      </c>
      <c r="H287" s="1" t="s">
        <v>127</v>
      </c>
      <c r="I287" s="1" t="s">
        <v>131</v>
      </c>
      <c r="J287" s="1"/>
      <c r="K287" s="9">
        <v>16755.62</v>
      </c>
      <c r="L287" s="1" t="s">
        <v>146</v>
      </c>
      <c r="M287" s="1" t="s">
        <v>15</v>
      </c>
      <c r="N287" s="1" t="s">
        <v>2835</v>
      </c>
      <c r="O287" s="1" t="s">
        <v>204</v>
      </c>
      <c r="P287" s="1">
        <v>0</v>
      </c>
      <c r="Q287" s="1" t="s">
        <v>2318</v>
      </c>
      <c r="R287" t="s">
        <v>2825</v>
      </c>
      <c r="S287" t="s">
        <v>3281</v>
      </c>
      <c r="T287" t="s">
        <v>3282</v>
      </c>
      <c r="U287" t="s">
        <v>17</v>
      </c>
    </row>
    <row r="288" spans="1:21">
      <c r="A288" s="1" t="s">
        <v>2703</v>
      </c>
      <c r="B288" s="1" t="s">
        <v>2704</v>
      </c>
      <c r="C288" s="1" t="s">
        <v>42</v>
      </c>
      <c r="D288" s="1" t="s">
        <v>42</v>
      </c>
      <c r="E288" s="1" t="s">
        <v>103</v>
      </c>
      <c r="F288" s="1" t="s">
        <v>1616</v>
      </c>
      <c r="G288" s="1"/>
      <c r="H288" s="1" t="s">
        <v>2379</v>
      </c>
      <c r="I288" s="1" t="s">
        <v>2380</v>
      </c>
      <c r="J288" s="1"/>
      <c r="K288" s="9">
        <v>-14661.16</v>
      </c>
      <c r="L288" s="1" t="s">
        <v>2535</v>
      </c>
      <c r="M288" s="1" t="s">
        <v>15</v>
      </c>
      <c r="N288" s="1" t="s">
        <v>3177</v>
      </c>
      <c r="O288" s="1" t="s">
        <v>1616</v>
      </c>
      <c r="P288" s="1">
        <v>0</v>
      </c>
      <c r="Q288" s="1" t="s">
        <v>1616</v>
      </c>
      <c r="R288" t="s">
        <v>2823</v>
      </c>
      <c r="S288" t="s">
        <v>3177</v>
      </c>
      <c r="T288" t="s">
        <v>17</v>
      </c>
      <c r="U288" t="s">
        <v>17</v>
      </c>
    </row>
    <row r="289" spans="1:21">
      <c r="A289" s="1" t="s">
        <v>2705</v>
      </c>
      <c r="B289" s="1" t="s">
        <v>2572</v>
      </c>
      <c r="C289" s="1" t="s">
        <v>42</v>
      </c>
      <c r="D289" s="1" t="s">
        <v>42</v>
      </c>
      <c r="E289" s="1" t="s">
        <v>103</v>
      </c>
      <c r="F289" s="1" t="s">
        <v>1901</v>
      </c>
      <c r="G289" s="1"/>
      <c r="H289" s="1" t="s">
        <v>2379</v>
      </c>
      <c r="I289" s="1" t="s">
        <v>2380</v>
      </c>
      <c r="J289" s="1"/>
      <c r="K289" s="9">
        <v>-18431.189999999999</v>
      </c>
      <c r="L289" s="1" t="s">
        <v>2535</v>
      </c>
      <c r="M289" s="1" t="s">
        <v>15</v>
      </c>
      <c r="N289" s="1" t="s">
        <v>3069</v>
      </c>
      <c r="O289" s="1" t="s">
        <v>1901</v>
      </c>
      <c r="P289" s="1">
        <v>0</v>
      </c>
      <c r="Q289" s="1" t="s">
        <v>1901</v>
      </c>
      <c r="R289" t="s">
        <v>2825</v>
      </c>
      <c r="S289" t="s">
        <v>3069</v>
      </c>
      <c r="T289" t="s">
        <v>17</v>
      </c>
      <c r="U289" t="s">
        <v>17</v>
      </c>
    </row>
    <row r="290" spans="1:21">
      <c r="A290" s="1" t="s">
        <v>839</v>
      </c>
      <c r="B290" s="1" t="s">
        <v>840</v>
      </c>
      <c r="C290" s="1" t="s">
        <v>40</v>
      </c>
      <c r="D290" s="1" t="s">
        <v>124</v>
      </c>
      <c r="E290" s="1" t="s">
        <v>103</v>
      </c>
      <c r="F290" s="1" t="s">
        <v>435</v>
      </c>
      <c r="G290" s="1" t="s">
        <v>841</v>
      </c>
      <c r="H290" s="1" t="s">
        <v>127</v>
      </c>
      <c r="I290" s="1" t="s">
        <v>131</v>
      </c>
      <c r="J290" s="1"/>
      <c r="K290" s="9">
        <v>16965.080000000002</v>
      </c>
      <c r="L290" s="1" t="s">
        <v>146</v>
      </c>
      <c r="M290" s="1" t="s">
        <v>15</v>
      </c>
      <c r="N290" s="1" t="s">
        <v>3283</v>
      </c>
      <c r="O290" s="1" t="s">
        <v>1624</v>
      </c>
      <c r="P290" s="1">
        <v>0</v>
      </c>
      <c r="Q290" s="1" t="s">
        <v>435</v>
      </c>
      <c r="R290" t="s">
        <v>2825</v>
      </c>
      <c r="S290" t="s">
        <v>3284</v>
      </c>
      <c r="T290" t="s">
        <v>3285</v>
      </c>
      <c r="U290" t="s">
        <v>17</v>
      </c>
    </row>
    <row r="291" spans="1:21">
      <c r="A291" s="1" t="s">
        <v>441</v>
      </c>
      <c r="B291" s="1" t="s">
        <v>442</v>
      </c>
      <c r="C291" s="1" t="s">
        <v>101</v>
      </c>
      <c r="D291" s="1" t="s">
        <v>124</v>
      </c>
      <c r="E291" s="1" t="s">
        <v>103</v>
      </c>
      <c r="F291" s="1" t="s">
        <v>445</v>
      </c>
      <c r="G291" s="1" t="s">
        <v>444</v>
      </c>
      <c r="H291" s="1" t="s">
        <v>127</v>
      </c>
      <c r="I291" s="1" t="s">
        <v>131</v>
      </c>
      <c r="J291" s="1"/>
      <c r="K291" s="9">
        <v>14870.62</v>
      </c>
      <c r="L291" s="1" t="s">
        <v>132</v>
      </c>
      <c r="M291" s="1" t="s">
        <v>15</v>
      </c>
      <c r="N291" s="1" t="s">
        <v>3262</v>
      </c>
      <c r="O291" s="1" t="s">
        <v>251</v>
      </c>
      <c r="P291" s="1">
        <v>0</v>
      </c>
      <c r="Q291" s="1" t="s">
        <v>445</v>
      </c>
      <c r="R291" t="s">
        <v>2825</v>
      </c>
      <c r="S291" t="s">
        <v>3286</v>
      </c>
      <c r="T291" t="s">
        <v>3287</v>
      </c>
      <c r="U291" t="s">
        <v>17</v>
      </c>
    </row>
    <row r="292" spans="1:21">
      <c r="A292" s="1" t="s">
        <v>2706</v>
      </c>
      <c r="B292" s="1" t="s">
        <v>2707</v>
      </c>
      <c r="C292" s="1" t="s">
        <v>42</v>
      </c>
      <c r="D292" s="1" t="s">
        <v>42</v>
      </c>
      <c r="E292" s="1" t="s">
        <v>103</v>
      </c>
      <c r="F292" s="1" t="s">
        <v>1819</v>
      </c>
      <c r="G292" s="1"/>
      <c r="H292" s="1" t="s">
        <v>2379</v>
      </c>
      <c r="I292" s="1" t="s">
        <v>2380</v>
      </c>
      <c r="J292" s="1"/>
      <c r="K292" s="9">
        <v>-33930.129999999997</v>
      </c>
      <c r="L292" s="1" t="s">
        <v>2535</v>
      </c>
      <c r="M292" s="1" t="s">
        <v>15</v>
      </c>
      <c r="N292" s="1" t="s">
        <v>3170</v>
      </c>
      <c r="O292" s="1" t="s">
        <v>1819</v>
      </c>
      <c r="P292" s="1">
        <v>0</v>
      </c>
      <c r="Q292" s="1" t="s">
        <v>1819</v>
      </c>
      <c r="R292" t="s">
        <v>2825</v>
      </c>
      <c r="S292" t="s">
        <v>3170</v>
      </c>
      <c r="T292" t="s">
        <v>17</v>
      </c>
      <c r="U292" t="s">
        <v>17</v>
      </c>
    </row>
    <row r="293" spans="1:21">
      <c r="A293" s="1" t="s">
        <v>1992</v>
      </c>
      <c r="B293" s="1" t="s">
        <v>1993</v>
      </c>
      <c r="C293" s="1" t="s">
        <v>101</v>
      </c>
      <c r="D293" s="1" t="s">
        <v>124</v>
      </c>
      <c r="E293" s="1" t="s">
        <v>103</v>
      </c>
      <c r="F293" s="1" t="s">
        <v>1350</v>
      </c>
      <c r="G293" s="1" t="s">
        <v>1994</v>
      </c>
      <c r="H293" s="1" t="s">
        <v>127</v>
      </c>
      <c r="I293" s="1" t="s">
        <v>131</v>
      </c>
      <c r="J293" s="1"/>
      <c r="K293" s="9">
        <v>16336.73</v>
      </c>
      <c r="L293" s="1" t="s">
        <v>132</v>
      </c>
      <c r="M293" s="1" t="s">
        <v>15</v>
      </c>
      <c r="N293" s="1" t="s">
        <v>3211</v>
      </c>
      <c r="O293" s="1" t="s">
        <v>2673</v>
      </c>
      <c r="P293" s="1">
        <v>0</v>
      </c>
      <c r="Q293" s="1" t="s">
        <v>1350</v>
      </c>
      <c r="R293" t="s">
        <v>2825</v>
      </c>
      <c r="S293" t="s">
        <v>3288</v>
      </c>
      <c r="T293" t="s">
        <v>3289</v>
      </c>
      <c r="U293" t="s">
        <v>17</v>
      </c>
    </row>
    <row r="294" spans="1:21">
      <c r="A294" s="1" t="s">
        <v>2708</v>
      </c>
      <c r="B294" s="1" t="s">
        <v>2690</v>
      </c>
      <c r="C294" s="1" t="s">
        <v>42</v>
      </c>
      <c r="D294" s="1" t="s">
        <v>42</v>
      </c>
      <c r="E294" s="1" t="s">
        <v>103</v>
      </c>
      <c r="F294" s="1" t="s">
        <v>829</v>
      </c>
      <c r="G294" s="1"/>
      <c r="H294" s="1" t="s">
        <v>2379</v>
      </c>
      <c r="I294" s="1" t="s">
        <v>2380</v>
      </c>
      <c r="J294" s="1"/>
      <c r="K294" s="9">
        <v>18640.62</v>
      </c>
      <c r="L294" s="1" t="s">
        <v>2535</v>
      </c>
      <c r="M294" s="1" t="s">
        <v>15</v>
      </c>
      <c r="N294" s="1" t="s">
        <v>3099</v>
      </c>
      <c r="O294" s="1" t="s">
        <v>829</v>
      </c>
      <c r="P294" s="1">
        <v>0</v>
      </c>
      <c r="Q294" s="1" t="s">
        <v>829</v>
      </c>
      <c r="R294" t="s">
        <v>2825</v>
      </c>
      <c r="S294" t="s">
        <v>3099</v>
      </c>
      <c r="T294" t="s">
        <v>17</v>
      </c>
      <c r="U294" t="s">
        <v>17</v>
      </c>
    </row>
    <row r="295" spans="1:21">
      <c r="A295" s="1" t="s">
        <v>2091</v>
      </c>
      <c r="B295" s="1" t="s">
        <v>2092</v>
      </c>
      <c r="C295" s="1" t="s">
        <v>40</v>
      </c>
      <c r="D295" s="1" t="s">
        <v>124</v>
      </c>
      <c r="E295" s="1" t="s">
        <v>103</v>
      </c>
      <c r="F295" s="1" t="s">
        <v>604</v>
      </c>
      <c r="G295" s="1" t="s">
        <v>2093</v>
      </c>
      <c r="H295" s="1" t="s">
        <v>127</v>
      </c>
      <c r="I295" s="1" t="s">
        <v>131</v>
      </c>
      <c r="J295" s="1"/>
      <c r="K295" s="9">
        <v>9634.48</v>
      </c>
      <c r="L295" s="1" t="s">
        <v>146</v>
      </c>
      <c r="M295" s="1" t="s">
        <v>15</v>
      </c>
      <c r="N295" s="1" t="s">
        <v>2865</v>
      </c>
      <c r="O295" s="1" t="s">
        <v>1052</v>
      </c>
      <c r="P295" s="1">
        <v>0</v>
      </c>
      <c r="Q295" s="1" t="s">
        <v>604</v>
      </c>
      <c r="R295" t="s">
        <v>2825</v>
      </c>
      <c r="S295" t="s">
        <v>3290</v>
      </c>
      <c r="T295" t="s">
        <v>3291</v>
      </c>
      <c r="U295" t="s">
        <v>17</v>
      </c>
    </row>
    <row r="296" spans="1:21">
      <c r="A296" s="1" t="s">
        <v>2515</v>
      </c>
      <c r="B296" s="1" t="s">
        <v>17</v>
      </c>
      <c r="C296" s="1" t="s">
        <v>27</v>
      </c>
      <c r="D296" s="1" t="s">
        <v>2391</v>
      </c>
      <c r="E296" s="1" t="s">
        <v>103</v>
      </c>
      <c r="F296" s="1" t="s">
        <v>2482</v>
      </c>
      <c r="G296" s="1"/>
      <c r="H296" s="1" t="s">
        <v>127</v>
      </c>
      <c r="I296" s="1" t="s">
        <v>131</v>
      </c>
      <c r="J296" s="1"/>
      <c r="K296" s="9">
        <v>139909.44</v>
      </c>
      <c r="L296" s="1" t="s">
        <v>2503</v>
      </c>
      <c r="M296" s="1" t="s">
        <v>15</v>
      </c>
      <c r="N296" s="1" t="s">
        <v>2822</v>
      </c>
      <c r="O296" s="1" t="s">
        <v>1117</v>
      </c>
      <c r="P296" s="1">
        <v>0</v>
      </c>
      <c r="Q296" s="1" t="s">
        <v>17</v>
      </c>
      <c r="R296" t="s">
        <v>2823</v>
      </c>
      <c r="S296" t="s">
        <v>17</v>
      </c>
      <c r="T296" t="s">
        <v>17</v>
      </c>
      <c r="U296" t="s">
        <v>17</v>
      </c>
    </row>
    <row r="297" spans="1:21">
      <c r="A297" s="1" t="s">
        <v>2709</v>
      </c>
      <c r="B297" s="1" t="s">
        <v>2641</v>
      </c>
      <c r="C297" s="1" t="s">
        <v>42</v>
      </c>
      <c r="D297" s="1" t="s">
        <v>42</v>
      </c>
      <c r="E297" s="1" t="s">
        <v>103</v>
      </c>
      <c r="F297" s="1" t="s">
        <v>2335</v>
      </c>
      <c r="G297" s="1"/>
      <c r="H297" s="1" t="s">
        <v>2379</v>
      </c>
      <c r="I297" s="1" t="s">
        <v>2380</v>
      </c>
      <c r="J297" s="1"/>
      <c r="K297" s="9">
        <v>18012.3</v>
      </c>
      <c r="L297" s="1" t="s">
        <v>2535</v>
      </c>
      <c r="M297" s="1" t="s">
        <v>15</v>
      </c>
      <c r="N297" s="1" t="s">
        <v>3129</v>
      </c>
      <c r="O297" s="1" t="s">
        <v>2335</v>
      </c>
      <c r="P297" s="1">
        <v>0</v>
      </c>
      <c r="Q297" s="1" t="s">
        <v>2335</v>
      </c>
      <c r="R297" t="s">
        <v>2825</v>
      </c>
      <c r="S297" t="s">
        <v>3129</v>
      </c>
      <c r="T297" t="s">
        <v>17</v>
      </c>
      <c r="U297" t="s">
        <v>17</v>
      </c>
    </row>
    <row r="298" spans="1:21">
      <c r="A298" s="1" t="s">
        <v>2295</v>
      </c>
      <c r="B298" s="1" t="s">
        <v>2296</v>
      </c>
      <c r="C298" s="1" t="s">
        <v>101</v>
      </c>
      <c r="D298" s="1" t="s">
        <v>124</v>
      </c>
      <c r="E298" s="1" t="s">
        <v>103</v>
      </c>
      <c r="F298" s="1" t="s">
        <v>2290</v>
      </c>
      <c r="G298" s="1" t="s">
        <v>2297</v>
      </c>
      <c r="H298" s="1" t="s">
        <v>127</v>
      </c>
      <c r="I298" s="1" t="s">
        <v>131</v>
      </c>
      <c r="J298" s="1"/>
      <c r="K298" s="9">
        <v>17383.97</v>
      </c>
      <c r="L298" s="1" t="s">
        <v>132</v>
      </c>
      <c r="M298" s="1" t="s">
        <v>15</v>
      </c>
      <c r="N298" s="1" t="s">
        <v>3126</v>
      </c>
      <c r="O298" s="1" t="s">
        <v>564</v>
      </c>
      <c r="P298" s="1">
        <v>0</v>
      </c>
      <c r="Q298" s="1" t="s">
        <v>2290</v>
      </c>
      <c r="R298" t="s">
        <v>2825</v>
      </c>
      <c r="S298" t="s">
        <v>3292</v>
      </c>
      <c r="T298" t="s">
        <v>3293</v>
      </c>
      <c r="U298" t="s">
        <v>17</v>
      </c>
    </row>
    <row r="299" spans="1:21">
      <c r="A299" s="1" t="s">
        <v>524</v>
      </c>
      <c r="B299" s="1" t="s">
        <v>525</v>
      </c>
      <c r="C299" s="1" t="s">
        <v>40</v>
      </c>
      <c r="D299" s="1" t="s">
        <v>124</v>
      </c>
      <c r="E299" s="1" t="s">
        <v>103</v>
      </c>
      <c r="F299" s="1" t="s">
        <v>528</v>
      </c>
      <c r="G299" s="1" t="s">
        <v>527</v>
      </c>
      <c r="H299" s="1" t="s">
        <v>127</v>
      </c>
      <c r="I299" s="1" t="s">
        <v>131</v>
      </c>
      <c r="J299" s="1"/>
      <c r="K299" s="9">
        <v>16965.080000000002</v>
      </c>
      <c r="L299" s="1" t="s">
        <v>146</v>
      </c>
      <c r="M299" s="1" t="s">
        <v>15</v>
      </c>
      <c r="N299" s="1" t="s">
        <v>2884</v>
      </c>
      <c r="O299" s="1" t="s">
        <v>921</v>
      </c>
      <c r="P299" s="1">
        <v>0</v>
      </c>
      <c r="Q299" s="1" t="s">
        <v>528</v>
      </c>
      <c r="R299" t="s">
        <v>2825</v>
      </c>
      <c r="S299" t="s">
        <v>3294</v>
      </c>
      <c r="T299" t="s">
        <v>3295</v>
      </c>
      <c r="U299" t="s">
        <v>17</v>
      </c>
    </row>
    <row r="300" spans="1:21">
      <c r="A300" s="1" t="s">
        <v>1496</v>
      </c>
      <c r="B300" s="1" t="s">
        <v>1497</v>
      </c>
      <c r="C300" s="1" t="s">
        <v>36</v>
      </c>
      <c r="D300" s="1" t="s">
        <v>124</v>
      </c>
      <c r="E300" s="1" t="s">
        <v>103</v>
      </c>
      <c r="F300" s="1" t="s">
        <v>484</v>
      </c>
      <c r="G300" s="1" t="s">
        <v>1498</v>
      </c>
      <c r="H300" s="1" t="s">
        <v>127</v>
      </c>
      <c r="I300" s="1" t="s">
        <v>131</v>
      </c>
      <c r="J300" s="1"/>
      <c r="K300" s="9">
        <v>8260</v>
      </c>
      <c r="L300" s="1" t="s">
        <v>243</v>
      </c>
      <c r="M300" s="1" t="s">
        <v>15</v>
      </c>
      <c r="N300" s="1" t="s">
        <v>2828</v>
      </c>
      <c r="O300" s="1" t="s">
        <v>625</v>
      </c>
      <c r="P300" s="1">
        <v>0</v>
      </c>
      <c r="Q300" s="1" t="s">
        <v>484</v>
      </c>
      <c r="R300" t="s">
        <v>2825</v>
      </c>
      <c r="S300" t="s">
        <v>3296</v>
      </c>
      <c r="T300" t="s">
        <v>3297</v>
      </c>
      <c r="U300" t="s">
        <v>17</v>
      </c>
    </row>
    <row r="301" spans="1:21">
      <c r="A301" s="1" t="s">
        <v>1190</v>
      </c>
      <c r="B301" s="1" t="s">
        <v>1191</v>
      </c>
      <c r="C301" s="1" t="s">
        <v>101</v>
      </c>
      <c r="D301" s="1" t="s">
        <v>352</v>
      </c>
      <c r="E301" s="1" t="s">
        <v>103</v>
      </c>
      <c r="F301" s="1" t="s">
        <v>190</v>
      </c>
      <c r="G301" s="1"/>
      <c r="H301" s="1" t="s">
        <v>106</v>
      </c>
      <c r="I301" s="1" t="s">
        <v>108</v>
      </c>
      <c r="J301" s="1" t="s">
        <v>109</v>
      </c>
      <c r="K301" s="9">
        <v>-14032</v>
      </c>
      <c r="L301" s="1" t="s">
        <v>356</v>
      </c>
      <c r="M301" s="1" t="s">
        <v>15</v>
      </c>
      <c r="N301" s="1" t="s">
        <v>3184</v>
      </c>
      <c r="O301" s="1" t="s">
        <v>290</v>
      </c>
      <c r="P301" s="1">
        <v>0</v>
      </c>
      <c r="Q301" s="1" t="s">
        <v>190</v>
      </c>
      <c r="R301" t="s">
        <v>2823</v>
      </c>
      <c r="S301" t="s">
        <v>3298</v>
      </c>
      <c r="T301" t="s">
        <v>17</v>
      </c>
      <c r="U301" t="s">
        <v>3299</v>
      </c>
    </row>
    <row r="302" spans="1:21">
      <c r="A302" s="1" t="s">
        <v>2710</v>
      </c>
      <c r="B302" s="1" t="s">
        <v>2711</v>
      </c>
      <c r="C302" s="1" t="s">
        <v>42</v>
      </c>
      <c r="D302" s="1" t="s">
        <v>42</v>
      </c>
      <c r="E302" s="1" t="s">
        <v>103</v>
      </c>
      <c r="F302" s="1" t="s">
        <v>2251</v>
      </c>
      <c r="G302" s="1"/>
      <c r="H302" s="1" t="s">
        <v>2379</v>
      </c>
      <c r="I302" s="1" t="s">
        <v>2380</v>
      </c>
      <c r="J302" s="1"/>
      <c r="K302" s="9">
        <v>-45659.07</v>
      </c>
      <c r="L302" s="1" t="s">
        <v>2535</v>
      </c>
      <c r="M302" s="1" t="s">
        <v>15</v>
      </c>
      <c r="N302" s="1" t="s">
        <v>2848</v>
      </c>
      <c r="O302" s="1" t="s">
        <v>2251</v>
      </c>
      <c r="P302" s="1">
        <v>0</v>
      </c>
      <c r="Q302" s="1" t="s">
        <v>2251</v>
      </c>
      <c r="R302" t="s">
        <v>2825</v>
      </c>
      <c r="S302" t="s">
        <v>2848</v>
      </c>
      <c r="T302" t="s">
        <v>17</v>
      </c>
      <c r="U302" t="s">
        <v>17</v>
      </c>
    </row>
    <row r="303" spans="1:21">
      <c r="A303" s="1" t="s">
        <v>433</v>
      </c>
      <c r="B303" s="1" t="s">
        <v>434</v>
      </c>
      <c r="C303" s="1" t="s">
        <v>101</v>
      </c>
      <c r="D303" s="1" t="s">
        <v>102</v>
      </c>
      <c r="E303" s="1" t="s">
        <v>103</v>
      </c>
      <c r="F303" s="1" t="s">
        <v>435</v>
      </c>
      <c r="G303" s="1"/>
      <c r="H303" s="1" t="s">
        <v>106</v>
      </c>
      <c r="I303" s="1" t="s">
        <v>108</v>
      </c>
      <c r="J303" s="1" t="s">
        <v>109</v>
      </c>
      <c r="K303" s="9">
        <v>-31206</v>
      </c>
      <c r="L303" s="1" t="s">
        <v>110</v>
      </c>
      <c r="M303" s="1" t="s">
        <v>15</v>
      </c>
      <c r="N303" s="1" t="s">
        <v>2965</v>
      </c>
      <c r="O303" s="1" t="s">
        <v>265</v>
      </c>
      <c r="P303" s="1">
        <v>0</v>
      </c>
      <c r="Q303" s="1" t="s">
        <v>435</v>
      </c>
      <c r="R303" t="s">
        <v>2823</v>
      </c>
      <c r="S303" t="s">
        <v>3300</v>
      </c>
      <c r="T303" t="s">
        <v>17</v>
      </c>
      <c r="U303" t="s">
        <v>3301</v>
      </c>
    </row>
    <row r="304" spans="1:21">
      <c r="A304" s="1" t="s">
        <v>2712</v>
      </c>
      <c r="B304" s="1" t="s">
        <v>2713</v>
      </c>
      <c r="C304" s="1" t="s">
        <v>42</v>
      </c>
      <c r="D304" s="1" t="s">
        <v>42</v>
      </c>
      <c r="E304" s="1" t="s">
        <v>103</v>
      </c>
      <c r="F304" s="1" t="s">
        <v>197</v>
      </c>
      <c r="G304" s="1"/>
      <c r="H304" s="1" t="s">
        <v>2379</v>
      </c>
      <c r="I304" s="1" t="s">
        <v>2380</v>
      </c>
      <c r="J304" s="1"/>
      <c r="K304" s="9">
        <v>15080</v>
      </c>
      <c r="L304" s="1" t="s">
        <v>2535</v>
      </c>
      <c r="M304" s="1" t="s">
        <v>15</v>
      </c>
      <c r="N304" s="1" t="s">
        <v>3025</v>
      </c>
      <c r="O304" s="1" t="s">
        <v>197</v>
      </c>
      <c r="P304" s="1">
        <v>0</v>
      </c>
      <c r="Q304" s="1" t="s">
        <v>197</v>
      </c>
      <c r="R304" t="s">
        <v>2825</v>
      </c>
      <c r="S304" t="s">
        <v>3025</v>
      </c>
      <c r="T304" t="s">
        <v>17</v>
      </c>
      <c r="U304" t="s">
        <v>17</v>
      </c>
    </row>
    <row r="305" spans="1:21">
      <c r="A305" s="1" t="s">
        <v>2714</v>
      </c>
      <c r="B305" s="1" t="s">
        <v>2715</v>
      </c>
      <c r="C305" s="1" t="s">
        <v>42</v>
      </c>
      <c r="D305" s="1" t="s">
        <v>42</v>
      </c>
      <c r="E305" s="1" t="s">
        <v>103</v>
      </c>
      <c r="F305" s="1" t="s">
        <v>212</v>
      </c>
      <c r="G305" s="1"/>
      <c r="H305" s="1" t="s">
        <v>2379</v>
      </c>
      <c r="I305" s="1" t="s">
        <v>2380</v>
      </c>
      <c r="J305" s="1"/>
      <c r="K305" s="9">
        <v>-15708.4</v>
      </c>
      <c r="L305" s="1" t="s">
        <v>2535</v>
      </c>
      <c r="M305" s="1" t="s">
        <v>15</v>
      </c>
      <c r="N305" s="1" t="s">
        <v>2895</v>
      </c>
      <c r="O305" s="1" t="s">
        <v>212</v>
      </c>
      <c r="P305" s="1">
        <v>0</v>
      </c>
      <c r="Q305" s="1" t="s">
        <v>212</v>
      </c>
      <c r="R305" t="s">
        <v>2825</v>
      </c>
      <c r="S305" t="s">
        <v>2895</v>
      </c>
      <c r="T305" t="s">
        <v>17</v>
      </c>
      <c r="U305" t="s">
        <v>17</v>
      </c>
    </row>
    <row r="306" spans="1:21">
      <c r="A306" s="1" t="s">
        <v>2716</v>
      </c>
      <c r="B306" s="1" t="s">
        <v>2717</v>
      </c>
      <c r="C306" s="1" t="s">
        <v>42</v>
      </c>
      <c r="D306" s="1" t="s">
        <v>42</v>
      </c>
      <c r="E306" s="1" t="s">
        <v>103</v>
      </c>
      <c r="F306" s="1" t="s">
        <v>469</v>
      </c>
      <c r="G306" s="1"/>
      <c r="H306" s="1" t="s">
        <v>2379</v>
      </c>
      <c r="I306" s="1" t="s">
        <v>2380</v>
      </c>
      <c r="J306" s="1"/>
      <c r="K306" s="9">
        <v>-15498.94</v>
      </c>
      <c r="L306" s="1" t="s">
        <v>2535</v>
      </c>
      <c r="M306" s="1" t="s">
        <v>15</v>
      </c>
      <c r="N306" s="1" t="s">
        <v>3031</v>
      </c>
      <c r="O306" s="1" t="s">
        <v>469</v>
      </c>
      <c r="P306" s="1">
        <v>0</v>
      </c>
      <c r="Q306" s="1" t="s">
        <v>469</v>
      </c>
      <c r="R306" t="s">
        <v>2825</v>
      </c>
      <c r="S306" t="s">
        <v>3031</v>
      </c>
      <c r="T306" t="s">
        <v>17</v>
      </c>
      <c r="U306" t="s">
        <v>17</v>
      </c>
    </row>
    <row r="307" spans="1:21">
      <c r="A307" s="1" t="s">
        <v>2530</v>
      </c>
      <c r="B307" s="1" t="s">
        <v>17</v>
      </c>
      <c r="C307" s="1" t="s">
        <v>45</v>
      </c>
      <c r="D307" s="1" t="s">
        <v>2477</v>
      </c>
      <c r="E307" s="1" t="s">
        <v>103</v>
      </c>
      <c r="F307" s="1" t="s">
        <v>2482</v>
      </c>
      <c r="G307" s="1"/>
      <c r="H307" s="1" t="s">
        <v>2490</v>
      </c>
      <c r="I307" s="1" t="s">
        <v>2531</v>
      </c>
      <c r="J307" s="1"/>
      <c r="K307" s="9">
        <v>0</v>
      </c>
      <c r="L307" s="1" t="s">
        <v>17</v>
      </c>
      <c r="M307" s="1" t="s">
        <v>15</v>
      </c>
      <c r="N307" s="1"/>
      <c r="O307" s="1" t="s">
        <v>17</v>
      </c>
      <c r="P307" s="1">
        <v>0</v>
      </c>
      <c r="Q307" s="1" t="s">
        <v>17</v>
      </c>
      <c r="R307" t="s">
        <v>17</v>
      </c>
      <c r="S307" t="s">
        <v>17</v>
      </c>
      <c r="T307" t="s">
        <v>17</v>
      </c>
      <c r="U307" t="s">
        <v>17</v>
      </c>
    </row>
    <row r="308" spans="1:21">
      <c r="A308" s="1" t="s">
        <v>2718</v>
      </c>
      <c r="B308" s="1" t="s">
        <v>2719</v>
      </c>
      <c r="C308" s="1" t="s">
        <v>42</v>
      </c>
      <c r="D308" s="1" t="s">
        <v>42</v>
      </c>
      <c r="E308" s="1" t="s">
        <v>103</v>
      </c>
      <c r="F308" s="1" t="s">
        <v>320</v>
      </c>
      <c r="G308" s="1"/>
      <c r="H308" s="1" t="s">
        <v>2379</v>
      </c>
      <c r="I308" s="1" t="s">
        <v>2380</v>
      </c>
      <c r="J308" s="1"/>
      <c r="K308" s="9">
        <v>-14032.83</v>
      </c>
      <c r="L308" s="1" t="s">
        <v>2535</v>
      </c>
      <c r="M308" s="1" t="s">
        <v>15</v>
      </c>
      <c r="N308" s="1" t="s">
        <v>3084</v>
      </c>
      <c r="O308" s="1" t="s">
        <v>320</v>
      </c>
      <c r="P308" s="1">
        <v>0</v>
      </c>
      <c r="Q308" s="1" t="s">
        <v>320</v>
      </c>
      <c r="R308" t="s">
        <v>2825</v>
      </c>
      <c r="S308" t="s">
        <v>3084</v>
      </c>
      <c r="T308" t="s">
        <v>17</v>
      </c>
      <c r="U308" t="s">
        <v>17</v>
      </c>
    </row>
    <row r="309" spans="1:21">
      <c r="A309" s="1" t="s">
        <v>2720</v>
      </c>
      <c r="B309" s="1" t="s">
        <v>2591</v>
      </c>
      <c r="C309" s="1" t="s">
        <v>42</v>
      </c>
      <c r="D309" s="1" t="s">
        <v>42</v>
      </c>
      <c r="E309" s="1" t="s">
        <v>103</v>
      </c>
      <c r="F309" s="1" t="s">
        <v>1464</v>
      </c>
      <c r="G309" s="1"/>
      <c r="H309" s="1" t="s">
        <v>2379</v>
      </c>
      <c r="I309" s="1" t="s">
        <v>2380</v>
      </c>
      <c r="J309" s="1"/>
      <c r="K309" s="9">
        <v>-40841.839999999997</v>
      </c>
      <c r="L309" s="1" t="s">
        <v>2535</v>
      </c>
      <c r="M309" s="1" t="s">
        <v>15</v>
      </c>
      <c r="N309" s="1" t="s">
        <v>2851</v>
      </c>
      <c r="O309" s="1" t="s">
        <v>1464</v>
      </c>
      <c r="P309" s="1">
        <v>0</v>
      </c>
      <c r="Q309" s="1" t="s">
        <v>1464</v>
      </c>
      <c r="R309" t="s">
        <v>2823</v>
      </c>
      <c r="S309" t="s">
        <v>2851</v>
      </c>
      <c r="T309" t="s">
        <v>17</v>
      </c>
      <c r="U309" t="s">
        <v>17</v>
      </c>
    </row>
    <row r="310" spans="1:21">
      <c r="A310" s="1" t="s">
        <v>2721</v>
      </c>
      <c r="B310" s="1" t="s">
        <v>2722</v>
      </c>
      <c r="C310" s="1" t="s">
        <v>42</v>
      </c>
      <c r="D310" s="1" t="s">
        <v>42</v>
      </c>
      <c r="E310" s="1" t="s">
        <v>103</v>
      </c>
      <c r="F310" s="1" t="s">
        <v>190</v>
      </c>
      <c r="G310" s="1"/>
      <c r="H310" s="1" t="s">
        <v>2379</v>
      </c>
      <c r="I310" s="1" t="s">
        <v>2380</v>
      </c>
      <c r="J310" s="1"/>
      <c r="K310" s="9">
        <v>77074.94</v>
      </c>
      <c r="L310" s="1" t="s">
        <v>2535</v>
      </c>
      <c r="M310" s="1" t="s">
        <v>15</v>
      </c>
      <c r="N310" s="1" t="s">
        <v>3135</v>
      </c>
      <c r="O310" s="1" t="s">
        <v>190</v>
      </c>
      <c r="P310" s="1">
        <v>0</v>
      </c>
      <c r="Q310" s="1" t="s">
        <v>190</v>
      </c>
      <c r="R310" t="s">
        <v>2823</v>
      </c>
      <c r="S310" t="s">
        <v>3135</v>
      </c>
      <c r="T310" t="s">
        <v>17</v>
      </c>
      <c r="U310" t="s">
        <v>17</v>
      </c>
    </row>
    <row r="311" spans="1:21">
      <c r="A311" s="1" t="s">
        <v>471</v>
      </c>
      <c r="B311" s="1" t="s">
        <v>472</v>
      </c>
      <c r="C311" s="1" t="s">
        <v>40</v>
      </c>
      <c r="D311" s="1" t="s">
        <v>124</v>
      </c>
      <c r="E311" s="1" t="s">
        <v>103</v>
      </c>
      <c r="F311" s="1" t="s">
        <v>473</v>
      </c>
      <c r="G311" s="1" t="s">
        <v>474</v>
      </c>
      <c r="H311" s="1" t="s">
        <v>127</v>
      </c>
      <c r="I311" s="1" t="s">
        <v>131</v>
      </c>
      <c r="J311" s="1"/>
      <c r="K311" s="9">
        <v>24728.46</v>
      </c>
      <c r="L311" s="1" t="s">
        <v>146</v>
      </c>
      <c r="M311" s="1" t="s">
        <v>15</v>
      </c>
      <c r="N311" s="1" t="s">
        <v>3302</v>
      </c>
      <c r="O311" s="1" t="s">
        <v>3303</v>
      </c>
      <c r="P311" s="1">
        <v>0</v>
      </c>
      <c r="Q311" s="1" t="s">
        <v>473</v>
      </c>
      <c r="R311" t="s">
        <v>2815</v>
      </c>
      <c r="S311" t="s">
        <v>3304</v>
      </c>
      <c r="T311" t="s">
        <v>3305</v>
      </c>
      <c r="U311" t="s">
        <v>17</v>
      </c>
    </row>
    <row r="312" spans="1:21">
      <c r="A312" s="1" t="s">
        <v>2723</v>
      </c>
      <c r="B312" s="1" t="s">
        <v>2676</v>
      </c>
      <c r="C312" s="1" t="s">
        <v>42</v>
      </c>
      <c r="D312" s="1" t="s">
        <v>42</v>
      </c>
      <c r="E312" s="1" t="s">
        <v>103</v>
      </c>
      <c r="F312" s="1" t="s">
        <v>1672</v>
      </c>
      <c r="G312" s="1"/>
      <c r="H312" s="1" t="s">
        <v>2379</v>
      </c>
      <c r="I312" s="1" t="s">
        <v>2380</v>
      </c>
      <c r="J312" s="1"/>
      <c r="K312" s="9">
        <v>43774.06</v>
      </c>
      <c r="L312" s="1" t="s">
        <v>2535</v>
      </c>
      <c r="M312" s="1" t="s">
        <v>15</v>
      </c>
      <c r="N312" s="1" t="s">
        <v>2845</v>
      </c>
      <c r="O312" s="1" t="s">
        <v>1672</v>
      </c>
      <c r="P312" s="1">
        <v>0</v>
      </c>
      <c r="Q312" s="1" t="s">
        <v>1672</v>
      </c>
      <c r="R312" t="s">
        <v>2823</v>
      </c>
      <c r="S312" t="s">
        <v>2845</v>
      </c>
      <c r="T312" t="s">
        <v>17</v>
      </c>
      <c r="U312" t="s">
        <v>17</v>
      </c>
    </row>
    <row r="313" spans="1:21">
      <c r="A313" s="1" t="s">
        <v>1248</v>
      </c>
      <c r="B313" s="1" t="s">
        <v>1249</v>
      </c>
      <c r="C313" s="1" t="s">
        <v>101</v>
      </c>
      <c r="D313" s="1" t="s">
        <v>352</v>
      </c>
      <c r="E313" s="1" t="s">
        <v>103</v>
      </c>
      <c r="F313" s="1" t="s">
        <v>258</v>
      </c>
      <c r="G313" s="1"/>
      <c r="H313" s="1" t="s">
        <v>106</v>
      </c>
      <c r="I313" s="1" t="s">
        <v>108</v>
      </c>
      <c r="J313" s="1" t="s">
        <v>109</v>
      </c>
      <c r="K313" s="9">
        <v>-108280.51</v>
      </c>
      <c r="L313" s="1" t="s">
        <v>356</v>
      </c>
      <c r="M313" s="1" t="s">
        <v>15</v>
      </c>
      <c r="N313" s="1" t="s">
        <v>2827</v>
      </c>
      <c r="O313" s="1" t="s">
        <v>258</v>
      </c>
      <c r="P313" s="1">
        <v>0</v>
      </c>
      <c r="Q313" s="1" t="s">
        <v>258</v>
      </c>
      <c r="R313" t="s">
        <v>2823</v>
      </c>
      <c r="S313" t="s">
        <v>3306</v>
      </c>
      <c r="T313" t="s">
        <v>17</v>
      </c>
      <c r="U313" t="s">
        <v>3307</v>
      </c>
    </row>
    <row r="314" spans="1:21">
      <c r="A314" s="1" t="s">
        <v>2724</v>
      </c>
      <c r="B314" s="1" t="s">
        <v>2643</v>
      </c>
      <c r="C314" s="1" t="s">
        <v>42</v>
      </c>
      <c r="D314" s="1" t="s">
        <v>42</v>
      </c>
      <c r="E314" s="1" t="s">
        <v>103</v>
      </c>
      <c r="F314" s="1" t="s">
        <v>338</v>
      </c>
      <c r="G314" s="1"/>
      <c r="H314" s="1" t="s">
        <v>2379</v>
      </c>
      <c r="I314" s="1" t="s">
        <v>2380</v>
      </c>
      <c r="J314" s="1"/>
      <c r="K314" s="9">
        <v>-65556.37</v>
      </c>
      <c r="L314" s="1" t="s">
        <v>2535</v>
      </c>
      <c r="M314" s="1" t="s">
        <v>15</v>
      </c>
      <c r="N314" s="1" t="s">
        <v>2839</v>
      </c>
      <c r="O314" s="1" t="s">
        <v>338</v>
      </c>
      <c r="P314" s="1">
        <v>0</v>
      </c>
      <c r="Q314" s="1" t="s">
        <v>338</v>
      </c>
      <c r="R314" t="s">
        <v>2825</v>
      </c>
      <c r="S314" t="s">
        <v>2839</v>
      </c>
      <c r="T314" t="s">
        <v>17</v>
      </c>
      <c r="U314" t="s">
        <v>17</v>
      </c>
    </row>
    <row r="315" spans="1:21">
      <c r="A315" s="1" t="s">
        <v>2725</v>
      </c>
      <c r="B315" s="1" t="s">
        <v>2627</v>
      </c>
      <c r="C315" s="1" t="s">
        <v>42</v>
      </c>
      <c r="D315" s="1" t="s">
        <v>42</v>
      </c>
      <c r="E315" s="1" t="s">
        <v>103</v>
      </c>
      <c r="F315" s="1" t="s">
        <v>314</v>
      </c>
      <c r="G315" s="1"/>
      <c r="H315" s="1" t="s">
        <v>2379</v>
      </c>
      <c r="I315" s="1" t="s">
        <v>2380</v>
      </c>
      <c r="J315" s="1"/>
      <c r="K315" s="9">
        <v>49847.97</v>
      </c>
      <c r="L315" s="1" t="s">
        <v>2535</v>
      </c>
      <c r="M315" s="1" t="s">
        <v>15</v>
      </c>
      <c r="N315" s="1" t="s">
        <v>2854</v>
      </c>
      <c r="O315" s="1" t="s">
        <v>314</v>
      </c>
      <c r="P315" s="1">
        <v>0</v>
      </c>
      <c r="Q315" s="1" t="s">
        <v>314</v>
      </c>
      <c r="R315" t="s">
        <v>2825</v>
      </c>
      <c r="S315" t="s">
        <v>2854</v>
      </c>
      <c r="T315" t="s">
        <v>17</v>
      </c>
      <c r="U315" t="s">
        <v>17</v>
      </c>
    </row>
    <row r="316" spans="1:21">
      <c r="A316" s="1" t="s">
        <v>1746</v>
      </c>
      <c r="B316" s="1" t="s">
        <v>1747</v>
      </c>
      <c r="C316" s="1" t="s">
        <v>101</v>
      </c>
      <c r="D316" s="1" t="s">
        <v>102</v>
      </c>
      <c r="E316" s="1" t="s">
        <v>103</v>
      </c>
      <c r="F316" s="1" t="s">
        <v>270</v>
      </c>
      <c r="G316" s="1"/>
      <c r="H316" s="1" t="s">
        <v>106</v>
      </c>
      <c r="I316" s="1" t="s">
        <v>108</v>
      </c>
      <c r="J316" s="1" t="s">
        <v>109</v>
      </c>
      <c r="K316" s="9">
        <v>-33092.370000000003</v>
      </c>
      <c r="L316" s="1" t="s">
        <v>110</v>
      </c>
      <c r="M316" s="1" t="s">
        <v>15</v>
      </c>
      <c r="N316" s="1" t="s">
        <v>3126</v>
      </c>
      <c r="O316" s="1" t="s">
        <v>564</v>
      </c>
      <c r="P316" s="1">
        <v>0</v>
      </c>
      <c r="Q316" s="1" t="s">
        <v>270</v>
      </c>
      <c r="R316" t="s">
        <v>2823</v>
      </c>
      <c r="S316" t="s">
        <v>3308</v>
      </c>
      <c r="T316" t="s">
        <v>17</v>
      </c>
      <c r="U316" t="s">
        <v>3309</v>
      </c>
    </row>
    <row r="317" spans="1:21">
      <c r="A317" s="1" t="s">
        <v>2516</v>
      </c>
      <c r="B317" s="1" t="s">
        <v>17</v>
      </c>
      <c r="C317" s="1" t="s">
        <v>33</v>
      </c>
      <c r="D317" s="1" t="s">
        <v>2391</v>
      </c>
      <c r="E317" s="1" t="s">
        <v>103</v>
      </c>
      <c r="F317" s="1" t="s">
        <v>204</v>
      </c>
      <c r="G317" s="1"/>
      <c r="H317" s="1" t="s">
        <v>2379</v>
      </c>
      <c r="I317" s="1" t="s">
        <v>2380</v>
      </c>
      <c r="J317" s="1"/>
      <c r="K317" s="9">
        <v>-55804.07</v>
      </c>
      <c r="L317" s="1" t="s">
        <v>2494</v>
      </c>
      <c r="M317" s="1" t="s">
        <v>15</v>
      </c>
      <c r="N317" s="1" t="s">
        <v>2835</v>
      </c>
      <c r="O317" s="1" t="s">
        <v>204</v>
      </c>
      <c r="P317" s="1">
        <v>0</v>
      </c>
      <c r="Q317" s="1" t="s">
        <v>204</v>
      </c>
      <c r="R317" t="s">
        <v>2825</v>
      </c>
      <c r="S317" t="s">
        <v>2835</v>
      </c>
      <c r="T317" t="s">
        <v>17</v>
      </c>
      <c r="U317" t="s">
        <v>17</v>
      </c>
    </row>
    <row r="318" spans="1:21">
      <c r="A318" s="1" t="s">
        <v>2726</v>
      </c>
      <c r="B318" s="1" t="s">
        <v>2596</v>
      </c>
      <c r="C318" s="1" t="s">
        <v>42</v>
      </c>
      <c r="D318" s="1" t="s">
        <v>42</v>
      </c>
      <c r="E318" s="1" t="s">
        <v>103</v>
      </c>
      <c r="F318" s="1" t="s">
        <v>1106</v>
      </c>
      <c r="G318" s="1"/>
      <c r="H318" s="1" t="s">
        <v>2379</v>
      </c>
      <c r="I318" s="1" t="s">
        <v>2380</v>
      </c>
      <c r="J318" s="1"/>
      <c r="K318" s="9">
        <v>-31207.34</v>
      </c>
      <c r="L318" s="1" t="s">
        <v>2535</v>
      </c>
      <c r="M318" s="1" t="s">
        <v>15</v>
      </c>
      <c r="N318" s="1" t="s">
        <v>3017</v>
      </c>
      <c r="O318" s="1" t="s">
        <v>1106</v>
      </c>
      <c r="P318" s="1">
        <v>0</v>
      </c>
      <c r="Q318" s="1" t="s">
        <v>1106</v>
      </c>
      <c r="R318" t="s">
        <v>2823</v>
      </c>
      <c r="S318" t="s">
        <v>3017</v>
      </c>
      <c r="T318" t="s">
        <v>17</v>
      </c>
      <c r="U318" t="s">
        <v>17</v>
      </c>
    </row>
    <row r="319" spans="1:21">
      <c r="A319" s="1" t="s">
        <v>1489</v>
      </c>
      <c r="B319" s="1" t="s">
        <v>1490</v>
      </c>
      <c r="C319" s="1" t="s">
        <v>101</v>
      </c>
      <c r="D319" s="1" t="s">
        <v>102</v>
      </c>
      <c r="E319" s="1" t="s">
        <v>103</v>
      </c>
      <c r="F319" s="1" t="s">
        <v>1491</v>
      </c>
      <c r="G319" s="1"/>
      <c r="H319" s="1" t="s">
        <v>106</v>
      </c>
      <c r="I319" s="1" t="s">
        <v>108</v>
      </c>
      <c r="J319" s="1" t="s">
        <v>109</v>
      </c>
      <c r="K319" s="9">
        <v>-51523.55</v>
      </c>
      <c r="L319" s="1" t="s">
        <v>110</v>
      </c>
      <c r="M319" s="1" t="s">
        <v>15</v>
      </c>
      <c r="N319" s="1" t="s">
        <v>2905</v>
      </c>
      <c r="O319" s="1" t="s">
        <v>174</v>
      </c>
      <c r="P319" s="1">
        <v>0</v>
      </c>
      <c r="Q319" s="1" t="s">
        <v>1491</v>
      </c>
      <c r="R319" t="s">
        <v>2823</v>
      </c>
      <c r="S319" t="s">
        <v>3310</v>
      </c>
      <c r="T319" t="s">
        <v>17</v>
      </c>
      <c r="U319" t="s">
        <v>3311</v>
      </c>
    </row>
    <row r="320" spans="1:21">
      <c r="A320" s="1" t="s">
        <v>977</v>
      </c>
      <c r="B320" s="1" t="s">
        <v>978</v>
      </c>
      <c r="C320" s="1" t="s">
        <v>101</v>
      </c>
      <c r="D320" s="1" t="s">
        <v>124</v>
      </c>
      <c r="E320" s="1" t="s">
        <v>103</v>
      </c>
      <c r="F320" s="1" t="s">
        <v>270</v>
      </c>
      <c r="G320" s="1" t="s">
        <v>979</v>
      </c>
      <c r="H320" s="1" t="s">
        <v>127</v>
      </c>
      <c r="I320" s="1" t="s">
        <v>131</v>
      </c>
      <c r="J320" s="1"/>
      <c r="K320" s="9">
        <v>15289.51</v>
      </c>
      <c r="L320" s="1" t="s">
        <v>132</v>
      </c>
      <c r="M320" s="1" t="s">
        <v>15</v>
      </c>
      <c r="N320" s="1" t="s">
        <v>2888</v>
      </c>
      <c r="O320" s="1" t="s">
        <v>1473</v>
      </c>
      <c r="P320" s="1">
        <v>0</v>
      </c>
      <c r="Q320" s="1" t="s">
        <v>270</v>
      </c>
      <c r="R320" t="s">
        <v>2825</v>
      </c>
      <c r="S320" t="s">
        <v>3312</v>
      </c>
      <c r="T320" t="s">
        <v>3313</v>
      </c>
      <c r="U320" t="s">
        <v>17</v>
      </c>
    </row>
    <row r="321" spans="1:21">
      <c r="A321" s="1" t="s">
        <v>2168</v>
      </c>
      <c r="B321" s="1" t="s">
        <v>2169</v>
      </c>
      <c r="C321" s="1" t="s">
        <v>101</v>
      </c>
      <c r="D321" s="1" t="s">
        <v>124</v>
      </c>
      <c r="E321" s="1" t="s">
        <v>103</v>
      </c>
      <c r="F321" s="1" t="s">
        <v>1819</v>
      </c>
      <c r="G321" s="1" t="s">
        <v>2170</v>
      </c>
      <c r="H321" s="1" t="s">
        <v>127</v>
      </c>
      <c r="I321" s="1" t="s">
        <v>131</v>
      </c>
      <c r="J321" s="1"/>
      <c r="K321" s="9">
        <v>15498.94</v>
      </c>
      <c r="L321" s="1" t="s">
        <v>132</v>
      </c>
      <c r="M321" s="1" t="s">
        <v>15</v>
      </c>
      <c r="N321" s="1" t="s">
        <v>2861</v>
      </c>
      <c r="O321" s="1" t="s">
        <v>2318</v>
      </c>
      <c r="P321" s="1">
        <v>0</v>
      </c>
      <c r="Q321" s="1" t="s">
        <v>1819</v>
      </c>
      <c r="R321" t="s">
        <v>2825</v>
      </c>
      <c r="S321" t="s">
        <v>3314</v>
      </c>
      <c r="T321" t="s">
        <v>3315</v>
      </c>
      <c r="U321" t="s">
        <v>17</v>
      </c>
    </row>
    <row r="322" spans="1:21">
      <c r="A322" s="1" t="s">
        <v>1540</v>
      </c>
      <c r="B322" s="1" t="s">
        <v>1541</v>
      </c>
      <c r="C322" s="1" t="s">
        <v>101</v>
      </c>
      <c r="D322" s="1" t="s">
        <v>124</v>
      </c>
      <c r="E322" s="1" t="s">
        <v>103</v>
      </c>
      <c r="F322" s="1" t="s">
        <v>239</v>
      </c>
      <c r="G322" s="1" t="s">
        <v>1542</v>
      </c>
      <c r="H322" s="1" t="s">
        <v>127</v>
      </c>
      <c r="I322" s="1" t="s">
        <v>131</v>
      </c>
      <c r="J322" s="1"/>
      <c r="K322" s="9">
        <v>15289.51</v>
      </c>
      <c r="L322" s="1" t="s">
        <v>132</v>
      </c>
      <c r="M322" s="1" t="s">
        <v>15</v>
      </c>
      <c r="N322" s="1" t="s">
        <v>3061</v>
      </c>
      <c r="O322" s="1" t="s">
        <v>1256</v>
      </c>
      <c r="P322" s="1">
        <v>0</v>
      </c>
      <c r="Q322" s="1" t="s">
        <v>239</v>
      </c>
      <c r="R322" t="s">
        <v>2825</v>
      </c>
      <c r="S322" t="s">
        <v>3316</v>
      </c>
      <c r="T322" t="s">
        <v>3317</v>
      </c>
      <c r="U322" t="s">
        <v>17</v>
      </c>
    </row>
    <row r="323" spans="1:21">
      <c r="A323" s="1" t="s">
        <v>552</v>
      </c>
      <c r="B323" s="1" t="s">
        <v>553</v>
      </c>
      <c r="C323" s="1" t="s">
        <v>101</v>
      </c>
      <c r="D323" s="1" t="s">
        <v>554</v>
      </c>
      <c r="E323" s="1" t="s">
        <v>103</v>
      </c>
      <c r="F323" s="1" t="s">
        <v>301</v>
      </c>
      <c r="G323" s="1" t="s">
        <v>556</v>
      </c>
      <c r="H323" s="1" t="s">
        <v>127</v>
      </c>
      <c r="I323" s="1" t="s">
        <v>131</v>
      </c>
      <c r="J323" s="1"/>
      <c r="K323" s="9">
        <v>15289.51</v>
      </c>
      <c r="L323" s="1" t="s">
        <v>557</v>
      </c>
      <c r="M323" s="1" t="s">
        <v>15</v>
      </c>
      <c r="N323" s="1" t="s">
        <v>2871</v>
      </c>
      <c r="O323" s="1" t="s">
        <v>409</v>
      </c>
      <c r="P323" s="1">
        <v>0</v>
      </c>
      <c r="Q323" s="1" t="s">
        <v>301</v>
      </c>
      <c r="R323" t="s">
        <v>2825</v>
      </c>
      <c r="S323" t="s">
        <v>3318</v>
      </c>
      <c r="T323" t="s">
        <v>3319</v>
      </c>
      <c r="U323" t="s">
        <v>17</v>
      </c>
    </row>
    <row r="324" spans="1:21">
      <c r="A324" s="1" t="s">
        <v>2202</v>
      </c>
      <c r="B324" s="1" t="s">
        <v>2203</v>
      </c>
      <c r="C324" s="1" t="s">
        <v>36</v>
      </c>
      <c r="D324" s="1" t="s">
        <v>124</v>
      </c>
      <c r="E324" s="1" t="s">
        <v>103</v>
      </c>
      <c r="F324" s="1" t="s">
        <v>673</v>
      </c>
      <c r="G324" s="1" t="s">
        <v>2204</v>
      </c>
      <c r="H324" s="1" t="s">
        <v>127</v>
      </c>
      <c r="I324" s="1" t="s">
        <v>131</v>
      </c>
      <c r="J324" s="1"/>
      <c r="K324" s="9">
        <v>8260</v>
      </c>
      <c r="L324" s="1" t="s">
        <v>243</v>
      </c>
      <c r="M324" s="1" t="s">
        <v>15</v>
      </c>
      <c r="N324" s="1" t="s">
        <v>2832</v>
      </c>
      <c r="O324" s="1" t="s">
        <v>298</v>
      </c>
      <c r="P324" s="1">
        <v>0</v>
      </c>
      <c r="Q324" s="1" t="s">
        <v>673</v>
      </c>
      <c r="R324" t="s">
        <v>2825</v>
      </c>
      <c r="S324" t="s">
        <v>3320</v>
      </c>
      <c r="T324" t="s">
        <v>3321</v>
      </c>
      <c r="U324" t="s">
        <v>17</v>
      </c>
    </row>
    <row r="325" spans="1:21">
      <c r="A325" s="1" t="s">
        <v>1375</v>
      </c>
      <c r="B325" s="1" t="s">
        <v>1376</v>
      </c>
      <c r="C325" s="1" t="s">
        <v>101</v>
      </c>
      <c r="D325" s="1" t="s">
        <v>124</v>
      </c>
      <c r="E325" s="1" t="s">
        <v>103</v>
      </c>
      <c r="F325" s="1" t="s">
        <v>1377</v>
      </c>
      <c r="G325" s="1" t="s">
        <v>1378</v>
      </c>
      <c r="H325" s="1" t="s">
        <v>127</v>
      </c>
      <c r="I325" s="1" t="s">
        <v>131</v>
      </c>
      <c r="J325" s="1"/>
      <c r="K325" s="9">
        <v>16755.62</v>
      </c>
      <c r="L325" s="1" t="s">
        <v>132</v>
      </c>
      <c r="M325" s="1" t="s">
        <v>15</v>
      </c>
      <c r="N325" s="1" t="s">
        <v>2842</v>
      </c>
      <c r="O325" s="1" t="s">
        <v>378</v>
      </c>
      <c r="P325" s="1">
        <v>0</v>
      </c>
      <c r="Q325" s="1" t="s">
        <v>1377</v>
      </c>
      <c r="R325" t="s">
        <v>2825</v>
      </c>
      <c r="S325" t="s">
        <v>3322</v>
      </c>
      <c r="T325" t="s">
        <v>3323</v>
      </c>
      <c r="U325" t="s">
        <v>17</v>
      </c>
    </row>
    <row r="326" spans="1:21">
      <c r="A326" s="1" t="s">
        <v>2727</v>
      </c>
      <c r="B326" s="1" t="s">
        <v>2555</v>
      </c>
      <c r="C326" s="1" t="s">
        <v>42</v>
      </c>
      <c r="D326" s="1" t="s">
        <v>42</v>
      </c>
      <c r="E326" s="1" t="s">
        <v>103</v>
      </c>
      <c r="F326" s="1" t="s">
        <v>462</v>
      </c>
      <c r="G326" s="1"/>
      <c r="H326" s="1" t="s">
        <v>2379</v>
      </c>
      <c r="I326" s="1" t="s">
        <v>2380</v>
      </c>
      <c r="J326" s="1"/>
      <c r="K326" s="9">
        <v>17802.84</v>
      </c>
      <c r="L326" s="1" t="s">
        <v>2535</v>
      </c>
      <c r="M326" s="1" t="s">
        <v>15</v>
      </c>
      <c r="N326" s="1" t="s">
        <v>2898</v>
      </c>
      <c r="O326" s="1" t="s">
        <v>462</v>
      </c>
      <c r="P326" s="1">
        <v>0</v>
      </c>
      <c r="Q326" s="1" t="s">
        <v>462</v>
      </c>
      <c r="R326" t="s">
        <v>2825</v>
      </c>
      <c r="S326" t="s">
        <v>2898</v>
      </c>
      <c r="T326" t="s">
        <v>17</v>
      </c>
      <c r="U326" t="s">
        <v>17</v>
      </c>
    </row>
    <row r="327" spans="1:21">
      <c r="A327" s="1" t="s">
        <v>1484</v>
      </c>
      <c r="B327" s="1" t="s">
        <v>1485</v>
      </c>
      <c r="C327" s="1" t="s">
        <v>101</v>
      </c>
      <c r="D327" s="1" t="s">
        <v>124</v>
      </c>
      <c r="E327" s="1" t="s">
        <v>103</v>
      </c>
      <c r="F327" s="1" t="s">
        <v>1337</v>
      </c>
      <c r="G327" s="1" t="s">
        <v>1486</v>
      </c>
      <c r="H327" s="1" t="s">
        <v>127</v>
      </c>
      <c r="I327" s="1" t="s">
        <v>131</v>
      </c>
      <c r="J327" s="1"/>
      <c r="K327" s="9">
        <v>15708.4</v>
      </c>
      <c r="L327" s="1" t="s">
        <v>132</v>
      </c>
      <c r="M327" s="1" t="s">
        <v>15</v>
      </c>
      <c r="N327" s="1" t="s">
        <v>2835</v>
      </c>
      <c r="O327" s="1" t="s">
        <v>204</v>
      </c>
      <c r="P327" s="1">
        <v>0</v>
      </c>
      <c r="Q327" s="1" t="s">
        <v>1337</v>
      </c>
      <c r="R327" t="s">
        <v>2825</v>
      </c>
      <c r="S327" t="s">
        <v>3324</v>
      </c>
      <c r="T327" t="s">
        <v>3325</v>
      </c>
      <c r="U327" t="s">
        <v>17</v>
      </c>
    </row>
    <row r="328" spans="1:21">
      <c r="A328" s="1" t="s">
        <v>2266</v>
      </c>
      <c r="B328" s="1" t="s">
        <v>2267</v>
      </c>
      <c r="C328" s="1" t="s">
        <v>40</v>
      </c>
      <c r="D328" s="1" t="s">
        <v>124</v>
      </c>
      <c r="E328" s="1" t="s">
        <v>103</v>
      </c>
      <c r="F328" s="1" t="s">
        <v>212</v>
      </c>
      <c r="G328" s="1" t="s">
        <v>2268</v>
      </c>
      <c r="H328" s="1" t="s">
        <v>127</v>
      </c>
      <c r="I328" s="1" t="s">
        <v>131</v>
      </c>
      <c r="J328" s="1"/>
      <c r="K328" s="9">
        <v>14661.16</v>
      </c>
      <c r="L328" s="1" t="s">
        <v>146</v>
      </c>
      <c r="M328" s="1" t="s">
        <v>15</v>
      </c>
      <c r="N328" s="1" t="s">
        <v>2875</v>
      </c>
      <c r="O328" s="1" t="s">
        <v>517</v>
      </c>
      <c r="P328" s="1">
        <v>0</v>
      </c>
      <c r="Q328" s="1" t="s">
        <v>212</v>
      </c>
      <c r="R328" t="s">
        <v>2825</v>
      </c>
      <c r="S328" t="s">
        <v>3326</v>
      </c>
      <c r="T328" t="s">
        <v>3327</v>
      </c>
      <c r="U328" t="s">
        <v>17</v>
      </c>
    </row>
    <row r="329" spans="1:21">
      <c r="A329" s="1" t="s">
        <v>2728</v>
      </c>
      <c r="B329" s="1" t="s">
        <v>2729</v>
      </c>
      <c r="C329" s="1" t="s">
        <v>42</v>
      </c>
      <c r="D329" s="1" t="s">
        <v>42</v>
      </c>
      <c r="E329" s="1" t="s">
        <v>103</v>
      </c>
      <c r="F329" s="1" t="s">
        <v>151</v>
      </c>
      <c r="G329" s="1"/>
      <c r="H329" s="1" t="s">
        <v>2379</v>
      </c>
      <c r="I329" s="1" t="s">
        <v>2380</v>
      </c>
      <c r="J329" s="1"/>
      <c r="K329" s="9">
        <v>82521.42</v>
      </c>
      <c r="L329" s="1" t="s">
        <v>2535</v>
      </c>
      <c r="M329" s="1" t="s">
        <v>15</v>
      </c>
      <c r="N329" s="1" t="s">
        <v>2988</v>
      </c>
      <c r="O329" s="1" t="s">
        <v>151</v>
      </c>
      <c r="P329" s="1">
        <v>0</v>
      </c>
      <c r="Q329" s="1" t="s">
        <v>151</v>
      </c>
      <c r="R329" t="s">
        <v>2825</v>
      </c>
      <c r="S329" t="s">
        <v>2988</v>
      </c>
      <c r="T329" t="s">
        <v>17</v>
      </c>
      <c r="U329" t="s">
        <v>17</v>
      </c>
    </row>
    <row r="330" spans="1:21">
      <c r="A330" s="1" t="s">
        <v>954</v>
      </c>
      <c r="B330" s="1" t="s">
        <v>955</v>
      </c>
      <c r="C330" s="1" t="s">
        <v>101</v>
      </c>
      <c r="D330" s="1" t="s">
        <v>124</v>
      </c>
      <c r="E330" s="1" t="s">
        <v>103</v>
      </c>
      <c r="F330" s="1" t="s">
        <v>958</v>
      </c>
      <c r="G330" s="1" t="s">
        <v>957</v>
      </c>
      <c r="H330" s="1" t="s">
        <v>127</v>
      </c>
      <c r="I330" s="1" t="s">
        <v>131</v>
      </c>
      <c r="J330" s="1"/>
      <c r="K330" s="9">
        <v>15498.94</v>
      </c>
      <c r="L330" s="1" t="s">
        <v>132</v>
      </c>
      <c r="M330" s="1" t="s">
        <v>15</v>
      </c>
      <c r="N330" s="1" t="s">
        <v>2993</v>
      </c>
      <c r="O330" s="1" t="s">
        <v>1678</v>
      </c>
      <c r="P330" s="1">
        <v>0</v>
      </c>
      <c r="Q330" s="1" t="s">
        <v>958</v>
      </c>
      <c r="R330" t="s">
        <v>2825</v>
      </c>
      <c r="S330" t="s">
        <v>3328</v>
      </c>
      <c r="T330" t="s">
        <v>3329</v>
      </c>
      <c r="U330" t="s">
        <v>17</v>
      </c>
    </row>
    <row r="331" spans="1:21">
      <c r="A331" s="1" t="s">
        <v>2208</v>
      </c>
      <c r="B331" s="1" t="s">
        <v>2209</v>
      </c>
      <c r="C331" s="1" t="s">
        <v>101</v>
      </c>
      <c r="D331" s="1" t="s">
        <v>102</v>
      </c>
      <c r="E331" s="1" t="s">
        <v>103</v>
      </c>
      <c r="F331" s="1" t="s">
        <v>1634</v>
      </c>
      <c r="G331" s="1"/>
      <c r="H331" s="1" t="s">
        <v>106</v>
      </c>
      <c r="I331" s="1" t="s">
        <v>108</v>
      </c>
      <c r="J331" s="1" t="s">
        <v>109</v>
      </c>
      <c r="K331" s="9">
        <v>-28903</v>
      </c>
      <c r="L331" s="1" t="s">
        <v>110</v>
      </c>
      <c r="M331" s="1" t="s">
        <v>15</v>
      </c>
      <c r="N331" s="1" t="s">
        <v>2857</v>
      </c>
      <c r="O331" s="1" t="s">
        <v>395</v>
      </c>
      <c r="P331" s="1">
        <v>0</v>
      </c>
      <c r="Q331" s="1" t="s">
        <v>1634</v>
      </c>
      <c r="R331" t="s">
        <v>2823</v>
      </c>
      <c r="S331" t="s">
        <v>3330</v>
      </c>
      <c r="T331" t="s">
        <v>17</v>
      </c>
      <c r="U331" t="s">
        <v>3331</v>
      </c>
    </row>
    <row r="332" spans="1:21">
      <c r="A332" s="1" t="s">
        <v>1978</v>
      </c>
      <c r="B332" s="1" t="s">
        <v>1979</v>
      </c>
      <c r="C332" s="1" t="s">
        <v>101</v>
      </c>
      <c r="D332" s="1" t="s">
        <v>124</v>
      </c>
      <c r="E332" s="1" t="s">
        <v>103</v>
      </c>
      <c r="F332" s="1" t="s">
        <v>386</v>
      </c>
      <c r="G332" s="1" t="s">
        <v>1981</v>
      </c>
      <c r="H332" s="1" t="s">
        <v>127</v>
      </c>
      <c r="I332" s="1" t="s">
        <v>131</v>
      </c>
      <c r="J332" s="1"/>
      <c r="K332" s="9">
        <v>18640.62</v>
      </c>
      <c r="L332" s="1" t="s">
        <v>132</v>
      </c>
      <c r="M332" s="1" t="s">
        <v>15</v>
      </c>
      <c r="N332" s="1" t="s">
        <v>3000</v>
      </c>
      <c r="O332" s="1" t="s">
        <v>875</v>
      </c>
      <c r="P332" s="1">
        <v>0</v>
      </c>
      <c r="Q332" s="1" t="s">
        <v>386</v>
      </c>
      <c r="R332" t="s">
        <v>2825</v>
      </c>
      <c r="S332" t="s">
        <v>3332</v>
      </c>
      <c r="T332" t="s">
        <v>3333</v>
      </c>
      <c r="U332" t="s">
        <v>17</v>
      </c>
    </row>
    <row r="333" spans="1:21">
      <c r="A333" s="1" t="s">
        <v>2730</v>
      </c>
      <c r="B333" s="1" t="s">
        <v>2683</v>
      </c>
      <c r="C333" s="1" t="s">
        <v>42</v>
      </c>
      <c r="D333" s="1" t="s">
        <v>42</v>
      </c>
      <c r="E333" s="1" t="s">
        <v>103</v>
      </c>
      <c r="F333" s="1" t="s">
        <v>1879</v>
      </c>
      <c r="G333" s="1"/>
      <c r="H333" s="1" t="s">
        <v>2379</v>
      </c>
      <c r="I333" s="1" t="s">
        <v>2380</v>
      </c>
      <c r="J333" s="1"/>
      <c r="K333" s="9">
        <v>15289.51</v>
      </c>
      <c r="L333" s="1" t="s">
        <v>2535</v>
      </c>
      <c r="M333" s="1" t="s">
        <v>15</v>
      </c>
      <c r="N333" s="1" t="s">
        <v>3087</v>
      </c>
      <c r="O333" s="1" t="s">
        <v>1879</v>
      </c>
      <c r="P333" s="1">
        <v>0</v>
      </c>
      <c r="Q333" s="1" t="s">
        <v>1879</v>
      </c>
      <c r="R333" t="s">
        <v>2825</v>
      </c>
      <c r="S333" t="s">
        <v>3087</v>
      </c>
      <c r="T333" t="s">
        <v>17</v>
      </c>
      <c r="U333" t="s">
        <v>17</v>
      </c>
    </row>
    <row r="334" spans="1:21">
      <c r="A334" s="1" t="s">
        <v>616</v>
      </c>
      <c r="B334" s="1" t="s">
        <v>617</v>
      </c>
      <c r="C334" s="1" t="s">
        <v>101</v>
      </c>
      <c r="D334" s="1" t="s">
        <v>352</v>
      </c>
      <c r="E334" s="1" t="s">
        <v>103</v>
      </c>
      <c r="F334" s="1" t="s">
        <v>221</v>
      </c>
      <c r="G334" s="1"/>
      <c r="H334" s="1" t="s">
        <v>106</v>
      </c>
      <c r="I334" s="1" t="s">
        <v>108</v>
      </c>
      <c r="J334" s="1" t="s">
        <v>109</v>
      </c>
      <c r="K334" s="9">
        <v>-17802.84</v>
      </c>
      <c r="L334" s="1" t="s">
        <v>356</v>
      </c>
      <c r="M334" s="1" t="s">
        <v>15</v>
      </c>
      <c r="N334" s="1" t="s">
        <v>2898</v>
      </c>
      <c r="O334" s="1" t="s">
        <v>462</v>
      </c>
      <c r="P334" s="1">
        <v>0</v>
      </c>
      <c r="Q334" s="1" t="s">
        <v>221</v>
      </c>
      <c r="R334" t="s">
        <v>2823</v>
      </c>
      <c r="S334" t="s">
        <v>3334</v>
      </c>
      <c r="T334" t="s">
        <v>17</v>
      </c>
      <c r="U334" t="s">
        <v>3335</v>
      </c>
    </row>
    <row r="335" spans="1:21">
      <c r="A335" s="1" t="s">
        <v>2517</v>
      </c>
      <c r="B335" s="1" t="s">
        <v>17</v>
      </c>
      <c r="C335" s="1" t="s">
        <v>33</v>
      </c>
      <c r="D335" s="1" t="s">
        <v>2391</v>
      </c>
      <c r="E335" s="1" t="s">
        <v>103</v>
      </c>
      <c r="F335" s="1" t="s">
        <v>2518</v>
      </c>
      <c r="G335" s="1"/>
      <c r="H335" s="1" t="s">
        <v>2379</v>
      </c>
      <c r="I335" s="1" t="s">
        <v>2380</v>
      </c>
      <c r="J335" s="1"/>
      <c r="K335" s="9">
        <v>-8260</v>
      </c>
      <c r="L335" s="1" t="s">
        <v>2494</v>
      </c>
      <c r="M335" s="1" t="s">
        <v>15</v>
      </c>
      <c r="N335" s="1" t="s">
        <v>2836</v>
      </c>
      <c r="O335" s="1" t="s">
        <v>2518</v>
      </c>
      <c r="P335" s="1">
        <v>0</v>
      </c>
      <c r="Q335" s="1" t="s">
        <v>2518</v>
      </c>
      <c r="R335" t="s">
        <v>2825</v>
      </c>
      <c r="S335" t="s">
        <v>2836</v>
      </c>
      <c r="T335" t="s">
        <v>17</v>
      </c>
      <c r="U335" t="s">
        <v>17</v>
      </c>
    </row>
    <row r="336" spans="1:21">
      <c r="A336" s="1" t="s">
        <v>2306</v>
      </c>
      <c r="B336" s="1" t="s">
        <v>2307</v>
      </c>
      <c r="C336" s="1" t="s">
        <v>101</v>
      </c>
      <c r="D336" s="1" t="s">
        <v>124</v>
      </c>
      <c r="E336" s="1" t="s">
        <v>103</v>
      </c>
      <c r="F336" s="1" t="s">
        <v>930</v>
      </c>
      <c r="G336" s="1" t="s">
        <v>2308</v>
      </c>
      <c r="H336" s="1" t="s">
        <v>127</v>
      </c>
      <c r="I336" s="1" t="s">
        <v>131</v>
      </c>
      <c r="J336" s="1"/>
      <c r="K336" s="9">
        <v>16336.73</v>
      </c>
      <c r="L336" s="1" t="s">
        <v>132</v>
      </c>
      <c r="M336" s="1" t="s">
        <v>15</v>
      </c>
      <c r="N336" s="1" t="s">
        <v>3077</v>
      </c>
      <c r="O336" s="1" t="s">
        <v>1218</v>
      </c>
      <c r="P336" s="1">
        <v>0</v>
      </c>
      <c r="Q336" s="1" t="s">
        <v>930</v>
      </c>
      <c r="R336" t="s">
        <v>2825</v>
      </c>
      <c r="S336" t="s">
        <v>3336</v>
      </c>
      <c r="T336" t="s">
        <v>3337</v>
      </c>
      <c r="U336" t="s">
        <v>17</v>
      </c>
    </row>
    <row r="337" spans="1:21">
      <c r="A337" s="1" t="s">
        <v>724</v>
      </c>
      <c r="B337" s="1" t="s">
        <v>725</v>
      </c>
      <c r="C337" s="1" t="s">
        <v>101</v>
      </c>
      <c r="D337" s="1" t="s">
        <v>124</v>
      </c>
      <c r="E337" s="1" t="s">
        <v>103</v>
      </c>
      <c r="F337" s="1" t="s">
        <v>728</v>
      </c>
      <c r="G337" s="1" t="s">
        <v>727</v>
      </c>
      <c r="H337" s="1" t="s">
        <v>127</v>
      </c>
      <c r="I337" s="1" t="s">
        <v>131</v>
      </c>
      <c r="J337" s="1"/>
      <c r="K337" s="9">
        <v>14451.72</v>
      </c>
      <c r="L337" s="1" t="s">
        <v>132</v>
      </c>
      <c r="M337" s="1" t="s">
        <v>15</v>
      </c>
      <c r="N337" s="1" t="s">
        <v>3262</v>
      </c>
      <c r="O337" s="1" t="s">
        <v>251</v>
      </c>
      <c r="P337" s="1">
        <v>0</v>
      </c>
      <c r="Q337" s="1" t="s">
        <v>728</v>
      </c>
      <c r="R337" t="s">
        <v>2825</v>
      </c>
      <c r="S337" t="s">
        <v>3338</v>
      </c>
      <c r="T337" t="s">
        <v>3339</v>
      </c>
      <c r="U337" t="s">
        <v>17</v>
      </c>
    </row>
    <row r="338" spans="1:21">
      <c r="A338" s="1" t="s">
        <v>2519</v>
      </c>
      <c r="B338" s="1" t="s">
        <v>17</v>
      </c>
      <c r="C338" s="1" t="s">
        <v>33</v>
      </c>
      <c r="D338" s="1" t="s">
        <v>2391</v>
      </c>
      <c r="E338" s="1" t="s">
        <v>103</v>
      </c>
      <c r="F338" s="1" t="s">
        <v>625</v>
      </c>
      <c r="G338" s="1"/>
      <c r="H338" s="1" t="s">
        <v>2379</v>
      </c>
      <c r="I338" s="1" t="s">
        <v>2380</v>
      </c>
      <c r="J338" s="1"/>
      <c r="K338" s="9">
        <v>8120</v>
      </c>
      <c r="L338" s="1" t="s">
        <v>2494</v>
      </c>
      <c r="M338" s="1" t="s">
        <v>15</v>
      </c>
      <c r="N338" s="1" t="s">
        <v>2828</v>
      </c>
      <c r="O338" s="1" t="s">
        <v>625</v>
      </c>
      <c r="P338" s="1">
        <v>0</v>
      </c>
      <c r="Q338" s="1" t="s">
        <v>625</v>
      </c>
      <c r="R338" t="s">
        <v>2825</v>
      </c>
      <c r="S338" t="s">
        <v>2828</v>
      </c>
      <c r="T338" t="s">
        <v>17</v>
      </c>
      <c r="U338" t="s">
        <v>17</v>
      </c>
    </row>
    <row r="339" spans="1:21">
      <c r="A339" s="1" t="s">
        <v>2015</v>
      </c>
      <c r="B339" s="1" t="s">
        <v>2016</v>
      </c>
      <c r="C339" s="1" t="s">
        <v>101</v>
      </c>
      <c r="D339" s="1" t="s">
        <v>102</v>
      </c>
      <c r="E339" s="1" t="s">
        <v>103</v>
      </c>
      <c r="F339" s="1" t="s">
        <v>1218</v>
      </c>
      <c r="G339" s="1"/>
      <c r="H339" s="1" t="s">
        <v>106</v>
      </c>
      <c r="I339" s="1" t="s">
        <v>108</v>
      </c>
      <c r="J339" s="1" t="s">
        <v>109</v>
      </c>
      <c r="K339" s="9">
        <v>-16336.73</v>
      </c>
      <c r="L339" s="1" t="s">
        <v>110</v>
      </c>
      <c r="M339" s="1" t="s">
        <v>15</v>
      </c>
      <c r="N339" s="1" t="s">
        <v>3211</v>
      </c>
      <c r="O339" s="1" t="s">
        <v>2673</v>
      </c>
      <c r="P339" s="1">
        <v>0</v>
      </c>
      <c r="Q339" s="1" t="s">
        <v>1218</v>
      </c>
      <c r="R339" t="s">
        <v>2823</v>
      </c>
      <c r="S339" t="s">
        <v>3340</v>
      </c>
      <c r="T339" t="s">
        <v>17</v>
      </c>
      <c r="U339" t="s">
        <v>3341</v>
      </c>
    </row>
    <row r="340" spans="1:21">
      <c r="A340" s="1" t="s">
        <v>2731</v>
      </c>
      <c r="B340" s="1" t="s">
        <v>2672</v>
      </c>
      <c r="C340" s="1" t="s">
        <v>42</v>
      </c>
      <c r="D340" s="1" t="s">
        <v>42</v>
      </c>
      <c r="E340" s="1" t="s">
        <v>103</v>
      </c>
      <c r="F340" s="1" t="s">
        <v>1218</v>
      </c>
      <c r="G340" s="1"/>
      <c r="H340" s="1" t="s">
        <v>2379</v>
      </c>
      <c r="I340" s="1" t="s">
        <v>2380</v>
      </c>
      <c r="J340" s="1"/>
      <c r="K340" s="9">
        <v>16336.73</v>
      </c>
      <c r="L340" s="1" t="s">
        <v>2535</v>
      </c>
      <c r="M340" s="1" t="s">
        <v>15</v>
      </c>
      <c r="N340" s="1" t="s">
        <v>3077</v>
      </c>
      <c r="O340" s="1" t="s">
        <v>1218</v>
      </c>
      <c r="P340" s="1">
        <v>0</v>
      </c>
      <c r="Q340" s="1" t="s">
        <v>1218</v>
      </c>
      <c r="R340" t="s">
        <v>2825</v>
      </c>
      <c r="S340" t="s">
        <v>3077</v>
      </c>
      <c r="T340" t="s">
        <v>17</v>
      </c>
      <c r="U340" t="s">
        <v>17</v>
      </c>
    </row>
    <row r="341" spans="1:21">
      <c r="A341" s="1" t="s">
        <v>2732</v>
      </c>
      <c r="B341" s="1" t="s">
        <v>2612</v>
      </c>
      <c r="C341" s="1" t="s">
        <v>42</v>
      </c>
      <c r="D341" s="1" t="s">
        <v>42</v>
      </c>
      <c r="E341" s="1" t="s">
        <v>103</v>
      </c>
      <c r="F341" s="1" t="s">
        <v>151</v>
      </c>
      <c r="G341" s="1"/>
      <c r="H341" s="1" t="s">
        <v>2379</v>
      </c>
      <c r="I341" s="1" t="s">
        <v>2380</v>
      </c>
      <c r="J341" s="1"/>
      <c r="K341" s="9">
        <v>-16127.29</v>
      </c>
      <c r="L341" s="1" t="s">
        <v>2535</v>
      </c>
      <c r="M341" s="1" t="s">
        <v>15</v>
      </c>
      <c r="N341" s="1" t="s">
        <v>3047</v>
      </c>
      <c r="O341" s="1" t="s">
        <v>151</v>
      </c>
      <c r="P341" s="1">
        <v>0</v>
      </c>
      <c r="Q341" s="1" t="s">
        <v>151</v>
      </c>
      <c r="R341" t="s">
        <v>2825</v>
      </c>
      <c r="S341" t="s">
        <v>3047</v>
      </c>
      <c r="T341" t="s">
        <v>17</v>
      </c>
      <c r="U341" t="s">
        <v>17</v>
      </c>
    </row>
    <row r="342" spans="1:21">
      <c r="A342" s="1" t="s">
        <v>2124</v>
      </c>
      <c r="B342" s="1" t="s">
        <v>2125</v>
      </c>
      <c r="C342" s="1" t="s">
        <v>101</v>
      </c>
      <c r="D342" s="1" t="s">
        <v>352</v>
      </c>
      <c r="E342" s="1" t="s">
        <v>103</v>
      </c>
      <c r="F342" s="1" t="s">
        <v>469</v>
      </c>
      <c r="G342" s="1"/>
      <c r="H342" s="1" t="s">
        <v>106</v>
      </c>
      <c r="I342" s="1" t="s">
        <v>108</v>
      </c>
      <c r="J342" s="1" t="s">
        <v>109</v>
      </c>
      <c r="K342" s="9">
        <v>-15080</v>
      </c>
      <c r="L342" s="1" t="s">
        <v>356</v>
      </c>
      <c r="M342" s="1" t="s">
        <v>15</v>
      </c>
      <c r="N342" s="1" t="s">
        <v>3025</v>
      </c>
      <c r="O342" s="1" t="s">
        <v>197</v>
      </c>
      <c r="P342" s="1">
        <v>0</v>
      </c>
      <c r="Q342" s="1" t="s">
        <v>469</v>
      </c>
      <c r="R342" t="s">
        <v>2823</v>
      </c>
      <c r="S342" t="s">
        <v>3342</v>
      </c>
      <c r="T342" t="s">
        <v>17</v>
      </c>
      <c r="U342" t="s">
        <v>3343</v>
      </c>
    </row>
    <row r="343" spans="1:21">
      <c r="A343" s="1" t="s">
        <v>2520</v>
      </c>
      <c r="B343" s="1" t="s">
        <v>17</v>
      </c>
      <c r="C343" s="1" t="s">
        <v>33</v>
      </c>
      <c r="D343" s="1" t="s">
        <v>2391</v>
      </c>
      <c r="E343" s="1" t="s">
        <v>103</v>
      </c>
      <c r="F343" s="1" t="s">
        <v>1337</v>
      </c>
      <c r="G343" s="1"/>
      <c r="H343" s="1" t="s">
        <v>2379</v>
      </c>
      <c r="I343" s="1" t="s">
        <v>2380</v>
      </c>
      <c r="J343" s="1"/>
      <c r="K343" s="9">
        <v>-8260</v>
      </c>
      <c r="L343" s="1" t="s">
        <v>2494</v>
      </c>
      <c r="M343" s="1" t="s">
        <v>15</v>
      </c>
      <c r="N343" s="1" t="s">
        <v>2838</v>
      </c>
      <c r="O343" s="1" t="s">
        <v>1337</v>
      </c>
      <c r="P343" s="1">
        <v>0</v>
      </c>
      <c r="Q343" s="1" t="s">
        <v>1337</v>
      </c>
      <c r="R343" t="s">
        <v>2825</v>
      </c>
      <c r="S343" t="s">
        <v>2838</v>
      </c>
      <c r="T343" t="s">
        <v>17</v>
      </c>
      <c r="U343" t="s">
        <v>17</v>
      </c>
    </row>
    <row r="344" spans="1:21">
      <c r="A344" s="1" t="s">
        <v>2521</v>
      </c>
      <c r="B344" s="1" t="s">
        <v>17</v>
      </c>
      <c r="C344" s="1" t="s">
        <v>33</v>
      </c>
      <c r="D344" s="1" t="s">
        <v>2391</v>
      </c>
      <c r="E344" s="1" t="s">
        <v>103</v>
      </c>
      <c r="F344" s="1" t="s">
        <v>2518</v>
      </c>
      <c r="G344" s="1"/>
      <c r="H344" s="1" t="s">
        <v>2379</v>
      </c>
      <c r="I344" s="1" t="s">
        <v>2380</v>
      </c>
      <c r="J344" s="1"/>
      <c r="K344" s="9">
        <v>8120</v>
      </c>
      <c r="L344" s="1" t="s">
        <v>2494</v>
      </c>
      <c r="M344" s="1" t="s">
        <v>15</v>
      </c>
      <c r="N344" s="1" t="s">
        <v>2836</v>
      </c>
      <c r="O344" s="1" t="s">
        <v>2518</v>
      </c>
      <c r="P344" s="1">
        <v>0</v>
      </c>
      <c r="Q344" s="1" t="s">
        <v>2518</v>
      </c>
      <c r="R344" t="s">
        <v>2825</v>
      </c>
      <c r="S344" t="s">
        <v>2836</v>
      </c>
      <c r="T344" t="s">
        <v>17</v>
      </c>
      <c r="U344" t="s">
        <v>17</v>
      </c>
    </row>
    <row r="345" spans="1:21">
      <c r="A345" s="1" t="s">
        <v>908</v>
      </c>
      <c r="B345" s="1" t="s">
        <v>909</v>
      </c>
      <c r="C345" s="1" t="s">
        <v>101</v>
      </c>
      <c r="D345" s="1" t="s">
        <v>102</v>
      </c>
      <c r="E345" s="1" t="s">
        <v>103</v>
      </c>
      <c r="F345" s="1" t="s">
        <v>151</v>
      </c>
      <c r="G345" s="1"/>
      <c r="H345" s="1" t="s">
        <v>106</v>
      </c>
      <c r="I345" s="1" t="s">
        <v>108</v>
      </c>
      <c r="J345" s="1" t="s">
        <v>109</v>
      </c>
      <c r="K345" s="9">
        <v>-16127.29</v>
      </c>
      <c r="L345" s="1" t="s">
        <v>110</v>
      </c>
      <c r="M345" s="1" t="s">
        <v>15</v>
      </c>
      <c r="N345" s="1" t="s">
        <v>3047</v>
      </c>
      <c r="O345" s="1" t="s">
        <v>151</v>
      </c>
      <c r="P345" s="1">
        <v>0</v>
      </c>
      <c r="Q345" s="1" t="s">
        <v>151</v>
      </c>
      <c r="R345" t="s">
        <v>2823</v>
      </c>
      <c r="S345" t="s">
        <v>3344</v>
      </c>
      <c r="T345" t="s">
        <v>17</v>
      </c>
      <c r="U345" t="s">
        <v>3345</v>
      </c>
    </row>
    <row r="346" spans="1:21">
      <c r="A346" s="1" t="s">
        <v>2733</v>
      </c>
      <c r="B346" s="1" t="s">
        <v>2719</v>
      </c>
      <c r="C346" s="1" t="s">
        <v>42</v>
      </c>
      <c r="D346" s="1" t="s">
        <v>42</v>
      </c>
      <c r="E346" s="1" t="s">
        <v>103</v>
      </c>
      <c r="F346" s="1" t="s">
        <v>2734</v>
      </c>
      <c r="G346" s="1"/>
      <c r="H346" s="1" t="s">
        <v>2379</v>
      </c>
      <c r="I346" s="1" t="s">
        <v>2380</v>
      </c>
      <c r="J346" s="1"/>
      <c r="K346" s="9">
        <v>14032</v>
      </c>
      <c r="L346" s="1" t="s">
        <v>2535</v>
      </c>
      <c r="M346" s="1" t="s">
        <v>15</v>
      </c>
      <c r="N346" s="1" t="s">
        <v>3190</v>
      </c>
      <c r="O346" s="1" t="s">
        <v>2734</v>
      </c>
      <c r="P346" s="1">
        <v>0</v>
      </c>
      <c r="Q346" s="1" t="s">
        <v>2734</v>
      </c>
      <c r="R346" t="s">
        <v>2825</v>
      </c>
      <c r="S346" t="s">
        <v>3190</v>
      </c>
      <c r="T346" t="s">
        <v>17</v>
      </c>
      <c r="U346" t="s">
        <v>17</v>
      </c>
    </row>
    <row r="347" spans="1:21">
      <c r="A347" s="1" t="s">
        <v>869</v>
      </c>
      <c r="B347" s="1" t="s">
        <v>870</v>
      </c>
      <c r="C347" s="1" t="s">
        <v>101</v>
      </c>
      <c r="D347" s="1" t="s">
        <v>124</v>
      </c>
      <c r="E347" s="1" t="s">
        <v>103</v>
      </c>
      <c r="F347" s="1" t="s">
        <v>871</v>
      </c>
      <c r="G347" s="1" t="s">
        <v>872</v>
      </c>
      <c r="H347" s="1" t="s">
        <v>127</v>
      </c>
      <c r="I347" s="1" t="s">
        <v>131</v>
      </c>
      <c r="J347" s="1"/>
      <c r="K347" s="9">
        <v>16755.62</v>
      </c>
      <c r="L347" s="1" t="s">
        <v>132</v>
      </c>
      <c r="M347" s="1" t="s">
        <v>15</v>
      </c>
      <c r="N347" s="1" t="s">
        <v>3061</v>
      </c>
      <c r="O347" s="1" t="s">
        <v>1256</v>
      </c>
      <c r="P347" s="1">
        <v>0</v>
      </c>
      <c r="Q347" s="1" t="s">
        <v>871</v>
      </c>
      <c r="R347" t="s">
        <v>2825</v>
      </c>
      <c r="S347" t="s">
        <v>3346</v>
      </c>
      <c r="T347" t="s">
        <v>3347</v>
      </c>
      <c r="U347" t="s">
        <v>17</v>
      </c>
    </row>
    <row r="348" spans="1:21">
      <c r="A348" s="1" t="s">
        <v>983</v>
      </c>
      <c r="B348" s="1" t="s">
        <v>984</v>
      </c>
      <c r="C348" s="1" t="s">
        <v>101</v>
      </c>
      <c r="D348" s="1" t="s">
        <v>102</v>
      </c>
      <c r="E348" s="1" t="s">
        <v>103</v>
      </c>
      <c r="F348" s="1" t="s">
        <v>395</v>
      </c>
      <c r="G348" s="1"/>
      <c r="H348" s="1" t="s">
        <v>106</v>
      </c>
      <c r="I348" s="1" t="s">
        <v>108</v>
      </c>
      <c r="J348" s="1" t="s">
        <v>109</v>
      </c>
      <c r="K348" s="9">
        <v>-8120</v>
      </c>
      <c r="L348" s="1" t="s">
        <v>110</v>
      </c>
      <c r="M348" s="1" t="s">
        <v>15</v>
      </c>
      <c r="N348" s="1" t="s">
        <v>2837</v>
      </c>
      <c r="O348" s="1" t="s">
        <v>454</v>
      </c>
      <c r="P348" s="1">
        <v>0</v>
      </c>
      <c r="Q348" s="1" t="s">
        <v>395</v>
      </c>
      <c r="R348" t="s">
        <v>2823</v>
      </c>
      <c r="S348" t="s">
        <v>3348</v>
      </c>
      <c r="T348" t="s">
        <v>17</v>
      </c>
      <c r="U348" t="s">
        <v>3349</v>
      </c>
    </row>
    <row r="349" spans="1:21">
      <c r="A349" s="1" t="s">
        <v>1182</v>
      </c>
      <c r="B349" s="1" t="s">
        <v>1183</v>
      </c>
      <c r="C349" s="1" t="s">
        <v>101</v>
      </c>
      <c r="D349" s="1" t="s">
        <v>124</v>
      </c>
      <c r="E349" s="1" t="s">
        <v>103</v>
      </c>
      <c r="F349" s="1" t="s">
        <v>166</v>
      </c>
      <c r="G349" s="1" t="s">
        <v>1184</v>
      </c>
      <c r="H349" s="1" t="s">
        <v>127</v>
      </c>
      <c r="I349" s="1" t="s">
        <v>131</v>
      </c>
      <c r="J349" s="1"/>
      <c r="K349" s="9">
        <v>15917.84</v>
      </c>
      <c r="L349" s="1" t="s">
        <v>132</v>
      </c>
      <c r="M349" s="1" t="s">
        <v>15</v>
      </c>
      <c r="N349" s="1" t="s">
        <v>2988</v>
      </c>
      <c r="O349" s="1" t="s">
        <v>151</v>
      </c>
      <c r="P349" s="1">
        <v>0</v>
      </c>
      <c r="Q349" s="1" t="s">
        <v>166</v>
      </c>
      <c r="R349" t="s">
        <v>2825</v>
      </c>
      <c r="S349" t="s">
        <v>3350</v>
      </c>
      <c r="T349" t="s">
        <v>3351</v>
      </c>
      <c r="U349" t="s">
        <v>17</v>
      </c>
    </row>
    <row r="350" spans="1:21">
      <c r="A350" s="1" t="s">
        <v>1065</v>
      </c>
      <c r="B350" s="1" t="s">
        <v>1066</v>
      </c>
      <c r="C350" s="1" t="s">
        <v>38</v>
      </c>
      <c r="D350" s="1" t="s">
        <v>1067</v>
      </c>
      <c r="E350" s="1" t="s">
        <v>103</v>
      </c>
      <c r="F350" s="1" t="s">
        <v>1068</v>
      </c>
      <c r="G350" s="1"/>
      <c r="H350" s="1" t="s">
        <v>106</v>
      </c>
      <c r="I350" s="1" t="s">
        <v>108</v>
      </c>
      <c r="J350" s="1"/>
      <c r="K350" s="9">
        <v>-188950.58</v>
      </c>
      <c r="L350" s="1" t="s">
        <v>1069</v>
      </c>
      <c r="M350" s="1" t="s">
        <v>15</v>
      </c>
      <c r="N350" s="1" t="s">
        <v>3185</v>
      </c>
      <c r="O350" s="1" t="s">
        <v>2259</v>
      </c>
      <c r="P350" s="1">
        <v>0</v>
      </c>
      <c r="Q350" s="1" t="s">
        <v>2259</v>
      </c>
      <c r="R350" t="s">
        <v>2823</v>
      </c>
      <c r="S350" t="s">
        <v>3185</v>
      </c>
      <c r="T350" t="s">
        <v>17</v>
      </c>
      <c r="U350" t="s">
        <v>3352</v>
      </c>
    </row>
    <row r="351" spans="1:21">
      <c r="A351" s="1" t="s">
        <v>184</v>
      </c>
      <c r="B351" s="1" t="s">
        <v>185</v>
      </c>
      <c r="C351" s="1" t="s">
        <v>101</v>
      </c>
      <c r="D351" s="1" t="s">
        <v>124</v>
      </c>
      <c r="E351" s="1" t="s">
        <v>103</v>
      </c>
      <c r="F351" s="1" t="s">
        <v>186</v>
      </c>
      <c r="G351" s="1" t="s">
        <v>187</v>
      </c>
      <c r="H351" s="1" t="s">
        <v>127</v>
      </c>
      <c r="I351" s="1" t="s">
        <v>131</v>
      </c>
      <c r="J351" s="1"/>
      <c r="K351" s="9">
        <v>14451.72</v>
      </c>
      <c r="L351" s="1" t="s">
        <v>132</v>
      </c>
      <c r="M351" s="1" t="s">
        <v>15</v>
      </c>
      <c r="N351" s="1" t="s">
        <v>3028</v>
      </c>
      <c r="O351" s="1" t="s">
        <v>2607</v>
      </c>
      <c r="P351" s="1">
        <v>0</v>
      </c>
      <c r="Q351" s="1" t="s">
        <v>186</v>
      </c>
      <c r="R351" t="s">
        <v>2825</v>
      </c>
      <c r="S351" t="s">
        <v>3353</v>
      </c>
      <c r="T351" t="s">
        <v>3354</v>
      </c>
      <c r="U351" t="s">
        <v>17</v>
      </c>
    </row>
    <row r="352" spans="1:21">
      <c r="A352" s="1" t="s">
        <v>1657</v>
      </c>
      <c r="B352" s="1" t="s">
        <v>1658</v>
      </c>
      <c r="C352" s="1" t="s">
        <v>40</v>
      </c>
      <c r="D352" s="1" t="s">
        <v>124</v>
      </c>
      <c r="E352" s="1" t="s">
        <v>103</v>
      </c>
      <c r="F352" s="1" t="s">
        <v>443</v>
      </c>
      <c r="G352" s="1" t="s">
        <v>1659</v>
      </c>
      <c r="H352" s="1" t="s">
        <v>127</v>
      </c>
      <c r="I352" s="1" t="s">
        <v>131</v>
      </c>
      <c r="J352" s="1"/>
      <c r="K352" s="9">
        <v>14870.62</v>
      </c>
      <c r="L352" s="1" t="s">
        <v>146</v>
      </c>
      <c r="M352" s="1" t="s">
        <v>15</v>
      </c>
      <c r="N352" s="1" t="s">
        <v>2827</v>
      </c>
      <c r="O352" s="1" t="s">
        <v>258</v>
      </c>
      <c r="P352" s="1">
        <v>0</v>
      </c>
      <c r="Q352" s="1" t="s">
        <v>443</v>
      </c>
      <c r="R352" t="s">
        <v>2825</v>
      </c>
      <c r="S352" t="s">
        <v>3355</v>
      </c>
      <c r="T352" t="s">
        <v>3356</v>
      </c>
      <c r="U352" t="s">
        <v>17</v>
      </c>
    </row>
    <row r="353" spans="1:21">
      <c r="A353" s="1" t="s">
        <v>623</v>
      </c>
      <c r="B353" s="1" t="s">
        <v>624</v>
      </c>
      <c r="C353" s="1" t="s">
        <v>101</v>
      </c>
      <c r="D353" s="1" t="s">
        <v>124</v>
      </c>
      <c r="E353" s="1" t="s">
        <v>103</v>
      </c>
      <c r="F353" s="1" t="s">
        <v>625</v>
      </c>
      <c r="G353" s="1" t="s">
        <v>626</v>
      </c>
      <c r="H353" s="1" t="s">
        <v>127</v>
      </c>
      <c r="I353" s="1" t="s">
        <v>131</v>
      </c>
      <c r="J353" s="1"/>
      <c r="K353" s="9">
        <v>15708.4</v>
      </c>
      <c r="L353" s="1" t="s">
        <v>132</v>
      </c>
      <c r="M353" s="1" t="s">
        <v>15</v>
      </c>
      <c r="N353" s="1" t="s">
        <v>2988</v>
      </c>
      <c r="O353" s="1" t="s">
        <v>151</v>
      </c>
      <c r="P353" s="1">
        <v>0</v>
      </c>
      <c r="Q353" s="1" t="s">
        <v>625</v>
      </c>
      <c r="R353" t="s">
        <v>2825</v>
      </c>
      <c r="S353" t="s">
        <v>3357</v>
      </c>
      <c r="T353" t="s">
        <v>3358</v>
      </c>
      <c r="U353" t="s">
        <v>17</v>
      </c>
    </row>
    <row r="354" spans="1:21">
      <c r="A354" s="1" t="s">
        <v>1462</v>
      </c>
      <c r="B354" s="1" t="s">
        <v>1463</v>
      </c>
      <c r="C354" s="1" t="s">
        <v>40</v>
      </c>
      <c r="D354" s="1" t="s">
        <v>124</v>
      </c>
      <c r="E354" s="1" t="s">
        <v>103</v>
      </c>
      <c r="F354" s="1" t="s">
        <v>1464</v>
      </c>
      <c r="G354" s="1" t="s">
        <v>1465</v>
      </c>
      <c r="H354" s="1" t="s">
        <v>127</v>
      </c>
      <c r="I354" s="1" t="s">
        <v>131</v>
      </c>
      <c r="J354" s="1"/>
      <c r="K354" s="9">
        <v>13613.94</v>
      </c>
      <c r="L354" s="1" t="s">
        <v>146</v>
      </c>
      <c r="M354" s="1" t="s">
        <v>15</v>
      </c>
      <c r="N354" s="1" t="s">
        <v>3135</v>
      </c>
      <c r="O354" s="1" t="s">
        <v>190</v>
      </c>
      <c r="P354" s="1">
        <v>0</v>
      </c>
      <c r="Q354" s="1" t="s">
        <v>1464</v>
      </c>
      <c r="R354" t="s">
        <v>2825</v>
      </c>
      <c r="S354" t="s">
        <v>3359</v>
      </c>
      <c r="T354" t="s">
        <v>3360</v>
      </c>
      <c r="U354" t="s">
        <v>17</v>
      </c>
    </row>
    <row r="355" spans="1:21">
      <c r="A355" s="1" t="s">
        <v>202</v>
      </c>
      <c r="B355" s="1" t="s">
        <v>203</v>
      </c>
      <c r="C355" s="1" t="s">
        <v>101</v>
      </c>
      <c r="D355" s="1" t="s">
        <v>102</v>
      </c>
      <c r="E355" s="1" t="s">
        <v>103</v>
      </c>
      <c r="F355" s="1" t="s">
        <v>204</v>
      </c>
      <c r="G355" s="1"/>
      <c r="H355" s="1" t="s">
        <v>106</v>
      </c>
      <c r="I355" s="1" t="s">
        <v>108</v>
      </c>
      <c r="J355" s="1" t="s">
        <v>109</v>
      </c>
      <c r="K355" s="9">
        <v>-16755.62</v>
      </c>
      <c r="L355" s="1" t="s">
        <v>110</v>
      </c>
      <c r="M355" s="1" t="s">
        <v>15</v>
      </c>
      <c r="N355" s="1" t="s">
        <v>3102</v>
      </c>
      <c r="O355" s="1" t="s">
        <v>850</v>
      </c>
      <c r="P355" s="1">
        <v>0</v>
      </c>
      <c r="Q355" s="1" t="s">
        <v>204</v>
      </c>
      <c r="R355" t="s">
        <v>2823</v>
      </c>
      <c r="S355" t="s">
        <v>3361</v>
      </c>
      <c r="T355" t="s">
        <v>17</v>
      </c>
      <c r="U355" t="s">
        <v>3362</v>
      </c>
    </row>
    <row r="356" spans="1:21">
      <c r="A356" s="1" t="s">
        <v>2735</v>
      </c>
      <c r="B356" s="1" t="s">
        <v>2668</v>
      </c>
      <c r="C356" s="1" t="s">
        <v>42</v>
      </c>
      <c r="D356" s="1" t="s">
        <v>42</v>
      </c>
      <c r="E356" s="1" t="s">
        <v>103</v>
      </c>
      <c r="F356" s="1" t="s">
        <v>958</v>
      </c>
      <c r="G356" s="1" t="s">
        <v>2669</v>
      </c>
      <c r="H356" s="1" t="s">
        <v>127</v>
      </c>
      <c r="I356" s="1" t="s">
        <v>131</v>
      </c>
      <c r="J356" s="1"/>
      <c r="K356" s="9">
        <v>123900</v>
      </c>
      <c r="L356" s="1" t="s">
        <v>2670</v>
      </c>
      <c r="M356" s="1" t="s">
        <v>15</v>
      </c>
      <c r="N356" s="1" t="s">
        <v>3200</v>
      </c>
      <c r="O356" s="1" t="s">
        <v>958</v>
      </c>
      <c r="P356" s="1">
        <v>0</v>
      </c>
      <c r="Q356" s="1" t="s">
        <v>958</v>
      </c>
      <c r="R356" t="s">
        <v>2815</v>
      </c>
      <c r="S356" t="s">
        <v>3363</v>
      </c>
      <c r="T356" t="s">
        <v>3364</v>
      </c>
      <c r="U356" t="s">
        <v>17</v>
      </c>
    </row>
    <row r="357" spans="1:21">
      <c r="A357" s="1" t="s">
        <v>2736</v>
      </c>
      <c r="B357" s="1" t="s">
        <v>2737</v>
      </c>
      <c r="C357" s="1" t="s">
        <v>42</v>
      </c>
      <c r="D357" s="1" t="s">
        <v>42</v>
      </c>
      <c r="E357" s="1" t="s">
        <v>103</v>
      </c>
      <c r="F357" s="1" t="s">
        <v>2673</v>
      </c>
      <c r="G357" s="1"/>
      <c r="H357" s="1" t="s">
        <v>2379</v>
      </c>
      <c r="I357" s="1" t="s">
        <v>2380</v>
      </c>
      <c r="J357" s="1"/>
      <c r="K357" s="9">
        <v>16336.73</v>
      </c>
      <c r="L357" s="1" t="s">
        <v>2535</v>
      </c>
      <c r="M357" s="1" t="s">
        <v>15</v>
      </c>
      <c r="N357" s="1" t="s">
        <v>3211</v>
      </c>
      <c r="O357" s="1" t="s">
        <v>2673</v>
      </c>
      <c r="P357" s="1">
        <v>0</v>
      </c>
      <c r="Q357" s="1" t="s">
        <v>2673</v>
      </c>
      <c r="R357" t="s">
        <v>2825</v>
      </c>
      <c r="S357" t="s">
        <v>3211</v>
      </c>
      <c r="T357" t="s">
        <v>17</v>
      </c>
      <c r="U357" t="s">
        <v>17</v>
      </c>
    </row>
    <row r="358" spans="1:21">
      <c r="A358" s="1" t="s">
        <v>1920</v>
      </c>
      <c r="B358" s="1" t="s">
        <v>1921</v>
      </c>
      <c r="C358" s="1" t="s">
        <v>101</v>
      </c>
      <c r="D358" s="1" t="s">
        <v>124</v>
      </c>
      <c r="E358" s="1" t="s">
        <v>103</v>
      </c>
      <c r="F358" s="1" t="s">
        <v>1922</v>
      </c>
      <c r="G358" s="1" t="s">
        <v>1923</v>
      </c>
      <c r="H358" s="1" t="s">
        <v>127</v>
      </c>
      <c r="I358" s="1" t="s">
        <v>131</v>
      </c>
      <c r="J358" s="1"/>
      <c r="K358" s="9">
        <v>15708.4</v>
      </c>
      <c r="L358" s="1" t="s">
        <v>132</v>
      </c>
      <c r="M358" s="1" t="s">
        <v>15</v>
      </c>
      <c r="N358" s="1" t="s">
        <v>2948</v>
      </c>
      <c r="O358" s="1" t="s">
        <v>958</v>
      </c>
      <c r="P358" s="1">
        <v>0</v>
      </c>
      <c r="Q358" s="1" t="s">
        <v>1922</v>
      </c>
      <c r="R358" t="s">
        <v>2825</v>
      </c>
      <c r="S358" t="s">
        <v>3365</v>
      </c>
      <c r="T358" t="s">
        <v>3366</v>
      </c>
      <c r="U358" t="s">
        <v>17</v>
      </c>
    </row>
    <row r="359" spans="1:21">
      <c r="A359" s="1" t="s">
        <v>2163</v>
      </c>
      <c r="B359" s="1" t="s">
        <v>2164</v>
      </c>
      <c r="C359" s="1" t="s">
        <v>40</v>
      </c>
      <c r="D359" s="1" t="s">
        <v>124</v>
      </c>
      <c r="E359" s="1" t="s">
        <v>103</v>
      </c>
      <c r="F359" s="1" t="s">
        <v>726</v>
      </c>
      <c r="G359" s="1" t="s">
        <v>2165</v>
      </c>
      <c r="H359" s="1" t="s">
        <v>127</v>
      </c>
      <c r="I359" s="1" t="s">
        <v>131</v>
      </c>
      <c r="J359" s="1"/>
      <c r="K359" s="9">
        <v>18431.189999999999</v>
      </c>
      <c r="L359" s="1" t="s">
        <v>146</v>
      </c>
      <c r="M359" s="1" t="s">
        <v>15</v>
      </c>
      <c r="N359" s="1" t="s">
        <v>3069</v>
      </c>
      <c r="O359" s="1" t="s">
        <v>1901</v>
      </c>
      <c r="P359" s="1">
        <v>0</v>
      </c>
      <c r="Q359" s="1" t="s">
        <v>726</v>
      </c>
      <c r="R359" t="s">
        <v>2825</v>
      </c>
      <c r="S359" t="s">
        <v>3367</v>
      </c>
      <c r="T359" t="s">
        <v>3368</v>
      </c>
      <c r="U359" t="s">
        <v>17</v>
      </c>
    </row>
    <row r="360" spans="1:21">
      <c r="A360" s="1" t="s">
        <v>1885</v>
      </c>
      <c r="B360" s="1" t="s">
        <v>1886</v>
      </c>
      <c r="C360" s="1" t="s">
        <v>101</v>
      </c>
      <c r="D360" s="1" t="s">
        <v>124</v>
      </c>
      <c r="E360" s="1" t="s">
        <v>103</v>
      </c>
      <c r="F360" s="1" t="s">
        <v>1889</v>
      </c>
      <c r="G360" s="1" t="s">
        <v>1887</v>
      </c>
      <c r="H360" s="1" t="s">
        <v>127</v>
      </c>
      <c r="I360" s="1" t="s">
        <v>131</v>
      </c>
      <c r="J360" s="1"/>
      <c r="K360" s="9">
        <v>14661.16</v>
      </c>
      <c r="L360" s="1" t="s">
        <v>132</v>
      </c>
      <c r="M360" s="1" t="s">
        <v>15</v>
      </c>
      <c r="N360" s="1" t="s">
        <v>2832</v>
      </c>
      <c r="O360" s="1" t="s">
        <v>298</v>
      </c>
      <c r="P360" s="1">
        <v>0</v>
      </c>
      <c r="Q360" s="1" t="s">
        <v>1889</v>
      </c>
      <c r="R360" t="s">
        <v>2825</v>
      </c>
      <c r="S360" t="s">
        <v>3369</v>
      </c>
      <c r="T360" t="s">
        <v>3370</v>
      </c>
      <c r="U360" t="s">
        <v>17</v>
      </c>
    </row>
    <row r="361" spans="1:21">
      <c r="A361" s="1" t="s">
        <v>1722</v>
      </c>
      <c r="B361" s="1" t="s">
        <v>1723</v>
      </c>
      <c r="C361" s="1" t="s">
        <v>40</v>
      </c>
      <c r="D361" s="1" t="s">
        <v>124</v>
      </c>
      <c r="E361" s="1" t="s">
        <v>103</v>
      </c>
      <c r="F361" s="1" t="s">
        <v>534</v>
      </c>
      <c r="G361" s="1" t="s">
        <v>1724</v>
      </c>
      <c r="H361" s="1" t="s">
        <v>127</v>
      </c>
      <c r="I361" s="1" t="s">
        <v>131</v>
      </c>
      <c r="J361" s="1"/>
      <c r="K361" s="9">
        <v>18012.3</v>
      </c>
      <c r="L361" s="1" t="s">
        <v>146</v>
      </c>
      <c r="M361" s="1" t="s">
        <v>15</v>
      </c>
      <c r="N361" s="1" t="s">
        <v>2884</v>
      </c>
      <c r="O361" s="1" t="s">
        <v>921</v>
      </c>
      <c r="P361" s="1">
        <v>0</v>
      </c>
      <c r="Q361" s="1" t="s">
        <v>534</v>
      </c>
      <c r="R361" t="s">
        <v>2825</v>
      </c>
      <c r="S361" t="s">
        <v>3371</v>
      </c>
      <c r="T361" t="s">
        <v>3372</v>
      </c>
      <c r="U361" t="s">
        <v>17</v>
      </c>
    </row>
    <row r="362" spans="1:21">
      <c r="A362" s="1" t="s">
        <v>2738</v>
      </c>
      <c r="B362" s="1" t="s">
        <v>2739</v>
      </c>
      <c r="C362" s="1" t="s">
        <v>42</v>
      </c>
      <c r="D362" s="1" t="s">
        <v>42</v>
      </c>
      <c r="E362" s="1" t="s">
        <v>103</v>
      </c>
      <c r="F362" s="1" t="s">
        <v>680</v>
      </c>
      <c r="G362" s="1"/>
      <c r="H362" s="1" t="s">
        <v>2379</v>
      </c>
      <c r="I362" s="1" t="s">
        <v>2380</v>
      </c>
      <c r="J362" s="1"/>
      <c r="K362" s="9">
        <v>17803</v>
      </c>
      <c r="L362" s="1" t="s">
        <v>2535</v>
      </c>
      <c r="M362" s="1" t="s">
        <v>15</v>
      </c>
      <c r="N362" s="1" t="s">
        <v>2960</v>
      </c>
      <c r="O362" s="1" t="s">
        <v>680</v>
      </c>
      <c r="P362" s="1">
        <v>0</v>
      </c>
      <c r="Q362" s="1" t="s">
        <v>680</v>
      </c>
      <c r="R362" t="s">
        <v>2825</v>
      </c>
      <c r="S362" t="s">
        <v>2960</v>
      </c>
      <c r="T362" t="s">
        <v>17</v>
      </c>
      <c r="U362" t="s">
        <v>17</v>
      </c>
    </row>
    <row r="363" spans="1:21">
      <c r="A363" s="1" t="s">
        <v>2740</v>
      </c>
      <c r="B363" s="1" t="s">
        <v>2741</v>
      </c>
      <c r="C363" s="1" t="s">
        <v>42</v>
      </c>
      <c r="D363" s="1" t="s">
        <v>42</v>
      </c>
      <c r="E363" s="1" t="s">
        <v>103</v>
      </c>
      <c r="F363" s="1" t="s">
        <v>2734</v>
      </c>
      <c r="G363" s="1"/>
      <c r="H363" s="1" t="s">
        <v>2379</v>
      </c>
      <c r="I363" s="1" t="s">
        <v>2380</v>
      </c>
      <c r="J363" s="1"/>
      <c r="K363" s="9">
        <v>-14032.83</v>
      </c>
      <c r="L363" s="1" t="s">
        <v>2535</v>
      </c>
      <c r="M363" s="1" t="s">
        <v>15</v>
      </c>
      <c r="N363" s="1" t="s">
        <v>3190</v>
      </c>
      <c r="O363" s="1" t="s">
        <v>2734</v>
      </c>
      <c r="P363" s="1">
        <v>0</v>
      </c>
      <c r="Q363" s="1" t="s">
        <v>2734</v>
      </c>
      <c r="R363" t="s">
        <v>2825</v>
      </c>
      <c r="S363" t="s">
        <v>3190</v>
      </c>
      <c r="T363" t="s">
        <v>17</v>
      </c>
      <c r="U363" t="s">
        <v>17</v>
      </c>
    </row>
    <row r="364" spans="1:21">
      <c r="A364" s="1" t="s">
        <v>505</v>
      </c>
      <c r="B364" s="1" t="s">
        <v>506</v>
      </c>
      <c r="C364" s="1" t="s">
        <v>40</v>
      </c>
      <c r="D364" s="1" t="s">
        <v>124</v>
      </c>
      <c r="E364" s="1" t="s">
        <v>103</v>
      </c>
      <c r="F364" s="1" t="s">
        <v>507</v>
      </c>
      <c r="G364" s="1" t="s">
        <v>508</v>
      </c>
      <c r="H364" s="1" t="s">
        <v>127</v>
      </c>
      <c r="I364" s="1" t="s">
        <v>131</v>
      </c>
      <c r="J364" s="1"/>
      <c r="K364" s="9">
        <v>14032.83</v>
      </c>
      <c r="L364" s="1" t="s">
        <v>146</v>
      </c>
      <c r="M364" s="1" t="s">
        <v>15</v>
      </c>
      <c r="N364" s="1" t="s">
        <v>3184</v>
      </c>
      <c r="O364" s="1" t="s">
        <v>290</v>
      </c>
      <c r="P364" s="1">
        <v>0</v>
      </c>
      <c r="Q364" s="1" t="s">
        <v>507</v>
      </c>
      <c r="R364" t="s">
        <v>2825</v>
      </c>
      <c r="S364" t="s">
        <v>3373</v>
      </c>
      <c r="T364" t="s">
        <v>3374</v>
      </c>
      <c r="U364" t="s">
        <v>17</v>
      </c>
    </row>
    <row r="365" spans="1:21">
      <c r="A365" s="1" t="s">
        <v>1276</v>
      </c>
      <c r="B365" s="1" t="s">
        <v>1277</v>
      </c>
      <c r="C365" s="1" t="s">
        <v>101</v>
      </c>
      <c r="D365" s="1" t="s">
        <v>124</v>
      </c>
      <c r="E365" s="1" t="s">
        <v>103</v>
      </c>
      <c r="F365" s="1" t="s">
        <v>1278</v>
      </c>
      <c r="G365" s="1" t="s">
        <v>1279</v>
      </c>
      <c r="H365" s="1" t="s">
        <v>127</v>
      </c>
      <c r="I365" s="1" t="s">
        <v>131</v>
      </c>
      <c r="J365" s="1"/>
      <c r="K365" s="9">
        <v>9006.15</v>
      </c>
      <c r="L365" s="1" t="s">
        <v>132</v>
      </c>
      <c r="M365" s="1" t="s">
        <v>15</v>
      </c>
      <c r="N365" s="1" t="s">
        <v>2842</v>
      </c>
      <c r="O365" s="1" t="s">
        <v>378</v>
      </c>
      <c r="P365" s="1">
        <v>0</v>
      </c>
      <c r="Q365" s="1" t="s">
        <v>1278</v>
      </c>
      <c r="R365" t="s">
        <v>2825</v>
      </c>
      <c r="S365" t="s">
        <v>3375</v>
      </c>
      <c r="T365" t="s">
        <v>3376</v>
      </c>
      <c r="U365" t="s">
        <v>17</v>
      </c>
    </row>
    <row r="366" spans="1:21">
      <c r="A366" s="1" t="s">
        <v>1589</v>
      </c>
      <c r="B366" s="1" t="s">
        <v>1584</v>
      </c>
      <c r="C366" s="1" t="s">
        <v>101</v>
      </c>
      <c r="D366" s="1" t="s">
        <v>483</v>
      </c>
      <c r="E366" s="1" t="s">
        <v>103</v>
      </c>
      <c r="F366" s="1" t="s">
        <v>604</v>
      </c>
      <c r="G366" s="1"/>
      <c r="H366" s="1" t="s">
        <v>106</v>
      </c>
      <c r="I366" s="1" t="s">
        <v>108</v>
      </c>
      <c r="J366" s="1" t="s">
        <v>109</v>
      </c>
      <c r="K366" s="9">
        <v>-38279.5</v>
      </c>
      <c r="L366" s="1" t="s">
        <v>486</v>
      </c>
      <c r="M366" s="1" t="s">
        <v>15</v>
      </c>
      <c r="N366" s="1" t="s">
        <v>2824</v>
      </c>
      <c r="O366" s="1" t="s">
        <v>752</v>
      </c>
      <c r="P366" s="1">
        <v>0</v>
      </c>
      <c r="Q366" s="1" t="s">
        <v>604</v>
      </c>
      <c r="R366" t="s">
        <v>2823</v>
      </c>
      <c r="S366" t="s">
        <v>3377</v>
      </c>
      <c r="T366" t="s">
        <v>17</v>
      </c>
      <c r="U366" t="s">
        <v>3378</v>
      </c>
    </row>
    <row r="367" spans="1:21">
      <c r="A367" s="1" t="s">
        <v>1669</v>
      </c>
      <c r="B367" s="1" t="s">
        <v>1670</v>
      </c>
      <c r="C367" s="1" t="s">
        <v>101</v>
      </c>
      <c r="D367" s="1" t="s">
        <v>124</v>
      </c>
      <c r="E367" s="1" t="s">
        <v>103</v>
      </c>
      <c r="F367" s="1" t="s">
        <v>1672</v>
      </c>
      <c r="G367" s="1" t="s">
        <v>1671</v>
      </c>
      <c r="H367" s="1" t="s">
        <v>127</v>
      </c>
      <c r="I367" s="1" t="s">
        <v>131</v>
      </c>
      <c r="J367" s="1"/>
      <c r="K367" s="9">
        <v>18640.62</v>
      </c>
      <c r="L367" s="1" t="s">
        <v>132</v>
      </c>
      <c r="M367" s="1" t="s">
        <v>15</v>
      </c>
      <c r="N367" s="1" t="s">
        <v>2830</v>
      </c>
      <c r="O367" s="1" t="s">
        <v>1986</v>
      </c>
      <c r="P367" s="1">
        <v>0</v>
      </c>
      <c r="Q367" s="1" t="s">
        <v>1672</v>
      </c>
      <c r="R367" t="s">
        <v>2825</v>
      </c>
      <c r="S367" t="s">
        <v>3379</v>
      </c>
      <c r="T367" t="s">
        <v>3380</v>
      </c>
      <c r="U367" t="s">
        <v>17</v>
      </c>
    </row>
    <row r="368" spans="1:21">
      <c r="A368" s="1" t="s">
        <v>1009</v>
      </c>
      <c r="B368" s="1" t="s">
        <v>1010</v>
      </c>
      <c r="C368" s="1" t="s">
        <v>101</v>
      </c>
      <c r="D368" s="1" t="s">
        <v>124</v>
      </c>
      <c r="E368" s="1" t="s">
        <v>103</v>
      </c>
      <c r="F368" s="1" t="s">
        <v>1011</v>
      </c>
      <c r="G368" s="1" t="s">
        <v>1012</v>
      </c>
      <c r="H368" s="1" t="s">
        <v>127</v>
      </c>
      <c r="I368" s="1" t="s">
        <v>131</v>
      </c>
      <c r="J368" s="1"/>
      <c r="K368" s="9">
        <v>16127.29</v>
      </c>
      <c r="L368" s="1" t="s">
        <v>132</v>
      </c>
      <c r="M368" s="1" t="s">
        <v>15</v>
      </c>
      <c r="N368" s="1" t="s">
        <v>3061</v>
      </c>
      <c r="O368" s="1" t="s">
        <v>1256</v>
      </c>
      <c r="P368" s="1">
        <v>0</v>
      </c>
      <c r="Q368" s="1" t="s">
        <v>1011</v>
      </c>
      <c r="R368" t="s">
        <v>2825</v>
      </c>
      <c r="S368" t="s">
        <v>3381</v>
      </c>
      <c r="T368" t="s">
        <v>3382</v>
      </c>
      <c r="U368" t="s">
        <v>17</v>
      </c>
    </row>
    <row r="369" spans="1:21">
      <c r="A369" s="1" t="s">
        <v>608</v>
      </c>
      <c r="B369" s="1" t="s">
        <v>609</v>
      </c>
      <c r="C369" s="1" t="s">
        <v>40</v>
      </c>
      <c r="D369" s="1" t="s">
        <v>124</v>
      </c>
      <c r="E369" s="1" t="s">
        <v>103</v>
      </c>
      <c r="F369" s="1" t="s">
        <v>610</v>
      </c>
      <c r="G369" s="1" t="s">
        <v>611</v>
      </c>
      <c r="H369" s="1" t="s">
        <v>127</v>
      </c>
      <c r="I369" s="1" t="s">
        <v>131</v>
      </c>
      <c r="J369" s="1"/>
      <c r="K369" s="9">
        <v>15708.4</v>
      </c>
      <c r="L369" s="1" t="s">
        <v>146</v>
      </c>
      <c r="M369" s="1" t="s">
        <v>15</v>
      </c>
      <c r="N369" s="1" t="s">
        <v>2965</v>
      </c>
      <c r="O369" s="1" t="s">
        <v>265</v>
      </c>
      <c r="P369" s="1">
        <v>0</v>
      </c>
      <c r="Q369" s="1" t="s">
        <v>610</v>
      </c>
      <c r="R369" t="s">
        <v>2825</v>
      </c>
      <c r="S369" t="s">
        <v>3383</v>
      </c>
      <c r="T369" t="s">
        <v>3384</v>
      </c>
      <c r="U369" t="s">
        <v>17</v>
      </c>
    </row>
    <row r="370" spans="1:21">
      <c r="A370" s="1" t="s">
        <v>1926</v>
      </c>
      <c r="B370" s="1" t="s">
        <v>1927</v>
      </c>
      <c r="C370" s="1" t="s">
        <v>40</v>
      </c>
      <c r="D370" s="1" t="s">
        <v>124</v>
      </c>
      <c r="E370" s="1" t="s">
        <v>103</v>
      </c>
      <c r="F370" s="1" t="s">
        <v>773</v>
      </c>
      <c r="G370" s="1" t="s">
        <v>1928</v>
      </c>
      <c r="H370" s="1" t="s">
        <v>127</v>
      </c>
      <c r="I370" s="1" t="s">
        <v>131</v>
      </c>
      <c r="J370" s="1"/>
      <c r="K370" s="9">
        <v>20735.080000000002</v>
      </c>
      <c r="L370" s="1" t="s">
        <v>146</v>
      </c>
      <c r="M370" s="1" t="s">
        <v>15</v>
      </c>
      <c r="N370" s="1" t="s">
        <v>2851</v>
      </c>
      <c r="O370" s="1" t="s">
        <v>1464</v>
      </c>
      <c r="P370" s="1">
        <v>0</v>
      </c>
      <c r="Q370" s="1" t="s">
        <v>773</v>
      </c>
      <c r="R370" t="s">
        <v>2825</v>
      </c>
      <c r="S370" t="s">
        <v>3385</v>
      </c>
      <c r="T370" t="s">
        <v>3386</v>
      </c>
      <c r="U370" t="s">
        <v>17</v>
      </c>
    </row>
    <row r="371" spans="1:21">
      <c r="A371" s="1" t="s">
        <v>2742</v>
      </c>
      <c r="B371" s="1" t="s">
        <v>2662</v>
      </c>
      <c r="C371" s="1" t="s">
        <v>42</v>
      </c>
      <c r="D371" s="1" t="s">
        <v>42</v>
      </c>
      <c r="E371" s="1" t="s">
        <v>103</v>
      </c>
      <c r="F371" s="1" t="s">
        <v>265</v>
      </c>
      <c r="G371" s="1"/>
      <c r="H371" s="1" t="s">
        <v>2379</v>
      </c>
      <c r="I371" s="1" t="s">
        <v>2380</v>
      </c>
      <c r="J371" s="1"/>
      <c r="K371" s="9">
        <v>31206</v>
      </c>
      <c r="L371" s="1" t="s">
        <v>2535</v>
      </c>
      <c r="M371" s="1" t="s">
        <v>15</v>
      </c>
      <c r="N371" s="1" t="s">
        <v>2965</v>
      </c>
      <c r="O371" s="1" t="s">
        <v>265</v>
      </c>
      <c r="P371" s="1">
        <v>0</v>
      </c>
      <c r="Q371" s="1" t="s">
        <v>265</v>
      </c>
      <c r="R371" t="s">
        <v>2823</v>
      </c>
      <c r="S371" t="s">
        <v>2965</v>
      </c>
      <c r="T371" t="s">
        <v>17</v>
      </c>
      <c r="U371" t="s">
        <v>17</v>
      </c>
    </row>
    <row r="372" spans="1:21">
      <c r="A372" s="1" t="s">
        <v>1856</v>
      </c>
      <c r="B372" s="1" t="s">
        <v>1857</v>
      </c>
      <c r="C372" s="1" t="s">
        <v>101</v>
      </c>
      <c r="D372" s="1" t="s">
        <v>102</v>
      </c>
      <c r="E372" s="1" t="s">
        <v>103</v>
      </c>
      <c r="F372" s="1" t="s">
        <v>320</v>
      </c>
      <c r="G372" s="1"/>
      <c r="H372" s="1" t="s">
        <v>106</v>
      </c>
      <c r="I372" s="1" t="s">
        <v>108</v>
      </c>
      <c r="J372" s="1" t="s">
        <v>109</v>
      </c>
      <c r="K372" s="9">
        <v>-14032</v>
      </c>
      <c r="L372" s="1" t="s">
        <v>110</v>
      </c>
      <c r="M372" s="1" t="s">
        <v>15</v>
      </c>
      <c r="N372" s="1" t="s">
        <v>3084</v>
      </c>
      <c r="O372" s="1" t="s">
        <v>320</v>
      </c>
      <c r="P372" s="1">
        <v>0</v>
      </c>
      <c r="Q372" s="1" t="s">
        <v>320</v>
      </c>
      <c r="R372" t="s">
        <v>2823</v>
      </c>
      <c r="S372" t="s">
        <v>3387</v>
      </c>
      <c r="T372" t="s">
        <v>17</v>
      </c>
      <c r="U372" t="s">
        <v>3388</v>
      </c>
    </row>
    <row r="373" spans="1:21">
      <c r="A373" s="1" t="s">
        <v>1556</v>
      </c>
      <c r="B373" s="1" t="s">
        <v>1557</v>
      </c>
      <c r="C373" s="1" t="s">
        <v>101</v>
      </c>
      <c r="D373" s="1" t="s">
        <v>124</v>
      </c>
      <c r="E373" s="1" t="s">
        <v>103</v>
      </c>
      <c r="F373" s="1" t="s">
        <v>1558</v>
      </c>
      <c r="G373" s="1" t="s">
        <v>319</v>
      </c>
      <c r="H373" s="1" t="s">
        <v>127</v>
      </c>
      <c r="I373" s="1" t="s">
        <v>131</v>
      </c>
      <c r="J373" s="1"/>
      <c r="K373" s="9">
        <v>17174.509999999998</v>
      </c>
      <c r="L373" s="1" t="s">
        <v>132</v>
      </c>
      <c r="M373" s="1" t="s">
        <v>15</v>
      </c>
      <c r="N373" s="1" t="s">
        <v>3170</v>
      </c>
      <c r="O373" s="1" t="s">
        <v>1819</v>
      </c>
      <c r="P373" s="1">
        <v>0</v>
      </c>
      <c r="Q373" s="1" t="s">
        <v>1558</v>
      </c>
      <c r="R373" t="s">
        <v>2825</v>
      </c>
      <c r="S373" t="s">
        <v>3389</v>
      </c>
      <c r="T373" t="s">
        <v>3390</v>
      </c>
      <c r="U373" t="s">
        <v>17</v>
      </c>
    </row>
    <row r="374" spans="1:21">
      <c r="A374" s="1" t="s">
        <v>1781</v>
      </c>
      <c r="B374" s="1" t="s">
        <v>1782</v>
      </c>
      <c r="C374" s="1" t="s">
        <v>101</v>
      </c>
      <c r="D374" s="1" t="s">
        <v>102</v>
      </c>
      <c r="E374" s="1" t="s">
        <v>103</v>
      </c>
      <c r="F374" s="1" t="s">
        <v>1783</v>
      </c>
      <c r="G374" s="1"/>
      <c r="H374" s="1" t="s">
        <v>106</v>
      </c>
      <c r="I374" s="1" t="s">
        <v>108</v>
      </c>
      <c r="J374" s="1" t="s">
        <v>109</v>
      </c>
      <c r="K374" s="9">
        <v>-19060</v>
      </c>
      <c r="L374" s="1" t="s">
        <v>110</v>
      </c>
      <c r="M374" s="1" t="s">
        <v>15</v>
      </c>
      <c r="N374" s="1" t="s">
        <v>2996</v>
      </c>
      <c r="O374" s="1" t="s">
        <v>783</v>
      </c>
      <c r="P374" s="1">
        <v>0</v>
      </c>
      <c r="Q374" s="1" t="s">
        <v>1783</v>
      </c>
      <c r="R374" t="s">
        <v>2823</v>
      </c>
      <c r="S374" t="s">
        <v>3391</v>
      </c>
      <c r="T374" t="s">
        <v>17</v>
      </c>
      <c r="U374" t="s">
        <v>3392</v>
      </c>
    </row>
    <row r="375" spans="1:21">
      <c r="A375" s="1" t="s">
        <v>2183</v>
      </c>
      <c r="B375" s="1" t="s">
        <v>2184</v>
      </c>
      <c r="C375" s="1" t="s">
        <v>40</v>
      </c>
      <c r="D375" s="1" t="s">
        <v>124</v>
      </c>
      <c r="E375" s="1" t="s">
        <v>103</v>
      </c>
      <c r="F375" s="1" t="s">
        <v>777</v>
      </c>
      <c r="G375" s="1" t="s">
        <v>2185</v>
      </c>
      <c r="H375" s="1" t="s">
        <v>127</v>
      </c>
      <c r="I375" s="1" t="s">
        <v>131</v>
      </c>
      <c r="J375" s="1"/>
      <c r="K375" s="9">
        <v>17174.509999999998</v>
      </c>
      <c r="L375" s="1" t="s">
        <v>146</v>
      </c>
      <c r="M375" s="1" t="s">
        <v>15</v>
      </c>
      <c r="N375" s="1" t="s">
        <v>3135</v>
      </c>
      <c r="O375" s="1" t="s">
        <v>190</v>
      </c>
      <c r="P375" s="1">
        <v>0</v>
      </c>
      <c r="Q375" s="1" t="s">
        <v>777</v>
      </c>
      <c r="R375" t="s">
        <v>2825</v>
      </c>
      <c r="S375" t="s">
        <v>3393</v>
      </c>
      <c r="T375" t="s">
        <v>3394</v>
      </c>
      <c r="U375" t="s">
        <v>17</v>
      </c>
    </row>
    <row r="376" spans="1:21">
      <c r="A376" s="1" t="s">
        <v>2743</v>
      </c>
      <c r="B376" s="1" t="s">
        <v>2632</v>
      </c>
      <c r="C376" s="1" t="s">
        <v>42</v>
      </c>
      <c r="D376" s="1" t="s">
        <v>42</v>
      </c>
      <c r="E376" s="1" t="s">
        <v>103</v>
      </c>
      <c r="F376" s="1" t="s">
        <v>850</v>
      </c>
      <c r="G376" s="1"/>
      <c r="H376" s="1" t="s">
        <v>2379</v>
      </c>
      <c r="I376" s="1" t="s">
        <v>2380</v>
      </c>
      <c r="J376" s="1"/>
      <c r="K376" s="9">
        <v>-16755.62</v>
      </c>
      <c r="L376" s="1" t="s">
        <v>2535</v>
      </c>
      <c r="M376" s="1" t="s">
        <v>15</v>
      </c>
      <c r="N376" s="1" t="s">
        <v>3102</v>
      </c>
      <c r="O376" s="1" t="s">
        <v>850</v>
      </c>
      <c r="P376" s="1">
        <v>0</v>
      </c>
      <c r="Q376" s="1" t="s">
        <v>850</v>
      </c>
      <c r="R376" t="s">
        <v>2825</v>
      </c>
      <c r="S376" t="s">
        <v>3102</v>
      </c>
      <c r="T376" t="s">
        <v>17</v>
      </c>
      <c r="U376" t="s">
        <v>17</v>
      </c>
    </row>
    <row r="377" spans="1:21">
      <c r="A377" s="1" t="s">
        <v>2532</v>
      </c>
      <c r="B377" s="1" t="s">
        <v>17</v>
      </c>
      <c r="C377" s="1" t="s">
        <v>25</v>
      </c>
      <c r="D377" s="1" t="s">
        <v>2373</v>
      </c>
      <c r="E377" s="1" t="s">
        <v>103</v>
      </c>
      <c r="F377" s="1" t="s">
        <v>477</v>
      </c>
      <c r="G377" s="1"/>
      <c r="H377" s="1" t="s">
        <v>2374</v>
      </c>
      <c r="I377" s="1" t="s">
        <v>2375</v>
      </c>
      <c r="J377" s="1"/>
      <c r="K377" s="9">
        <v>-217234.42</v>
      </c>
      <c r="L377" s="1" t="s">
        <v>17</v>
      </c>
      <c r="M377" s="1" t="s">
        <v>15</v>
      </c>
      <c r="N377" s="1"/>
      <c r="O377" s="1" t="s">
        <v>17</v>
      </c>
      <c r="P377" s="1">
        <v>0</v>
      </c>
      <c r="Q377" s="1" t="s">
        <v>17</v>
      </c>
      <c r="R377" t="s">
        <v>17</v>
      </c>
      <c r="S377" t="s">
        <v>17</v>
      </c>
      <c r="T377" t="s">
        <v>17</v>
      </c>
      <c r="U377" t="s">
        <v>17</v>
      </c>
    </row>
    <row r="378" spans="1:21">
      <c r="A378" s="1" t="s">
        <v>2522</v>
      </c>
      <c r="B378" s="1" t="s">
        <v>17</v>
      </c>
      <c r="C378" s="1" t="s">
        <v>33</v>
      </c>
      <c r="D378" s="1" t="s">
        <v>2391</v>
      </c>
      <c r="E378" s="1" t="s">
        <v>103</v>
      </c>
      <c r="F378" s="1" t="s">
        <v>625</v>
      </c>
      <c r="G378" s="1"/>
      <c r="H378" s="1" t="s">
        <v>2379</v>
      </c>
      <c r="I378" s="1" t="s">
        <v>2380</v>
      </c>
      <c r="J378" s="1"/>
      <c r="K378" s="9">
        <v>-8260</v>
      </c>
      <c r="L378" s="1" t="s">
        <v>2494</v>
      </c>
      <c r="M378" s="1" t="s">
        <v>15</v>
      </c>
      <c r="N378" s="1" t="s">
        <v>2828</v>
      </c>
      <c r="O378" s="1" t="s">
        <v>625</v>
      </c>
      <c r="P378" s="1">
        <v>0</v>
      </c>
      <c r="Q378" s="1" t="s">
        <v>625</v>
      </c>
      <c r="R378" t="s">
        <v>2825</v>
      </c>
      <c r="S378" t="s">
        <v>2828</v>
      </c>
      <c r="T378" t="s">
        <v>17</v>
      </c>
      <c r="U378" t="s">
        <v>17</v>
      </c>
    </row>
    <row r="379" spans="1:21">
      <c r="A379" s="1" t="s">
        <v>2744</v>
      </c>
      <c r="B379" s="1" t="s">
        <v>2707</v>
      </c>
      <c r="C379" s="1" t="s">
        <v>42</v>
      </c>
      <c r="D379" s="1" t="s">
        <v>42</v>
      </c>
      <c r="E379" s="1" t="s">
        <v>103</v>
      </c>
      <c r="F379" s="1" t="s">
        <v>1819</v>
      </c>
      <c r="G379" s="1"/>
      <c r="H379" s="1" t="s">
        <v>2379</v>
      </c>
      <c r="I379" s="1" t="s">
        <v>2380</v>
      </c>
      <c r="J379" s="1"/>
      <c r="K379" s="9">
        <v>33930.129999999997</v>
      </c>
      <c r="L379" s="1" t="s">
        <v>2535</v>
      </c>
      <c r="M379" s="1" t="s">
        <v>15</v>
      </c>
      <c r="N379" s="1" t="s">
        <v>3170</v>
      </c>
      <c r="O379" s="1" t="s">
        <v>1819</v>
      </c>
      <c r="P379" s="1">
        <v>0</v>
      </c>
      <c r="Q379" s="1" t="s">
        <v>1819</v>
      </c>
      <c r="R379" t="s">
        <v>2825</v>
      </c>
      <c r="S379" t="s">
        <v>3170</v>
      </c>
      <c r="T379" t="s">
        <v>17</v>
      </c>
      <c r="U379" t="s">
        <v>17</v>
      </c>
    </row>
    <row r="380" spans="1:21">
      <c r="A380" s="1" t="s">
        <v>2745</v>
      </c>
      <c r="B380" s="1" t="s">
        <v>2650</v>
      </c>
      <c r="C380" s="1" t="s">
        <v>42</v>
      </c>
      <c r="D380" s="1" t="s">
        <v>42</v>
      </c>
      <c r="E380" s="1" t="s">
        <v>103</v>
      </c>
      <c r="F380" s="1" t="s">
        <v>378</v>
      </c>
      <c r="G380" s="1"/>
      <c r="H380" s="1" t="s">
        <v>2379</v>
      </c>
      <c r="I380" s="1" t="s">
        <v>2380</v>
      </c>
      <c r="J380" s="1"/>
      <c r="K380" s="9">
        <v>-56131.33</v>
      </c>
      <c r="L380" s="1" t="s">
        <v>2535</v>
      </c>
      <c r="M380" s="1" t="s">
        <v>15</v>
      </c>
      <c r="N380" s="1" t="s">
        <v>2842</v>
      </c>
      <c r="O380" s="1" t="s">
        <v>378</v>
      </c>
      <c r="P380" s="1">
        <v>0</v>
      </c>
      <c r="Q380" s="1" t="s">
        <v>378</v>
      </c>
      <c r="R380" t="s">
        <v>2825</v>
      </c>
      <c r="S380" t="s">
        <v>2842</v>
      </c>
      <c r="T380" t="s">
        <v>17</v>
      </c>
      <c r="U380" t="s">
        <v>17</v>
      </c>
    </row>
    <row r="381" spans="1:21">
      <c r="A381" s="1" t="s">
        <v>2746</v>
      </c>
      <c r="B381" s="1" t="s">
        <v>2747</v>
      </c>
      <c r="C381" s="1" t="s">
        <v>42</v>
      </c>
      <c r="D381" s="1" t="s">
        <v>42</v>
      </c>
      <c r="E381" s="1" t="s">
        <v>103</v>
      </c>
      <c r="F381" s="1" t="s">
        <v>680</v>
      </c>
      <c r="G381" s="1"/>
      <c r="H381" s="1" t="s">
        <v>2379</v>
      </c>
      <c r="I381" s="1" t="s">
        <v>2380</v>
      </c>
      <c r="J381" s="1"/>
      <c r="K381" s="9">
        <v>-17802.84</v>
      </c>
      <c r="L381" s="1" t="s">
        <v>2535</v>
      </c>
      <c r="M381" s="1" t="s">
        <v>15</v>
      </c>
      <c r="N381" s="1" t="s">
        <v>2960</v>
      </c>
      <c r="O381" s="1" t="s">
        <v>680</v>
      </c>
      <c r="P381" s="1">
        <v>0</v>
      </c>
      <c r="Q381" s="1" t="s">
        <v>680</v>
      </c>
      <c r="R381" t="s">
        <v>2825</v>
      </c>
      <c r="S381" t="s">
        <v>2960</v>
      </c>
      <c r="T381" t="s">
        <v>17</v>
      </c>
      <c r="U381" t="s">
        <v>17</v>
      </c>
    </row>
    <row r="382" spans="1:21">
      <c r="A382" s="1" t="s">
        <v>598</v>
      </c>
      <c r="B382" s="1" t="s">
        <v>599</v>
      </c>
      <c r="C382" s="1" t="s">
        <v>101</v>
      </c>
      <c r="D382" s="1" t="s">
        <v>124</v>
      </c>
      <c r="E382" s="1" t="s">
        <v>103</v>
      </c>
      <c r="F382" s="1" t="s">
        <v>601</v>
      </c>
      <c r="G382" s="1" t="s">
        <v>600</v>
      </c>
      <c r="H382" s="1" t="s">
        <v>127</v>
      </c>
      <c r="I382" s="1" t="s">
        <v>131</v>
      </c>
      <c r="J382" s="1"/>
      <c r="K382" s="9">
        <v>11728.94</v>
      </c>
      <c r="L382" s="1" t="s">
        <v>132</v>
      </c>
      <c r="M382" s="1" t="s">
        <v>15</v>
      </c>
      <c r="N382" s="1" t="s">
        <v>2999</v>
      </c>
      <c r="O382" s="1" t="s">
        <v>2147</v>
      </c>
      <c r="P382" s="1">
        <v>0</v>
      </c>
      <c r="Q382" s="1" t="s">
        <v>601</v>
      </c>
      <c r="R382" t="s">
        <v>2825</v>
      </c>
      <c r="S382" t="s">
        <v>3395</v>
      </c>
      <c r="T382" t="s">
        <v>3396</v>
      </c>
      <c r="U382" t="s">
        <v>17</v>
      </c>
    </row>
    <row r="383" spans="1:21">
      <c r="A383" s="1" t="s">
        <v>2748</v>
      </c>
      <c r="B383" s="1" t="s">
        <v>2678</v>
      </c>
      <c r="C383" s="1" t="s">
        <v>42</v>
      </c>
      <c r="D383" s="1" t="s">
        <v>42</v>
      </c>
      <c r="E383" s="1" t="s">
        <v>103</v>
      </c>
      <c r="F383" s="1" t="s">
        <v>1826</v>
      </c>
      <c r="G383" s="1"/>
      <c r="H383" s="1" t="s">
        <v>2379</v>
      </c>
      <c r="I383" s="1" t="s">
        <v>2380</v>
      </c>
      <c r="J383" s="1"/>
      <c r="K383" s="9">
        <v>-16127.29</v>
      </c>
      <c r="L383" s="1" t="s">
        <v>2535</v>
      </c>
      <c r="M383" s="1" t="s">
        <v>15</v>
      </c>
      <c r="N383" s="1" t="s">
        <v>3036</v>
      </c>
      <c r="O383" s="1" t="s">
        <v>1826</v>
      </c>
      <c r="P383" s="1">
        <v>0</v>
      </c>
      <c r="Q383" s="1" t="s">
        <v>1826</v>
      </c>
      <c r="R383" t="s">
        <v>2825</v>
      </c>
      <c r="S383" t="s">
        <v>3036</v>
      </c>
      <c r="T383" t="s">
        <v>17</v>
      </c>
      <c r="U383" t="s">
        <v>17</v>
      </c>
    </row>
    <row r="384" spans="1:21">
      <c r="A384" s="1" t="s">
        <v>2749</v>
      </c>
      <c r="B384" s="1" t="s">
        <v>2634</v>
      </c>
      <c r="C384" s="1" t="s">
        <v>42</v>
      </c>
      <c r="D384" s="1" t="s">
        <v>42</v>
      </c>
      <c r="E384" s="1" t="s">
        <v>103</v>
      </c>
      <c r="F384" s="1" t="s">
        <v>875</v>
      </c>
      <c r="G384" s="1"/>
      <c r="H384" s="1" t="s">
        <v>2379</v>
      </c>
      <c r="I384" s="1" t="s">
        <v>2380</v>
      </c>
      <c r="J384" s="1"/>
      <c r="K384" s="9">
        <v>-52151.86</v>
      </c>
      <c r="L384" s="1" t="s">
        <v>2535</v>
      </c>
      <c r="M384" s="1" t="s">
        <v>15</v>
      </c>
      <c r="N384" s="1" t="s">
        <v>3000</v>
      </c>
      <c r="O384" s="1" t="s">
        <v>875</v>
      </c>
      <c r="P384" s="1">
        <v>0</v>
      </c>
      <c r="Q384" s="1" t="s">
        <v>875</v>
      </c>
      <c r="R384" t="s">
        <v>2825</v>
      </c>
      <c r="S384" t="s">
        <v>3000</v>
      </c>
      <c r="T384" t="s">
        <v>17</v>
      </c>
      <c r="U384" t="s">
        <v>17</v>
      </c>
    </row>
    <row r="385" spans="1:21">
      <c r="A385" s="1" t="s">
        <v>1449</v>
      </c>
      <c r="B385" s="1" t="s">
        <v>1450</v>
      </c>
      <c r="C385" s="1" t="s">
        <v>40</v>
      </c>
      <c r="D385" s="1" t="s">
        <v>124</v>
      </c>
      <c r="E385" s="1" t="s">
        <v>103</v>
      </c>
      <c r="F385" s="1" t="s">
        <v>389</v>
      </c>
      <c r="G385" s="1" t="s">
        <v>1451</v>
      </c>
      <c r="H385" s="1" t="s">
        <v>127</v>
      </c>
      <c r="I385" s="1" t="s">
        <v>131</v>
      </c>
      <c r="J385" s="1"/>
      <c r="K385" s="9">
        <v>14032.83</v>
      </c>
      <c r="L385" s="1" t="s">
        <v>146</v>
      </c>
      <c r="M385" s="1" t="s">
        <v>15</v>
      </c>
      <c r="N385" s="1" t="s">
        <v>3084</v>
      </c>
      <c r="O385" s="1" t="s">
        <v>320</v>
      </c>
      <c r="P385" s="1">
        <v>0</v>
      </c>
      <c r="Q385" s="1" t="s">
        <v>389</v>
      </c>
      <c r="R385" t="s">
        <v>2825</v>
      </c>
      <c r="S385" t="s">
        <v>3397</v>
      </c>
      <c r="T385" t="s">
        <v>3398</v>
      </c>
      <c r="U385" t="s">
        <v>17</v>
      </c>
    </row>
    <row r="386" spans="1:21">
      <c r="A386" s="1" t="s">
        <v>771</v>
      </c>
      <c r="B386" s="1" t="s">
        <v>772</v>
      </c>
      <c r="C386" s="1" t="s">
        <v>40</v>
      </c>
      <c r="D386" s="1" t="s">
        <v>124</v>
      </c>
      <c r="E386" s="1" t="s">
        <v>103</v>
      </c>
      <c r="F386" s="1" t="s">
        <v>773</v>
      </c>
      <c r="G386" s="1" t="s">
        <v>774</v>
      </c>
      <c r="H386" s="1" t="s">
        <v>127</v>
      </c>
      <c r="I386" s="1" t="s">
        <v>131</v>
      </c>
      <c r="J386" s="1"/>
      <c r="K386" s="9">
        <v>20106.759999999998</v>
      </c>
      <c r="L386" s="1" t="s">
        <v>146</v>
      </c>
      <c r="M386" s="1" t="s">
        <v>15</v>
      </c>
      <c r="N386" s="1" t="s">
        <v>2851</v>
      </c>
      <c r="O386" s="1" t="s">
        <v>1464</v>
      </c>
      <c r="P386" s="1">
        <v>0</v>
      </c>
      <c r="Q386" s="1" t="s">
        <v>773</v>
      </c>
      <c r="R386" t="s">
        <v>2825</v>
      </c>
      <c r="S386" t="s">
        <v>3399</v>
      </c>
      <c r="T386" t="s">
        <v>3400</v>
      </c>
      <c r="U386" t="s">
        <v>17</v>
      </c>
    </row>
    <row r="387" spans="1:21">
      <c r="A387" s="1" t="s">
        <v>2364</v>
      </c>
      <c r="B387" s="1" t="s">
        <v>2365</v>
      </c>
      <c r="C387" s="1" t="s">
        <v>101</v>
      </c>
      <c r="D387" s="1" t="s">
        <v>102</v>
      </c>
      <c r="E387" s="1" t="s">
        <v>103</v>
      </c>
      <c r="F387" s="1" t="s">
        <v>1011</v>
      </c>
      <c r="G387" s="1"/>
      <c r="H387" s="1" t="s">
        <v>106</v>
      </c>
      <c r="I387" s="1" t="s">
        <v>108</v>
      </c>
      <c r="J387" s="1" t="s">
        <v>109</v>
      </c>
      <c r="K387" s="9">
        <v>-8120</v>
      </c>
      <c r="L387" s="1" t="s">
        <v>110</v>
      </c>
      <c r="M387" s="1" t="s">
        <v>15</v>
      </c>
      <c r="N387" s="1" t="s">
        <v>2828</v>
      </c>
      <c r="O387" s="1" t="s">
        <v>625</v>
      </c>
      <c r="P387" s="1">
        <v>0</v>
      </c>
      <c r="Q387" s="1" t="s">
        <v>1011</v>
      </c>
      <c r="R387" t="s">
        <v>2823</v>
      </c>
      <c r="S387" t="s">
        <v>3401</v>
      </c>
      <c r="T387" t="s">
        <v>17</v>
      </c>
      <c r="U387" t="s">
        <v>3402</v>
      </c>
    </row>
    <row r="388" spans="1:21">
      <c r="A388" s="1" t="s">
        <v>2045</v>
      </c>
      <c r="B388" s="1" t="s">
        <v>2046</v>
      </c>
      <c r="C388" s="1" t="s">
        <v>40</v>
      </c>
      <c r="D388" s="1" t="s">
        <v>124</v>
      </c>
      <c r="E388" s="1" t="s">
        <v>103</v>
      </c>
      <c r="F388" s="1" t="s">
        <v>2047</v>
      </c>
      <c r="G388" s="1" t="s">
        <v>2048</v>
      </c>
      <c r="H388" s="1" t="s">
        <v>127</v>
      </c>
      <c r="I388" s="1" t="s">
        <v>131</v>
      </c>
      <c r="J388" s="1"/>
      <c r="K388" s="9">
        <v>11519.5</v>
      </c>
      <c r="L388" s="1" t="s">
        <v>146</v>
      </c>
      <c r="M388" s="1" t="s">
        <v>15</v>
      </c>
      <c r="N388" s="1" t="s">
        <v>3056</v>
      </c>
      <c r="O388" s="1" t="s">
        <v>104</v>
      </c>
      <c r="P388" s="1">
        <v>0</v>
      </c>
      <c r="Q388" s="1" t="s">
        <v>2047</v>
      </c>
      <c r="R388" t="s">
        <v>2825</v>
      </c>
      <c r="S388" t="s">
        <v>3403</v>
      </c>
      <c r="T388" t="s">
        <v>3404</v>
      </c>
      <c r="U388" t="s">
        <v>17</v>
      </c>
    </row>
    <row r="389" spans="1:21">
      <c r="A389" s="1" t="s">
        <v>331</v>
      </c>
      <c r="B389" s="1" t="s">
        <v>332</v>
      </c>
      <c r="C389" s="1" t="s">
        <v>36</v>
      </c>
      <c r="D389" s="1" t="s">
        <v>124</v>
      </c>
      <c r="E389" s="1" t="s">
        <v>103</v>
      </c>
      <c r="F389" s="1" t="s">
        <v>333</v>
      </c>
      <c r="G389" s="1" t="s">
        <v>334</v>
      </c>
      <c r="H389" s="1" t="s">
        <v>127</v>
      </c>
      <c r="I389" s="1" t="s">
        <v>131</v>
      </c>
      <c r="J389" s="1"/>
      <c r="K389" s="9">
        <v>123900</v>
      </c>
      <c r="L389" s="1" t="s">
        <v>243</v>
      </c>
      <c r="M389" s="1" t="s">
        <v>15</v>
      </c>
      <c r="N389" s="1" t="s">
        <v>2833</v>
      </c>
      <c r="O389" s="1" t="s">
        <v>964</v>
      </c>
      <c r="P389" s="1">
        <v>0</v>
      </c>
      <c r="Q389" s="1" t="s">
        <v>333</v>
      </c>
      <c r="R389" t="s">
        <v>2815</v>
      </c>
      <c r="S389" t="s">
        <v>3405</v>
      </c>
      <c r="T389" t="s">
        <v>3406</v>
      </c>
      <c r="U389" t="s">
        <v>17</v>
      </c>
    </row>
    <row r="390" spans="1:21">
      <c r="A390" s="1" t="s">
        <v>2750</v>
      </c>
      <c r="B390" s="1" t="s">
        <v>2694</v>
      </c>
      <c r="C390" s="1" t="s">
        <v>42</v>
      </c>
      <c r="D390" s="1" t="s">
        <v>42</v>
      </c>
      <c r="E390" s="1" t="s">
        <v>103</v>
      </c>
      <c r="F390" s="1" t="s">
        <v>130</v>
      </c>
      <c r="G390" s="1"/>
      <c r="H390" s="1" t="s">
        <v>2379</v>
      </c>
      <c r="I390" s="1" t="s">
        <v>2380</v>
      </c>
      <c r="J390" s="1"/>
      <c r="K390" s="9">
        <v>31206.73</v>
      </c>
      <c r="L390" s="1" t="s">
        <v>2535</v>
      </c>
      <c r="M390" s="1" t="s">
        <v>15</v>
      </c>
      <c r="N390" s="1" t="s">
        <v>2924</v>
      </c>
      <c r="O390" s="1" t="s">
        <v>130</v>
      </c>
      <c r="P390" s="1">
        <v>0</v>
      </c>
      <c r="Q390" s="1" t="s">
        <v>130</v>
      </c>
      <c r="R390" t="s">
        <v>2825</v>
      </c>
      <c r="S390" t="s">
        <v>2924</v>
      </c>
      <c r="T390" t="s">
        <v>17</v>
      </c>
      <c r="U390" t="s">
        <v>17</v>
      </c>
    </row>
    <row r="391" spans="1:21">
      <c r="A391" s="1" t="s">
        <v>2523</v>
      </c>
      <c r="B391" s="1" t="s">
        <v>17</v>
      </c>
      <c r="C391" s="1" t="s">
        <v>33</v>
      </c>
      <c r="D391" s="1" t="s">
        <v>2391</v>
      </c>
      <c r="E391" s="1" t="s">
        <v>103</v>
      </c>
      <c r="F391" s="1" t="s">
        <v>454</v>
      </c>
      <c r="G391" s="1"/>
      <c r="H391" s="1" t="s">
        <v>2379</v>
      </c>
      <c r="I391" s="1" t="s">
        <v>2380</v>
      </c>
      <c r="J391" s="1"/>
      <c r="K391" s="9">
        <v>-8260</v>
      </c>
      <c r="L391" s="1" t="s">
        <v>2494</v>
      </c>
      <c r="M391" s="1" t="s">
        <v>15</v>
      </c>
      <c r="N391" s="1" t="s">
        <v>2837</v>
      </c>
      <c r="O391" s="1" t="s">
        <v>454</v>
      </c>
      <c r="P391" s="1">
        <v>0</v>
      </c>
      <c r="Q391" s="1" t="s">
        <v>454</v>
      </c>
      <c r="R391" t="s">
        <v>2825</v>
      </c>
      <c r="S391" t="s">
        <v>2837</v>
      </c>
      <c r="T391" t="s">
        <v>17</v>
      </c>
      <c r="U391" t="s">
        <v>17</v>
      </c>
    </row>
    <row r="392" spans="1:21">
      <c r="A392" s="1" t="s">
        <v>1167</v>
      </c>
      <c r="B392" s="1" t="s">
        <v>1168</v>
      </c>
      <c r="C392" s="1" t="s">
        <v>101</v>
      </c>
      <c r="D392" s="1" t="s">
        <v>102</v>
      </c>
      <c r="E392" s="1" t="s">
        <v>103</v>
      </c>
      <c r="F392" s="1" t="s">
        <v>895</v>
      </c>
      <c r="G392" s="1"/>
      <c r="H392" s="1" t="s">
        <v>106</v>
      </c>
      <c r="I392" s="1" t="s">
        <v>108</v>
      </c>
      <c r="J392" s="1" t="s">
        <v>109</v>
      </c>
      <c r="K392" s="9">
        <v>-14032</v>
      </c>
      <c r="L392" s="1" t="s">
        <v>110</v>
      </c>
      <c r="M392" s="1" t="s">
        <v>15</v>
      </c>
      <c r="N392" s="1" t="s">
        <v>3190</v>
      </c>
      <c r="O392" s="1" t="s">
        <v>2734</v>
      </c>
      <c r="P392" s="1">
        <v>0</v>
      </c>
      <c r="Q392" s="1" t="s">
        <v>895</v>
      </c>
      <c r="R392" t="s">
        <v>2823</v>
      </c>
      <c r="S392" t="s">
        <v>3407</v>
      </c>
      <c r="T392" t="s">
        <v>17</v>
      </c>
      <c r="U392" t="s">
        <v>3408</v>
      </c>
    </row>
    <row r="393" spans="1:21">
      <c r="A393" s="1" t="s">
        <v>2104</v>
      </c>
      <c r="B393" s="1" t="s">
        <v>2105</v>
      </c>
      <c r="C393" s="1" t="s">
        <v>101</v>
      </c>
      <c r="D393" s="1" t="s">
        <v>124</v>
      </c>
      <c r="E393" s="1" t="s">
        <v>103</v>
      </c>
      <c r="F393" s="1" t="s">
        <v>2106</v>
      </c>
      <c r="G393" s="1" t="s">
        <v>2107</v>
      </c>
      <c r="H393" s="1" t="s">
        <v>127</v>
      </c>
      <c r="I393" s="1" t="s">
        <v>131</v>
      </c>
      <c r="J393" s="1"/>
      <c r="K393" s="9">
        <v>15708.4</v>
      </c>
      <c r="L393" s="1" t="s">
        <v>132</v>
      </c>
      <c r="M393" s="1" t="s">
        <v>15</v>
      </c>
      <c r="N393" s="1" t="s">
        <v>2999</v>
      </c>
      <c r="O393" s="1" t="s">
        <v>2147</v>
      </c>
      <c r="P393" s="1">
        <v>0</v>
      </c>
      <c r="Q393" s="1" t="s">
        <v>2106</v>
      </c>
      <c r="R393" t="s">
        <v>2825</v>
      </c>
      <c r="S393" t="s">
        <v>3409</v>
      </c>
      <c r="T393" t="s">
        <v>3410</v>
      </c>
      <c r="U393" t="s">
        <v>17</v>
      </c>
    </row>
    <row r="394" spans="1:21">
      <c r="A394" s="1" t="s">
        <v>490</v>
      </c>
      <c r="B394" s="1" t="s">
        <v>482</v>
      </c>
      <c r="C394" s="1" t="s">
        <v>101</v>
      </c>
      <c r="D394" s="1" t="s">
        <v>483</v>
      </c>
      <c r="E394" s="1" t="s">
        <v>103</v>
      </c>
      <c r="F394" s="1" t="s">
        <v>484</v>
      </c>
      <c r="G394" s="1"/>
      <c r="H394" s="1" t="s">
        <v>106</v>
      </c>
      <c r="I394" s="1" t="s">
        <v>108</v>
      </c>
      <c r="J394" s="1" t="s">
        <v>109</v>
      </c>
      <c r="K394" s="9">
        <v>-95505.13</v>
      </c>
      <c r="L394" s="1" t="s">
        <v>486</v>
      </c>
      <c r="M394" s="1" t="s">
        <v>15</v>
      </c>
      <c r="N394" s="1" t="s">
        <v>2830</v>
      </c>
      <c r="O394" s="1" t="s">
        <v>1986</v>
      </c>
      <c r="P394" s="1">
        <v>0</v>
      </c>
      <c r="Q394" s="1" t="s">
        <v>484</v>
      </c>
      <c r="R394" t="s">
        <v>2823</v>
      </c>
      <c r="S394" t="s">
        <v>3411</v>
      </c>
      <c r="T394" t="s">
        <v>17</v>
      </c>
      <c r="U394" t="s">
        <v>3412</v>
      </c>
    </row>
    <row r="395" spans="1:21">
      <c r="A395" s="1" t="s">
        <v>2051</v>
      </c>
      <c r="B395" s="1" t="s">
        <v>2052</v>
      </c>
      <c r="C395" s="1" t="s">
        <v>101</v>
      </c>
      <c r="D395" s="1" t="s">
        <v>124</v>
      </c>
      <c r="E395" s="1" t="s">
        <v>103</v>
      </c>
      <c r="F395" s="1" t="s">
        <v>2053</v>
      </c>
      <c r="G395" s="1" t="s">
        <v>2054</v>
      </c>
      <c r="H395" s="1" t="s">
        <v>127</v>
      </c>
      <c r="I395" s="1" t="s">
        <v>131</v>
      </c>
      <c r="J395" s="1"/>
      <c r="K395" s="9">
        <v>18012.3</v>
      </c>
      <c r="L395" s="1" t="s">
        <v>132</v>
      </c>
      <c r="M395" s="1" t="s">
        <v>15</v>
      </c>
      <c r="N395" s="1" t="s">
        <v>3129</v>
      </c>
      <c r="O395" s="1" t="s">
        <v>2335</v>
      </c>
      <c r="P395" s="1">
        <v>0</v>
      </c>
      <c r="Q395" s="1" t="s">
        <v>2053</v>
      </c>
      <c r="R395" t="s">
        <v>2825</v>
      </c>
      <c r="S395" t="s">
        <v>3413</v>
      </c>
      <c r="T395" t="s">
        <v>3414</v>
      </c>
      <c r="U395" t="s">
        <v>17</v>
      </c>
    </row>
    <row r="396" spans="1:21">
      <c r="A396" s="1" t="s">
        <v>2219</v>
      </c>
      <c r="B396" s="1" t="s">
        <v>2220</v>
      </c>
      <c r="C396" s="1" t="s">
        <v>101</v>
      </c>
      <c r="D396" s="1" t="s">
        <v>124</v>
      </c>
      <c r="E396" s="1" t="s">
        <v>103</v>
      </c>
      <c r="F396" s="1" t="s">
        <v>821</v>
      </c>
      <c r="G396" s="1" t="s">
        <v>2221</v>
      </c>
      <c r="H396" s="1" t="s">
        <v>127</v>
      </c>
      <c r="I396" s="1" t="s">
        <v>131</v>
      </c>
      <c r="J396" s="1"/>
      <c r="K396" s="9">
        <v>15289.51</v>
      </c>
      <c r="L396" s="1" t="s">
        <v>132</v>
      </c>
      <c r="M396" s="1" t="s">
        <v>15</v>
      </c>
      <c r="N396" s="1" t="s">
        <v>2827</v>
      </c>
      <c r="O396" s="1" t="s">
        <v>258</v>
      </c>
      <c r="P396" s="1">
        <v>0</v>
      </c>
      <c r="Q396" s="1" t="s">
        <v>821</v>
      </c>
      <c r="R396" t="s">
        <v>2825</v>
      </c>
      <c r="S396" t="s">
        <v>3415</v>
      </c>
      <c r="T396" t="s">
        <v>3416</v>
      </c>
      <c r="U396" t="s">
        <v>17</v>
      </c>
    </row>
    <row r="397" spans="1:21">
      <c r="A397" s="1" t="s">
        <v>2751</v>
      </c>
      <c r="B397" s="1" t="s">
        <v>2539</v>
      </c>
      <c r="C397" s="1" t="s">
        <v>42</v>
      </c>
      <c r="D397" s="1" t="s">
        <v>42</v>
      </c>
      <c r="E397" s="1" t="s">
        <v>103</v>
      </c>
      <c r="F397" s="1" t="s">
        <v>1154</v>
      </c>
      <c r="G397" s="1"/>
      <c r="H397" s="1" t="s">
        <v>2379</v>
      </c>
      <c r="I397" s="1" t="s">
        <v>2380</v>
      </c>
      <c r="J397" s="1"/>
      <c r="K397" s="9">
        <v>14451.72</v>
      </c>
      <c r="L397" s="1" t="s">
        <v>2535</v>
      </c>
      <c r="M397" s="1" t="s">
        <v>15</v>
      </c>
      <c r="N397" s="1" t="s">
        <v>2874</v>
      </c>
      <c r="O397" s="1" t="s">
        <v>1154</v>
      </c>
      <c r="P397" s="1">
        <v>0</v>
      </c>
      <c r="Q397" s="1" t="s">
        <v>1154</v>
      </c>
      <c r="R397" t="s">
        <v>2825</v>
      </c>
      <c r="S397" t="s">
        <v>2874</v>
      </c>
      <c r="T397" t="s">
        <v>17</v>
      </c>
      <c r="U397" t="s">
        <v>17</v>
      </c>
    </row>
    <row r="398" spans="1:21">
      <c r="A398" s="1" t="s">
        <v>1139</v>
      </c>
      <c r="B398" s="1" t="s">
        <v>1140</v>
      </c>
      <c r="C398" s="1" t="s">
        <v>101</v>
      </c>
      <c r="D398" s="1" t="s">
        <v>124</v>
      </c>
      <c r="E398" s="1" t="s">
        <v>103</v>
      </c>
      <c r="F398" s="1" t="s">
        <v>416</v>
      </c>
      <c r="G398" s="1" t="s">
        <v>1141</v>
      </c>
      <c r="H398" s="1" t="s">
        <v>127</v>
      </c>
      <c r="I398" s="1" t="s">
        <v>131</v>
      </c>
      <c r="J398" s="1"/>
      <c r="K398" s="9">
        <v>14451.72</v>
      </c>
      <c r="L398" s="1" t="s">
        <v>132</v>
      </c>
      <c r="M398" s="1" t="s">
        <v>15</v>
      </c>
      <c r="N398" s="1" t="s">
        <v>2845</v>
      </c>
      <c r="O398" s="1" t="s">
        <v>1672</v>
      </c>
      <c r="P398" s="1">
        <v>0</v>
      </c>
      <c r="Q398" s="1" t="s">
        <v>416</v>
      </c>
      <c r="R398" t="s">
        <v>2825</v>
      </c>
      <c r="S398" t="s">
        <v>3417</v>
      </c>
      <c r="T398" t="s">
        <v>3418</v>
      </c>
      <c r="U398" t="s">
        <v>17</v>
      </c>
    </row>
    <row r="399" spans="1:21">
      <c r="A399" s="1" t="s">
        <v>2524</v>
      </c>
      <c r="B399" s="1" t="s">
        <v>17</v>
      </c>
      <c r="C399" s="1" t="s">
        <v>33</v>
      </c>
      <c r="D399" s="1" t="s">
        <v>2391</v>
      </c>
      <c r="E399" s="1" t="s">
        <v>103</v>
      </c>
      <c r="F399" s="1" t="s">
        <v>454</v>
      </c>
      <c r="G399" s="1"/>
      <c r="H399" s="1" t="s">
        <v>2379</v>
      </c>
      <c r="I399" s="1" t="s">
        <v>2380</v>
      </c>
      <c r="J399" s="1"/>
      <c r="K399" s="9">
        <v>8120</v>
      </c>
      <c r="L399" s="1" t="s">
        <v>2494</v>
      </c>
      <c r="M399" s="1" t="s">
        <v>15</v>
      </c>
      <c r="N399" s="1" t="s">
        <v>2837</v>
      </c>
      <c r="O399" s="1" t="s">
        <v>454</v>
      </c>
      <c r="P399" s="1">
        <v>0</v>
      </c>
      <c r="Q399" s="1" t="s">
        <v>454</v>
      </c>
      <c r="R399" t="s">
        <v>2825</v>
      </c>
      <c r="S399" t="s">
        <v>2837</v>
      </c>
      <c r="T399" t="s">
        <v>17</v>
      </c>
      <c r="U399" t="s">
        <v>17</v>
      </c>
    </row>
    <row r="400" spans="1:21">
      <c r="A400" s="1" t="s">
        <v>2070</v>
      </c>
      <c r="B400" s="1" t="s">
        <v>2071</v>
      </c>
      <c r="C400" s="1" t="s">
        <v>40</v>
      </c>
      <c r="D400" s="1" t="s">
        <v>124</v>
      </c>
      <c r="E400" s="1" t="s">
        <v>103</v>
      </c>
      <c r="F400" s="1" t="s">
        <v>1783</v>
      </c>
      <c r="G400" s="1" t="s">
        <v>2072</v>
      </c>
      <c r="H400" s="1" t="s">
        <v>127</v>
      </c>
      <c r="I400" s="1" t="s">
        <v>131</v>
      </c>
      <c r="J400" s="1"/>
      <c r="K400" s="9">
        <v>14661.16</v>
      </c>
      <c r="L400" s="1" t="s">
        <v>146</v>
      </c>
      <c r="M400" s="1" t="s">
        <v>15</v>
      </c>
      <c r="N400" s="1" t="s">
        <v>3017</v>
      </c>
      <c r="O400" s="1" t="s">
        <v>1106</v>
      </c>
      <c r="P400" s="1">
        <v>0</v>
      </c>
      <c r="Q400" s="1" t="s">
        <v>1783</v>
      </c>
      <c r="R400" t="s">
        <v>2825</v>
      </c>
      <c r="S400" t="s">
        <v>3419</v>
      </c>
      <c r="T400" t="s">
        <v>3420</v>
      </c>
      <c r="U400" t="s">
        <v>17</v>
      </c>
    </row>
    <row r="401" spans="1:21">
      <c r="A401" s="1" t="s">
        <v>391</v>
      </c>
      <c r="B401" s="1" t="s">
        <v>392</v>
      </c>
      <c r="C401" s="1" t="s">
        <v>101</v>
      </c>
      <c r="D401" s="1" t="s">
        <v>124</v>
      </c>
      <c r="E401" s="1" t="s">
        <v>103</v>
      </c>
      <c r="F401" s="1" t="s">
        <v>395</v>
      </c>
      <c r="G401" s="1" t="s">
        <v>394</v>
      </c>
      <c r="H401" s="1" t="s">
        <v>127</v>
      </c>
      <c r="I401" s="1" t="s">
        <v>131</v>
      </c>
      <c r="J401" s="1"/>
      <c r="K401" s="9">
        <v>16127.29</v>
      </c>
      <c r="L401" s="1" t="s">
        <v>132</v>
      </c>
      <c r="M401" s="1" t="s">
        <v>15</v>
      </c>
      <c r="N401" s="1" t="s">
        <v>2948</v>
      </c>
      <c r="O401" s="1" t="s">
        <v>958</v>
      </c>
      <c r="P401" s="1">
        <v>0</v>
      </c>
      <c r="Q401" s="1" t="s">
        <v>395</v>
      </c>
      <c r="R401" t="s">
        <v>2825</v>
      </c>
      <c r="S401" t="s">
        <v>3421</v>
      </c>
      <c r="T401" t="s">
        <v>3422</v>
      </c>
      <c r="U401" t="s">
        <v>17</v>
      </c>
    </row>
    <row r="402" spans="1:21">
      <c r="A402" s="1" t="s">
        <v>852</v>
      </c>
      <c r="B402" s="1" t="s">
        <v>853</v>
      </c>
      <c r="C402" s="1" t="s">
        <v>101</v>
      </c>
      <c r="D402" s="1" t="s">
        <v>102</v>
      </c>
      <c r="E402" s="1" t="s">
        <v>103</v>
      </c>
      <c r="F402" s="1" t="s">
        <v>703</v>
      </c>
      <c r="G402" s="1"/>
      <c r="H402" s="1" t="s">
        <v>106</v>
      </c>
      <c r="I402" s="1" t="s">
        <v>108</v>
      </c>
      <c r="J402" s="1" t="s">
        <v>109</v>
      </c>
      <c r="K402" s="9">
        <v>-25761.759999999998</v>
      </c>
      <c r="L402" s="1" t="s">
        <v>110</v>
      </c>
      <c r="M402" s="1" t="s">
        <v>15</v>
      </c>
      <c r="N402" s="1" t="s">
        <v>3164</v>
      </c>
      <c r="O402" s="1" t="s">
        <v>526</v>
      </c>
      <c r="P402" s="1">
        <v>0</v>
      </c>
      <c r="Q402" s="1" t="s">
        <v>703</v>
      </c>
      <c r="R402" t="s">
        <v>2823</v>
      </c>
      <c r="S402" t="s">
        <v>3423</v>
      </c>
      <c r="T402" t="s">
        <v>17</v>
      </c>
      <c r="U402" t="s">
        <v>3424</v>
      </c>
    </row>
    <row r="403" spans="1:21">
      <c r="A403" s="1" t="s">
        <v>1174</v>
      </c>
      <c r="B403" s="1" t="s">
        <v>1175</v>
      </c>
      <c r="C403" s="1" t="s">
        <v>101</v>
      </c>
      <c r="D403" s="1" t="s">
        <v>352</v>
      </c>
      <c r="E403" s="1" t="s">
        <v>103</v>
      </c>
      <c r="F403" s="1" t="s">
        <v>1177</v>
      </c>
      <c r="G403" s="1"/>
      <c r="H403" s="1" t="s">
        <v>106</v>
      </c>
      <c r="I403" s="1" t="s">
        <v>108</v>
      </c>
      <c r="J403" s="1" t="s">
        <v>109</v>
      </c>
      <c r="K403" s="9">
        <v>-12566.72</v>
      </c>
      <c r="L403" s="1" t="s">
        <v>356</v>
      </c>
      <c r="M403" s="1" t="s">
        <v>15</v>
      </c>
      <c r="N403" s="1" t="s">
        <v>3132</v>
      </c>
      <c r="O403" s="1" t="s">
        <v>1177</v>
      </c>
      <c r="P403" s="1">
        <v>0</v>
      </c>
      <c r="Q403" s="1" t="s">
        <v>1177</v>
      </c>
      <c r="R403" t="s">
        <v>2823</v>
      </c>
      <c r="S403" t="s">
        <v>3425</v>
      </c>
      <c r="T403" t="s">
        <v>17</v>
      </c>
      <c r="U403" t="s">
        <v>3426</v>
      </c>
    </row>
    <row r="404" spans="1:21">
      <c r="A404" s="1" t="s">
        <v>2752</v>
      </c>
      <c r="B404" s="1" t="s">
        <v>2700</v>
      </c>
      <c r="C404" s="1" t="s">
        <v>42</v>
      </c>
      <c r="D404" s="1" t="s">
        <v>42</v>
      </c>
      <c r="E404" s="1" t="s">
        <v>103</v>
      </c>
      <c r="F404" s="1" t="s">
        <v>1551</v>
      </c>
      <c r="G404" s="1"/>
      <c r="H404" s="1" t="s">
        <v>2379</v>
      </c>
      <c r="I404" s="1" t="s">
        <v>2380</v>
      </c>
      <c r="J404" s="1"/>
      <c r="K404" s="9">
        <v>31416.799999999999</v>
      </c>
      <c r="L404" s="1" t="s">
        <v>2535</v>
      </c>
      <c r="M404" s="1" t="s">
        <v>15</v>
      </c>
      <c r="N404" s="1" t="s">
        <v>2936</v>
      </c>
      <c r="O404" s="1" t="s">
        <v>1551</v>
      </c>
      <c r="P404" s="1">
        <v>0</v>
      </c>
      <c r="Q404" s="1" t="s">
        <v>1551</v>
      </c>
      <c r="R404" t="s">
        <v>2825</v>
      </c>
      <c r="S404" t="s">
        <v>2936</v>
      </c>
      <c r="T404" t="s">
        <v>17</v>
      </c>
      <c r="U404" t="s">
        <v>17</v>
      </c>
    </row>
    <row r="405" spans="1:21">
      <c r="A405" s="1" t="s">
        <v>1207</v>
      </c>
      <c r="B405" s="1" t="s">
        <v>1208</v>
      </c>
      <c r="C405" s="1" t="s">
        <v>101</v>
      </c>
      <c r="D405" s="1" t="s">
        <v>124</v>
      </c>
      <c r="E405" s="1" t="s">
        <v>103</v>
      </c>
      <c r="F405" s="1" t="s">
        <v>1209</v>
      </c>
      <c r="G405" s="1" t="s">
        <v>1210</v>
      </c>
      <c r="H405" s="1" t="s">
        <v>127</v>
      </c>
      <c r="I405" s="1" t="s">
        <v>131</v>
      </c>
      <c r="J405" s="1"/>
      <c r="K405" s="9">
        <v>16755.62</v>
      </c>
      <c r="L405" s="1" t="s">
        <v>132</v>
      </c>
      <c r="M405" s="1" t="s">
        <v>15</v>
      </c>
      <c r="N405" s="1" t="s">
        <v>2861</v>
      </c>
      <c r="O405" s="1" t="s">
        <v>2318</v>
      </c>
      <c r="P405" s="1">
        <v>0</v>
      </c>
      <c r="Q405" s="1" t="s">
        <v>1209</v>
      </c>
      <c r="R405" t="s">
        <v>2825</v>
      </c>
      <c r="S405" t="s">
        <v>3427</v>
      </c>
      <c r="T405" t="s">
        <v>3428</v>
      </c>
      <c r="U405" t="s">
        <v>17</v>
      </c>
    </row>
    <row r="406" spans="1:21">
      <c r="A406" s="1" t="s">
        <v>2753</v>
      </c>
      <c r="B406" s="1" t="s">
        <v>2741</v>
      </c>
      <c r="C406" s="1" t="s">
        <v>42</v>
      </c>
      <c r="D406" s="1" t="s">
        <v>42</v>
      </c>
      <c r="E406" s="1" t="s">
        <v>103</v>
      </c>
      <c r="F406" s="1" t="s">
        <v>290</v>
      </c>
      <c r="G406" s="1"/>
      <c r="H406" s="1" t="s">
        <v>2379</v>
      </c>
      <c r="I406" s="1" t="s">
        <v>2380</v>
      </c>
      <c r="J406" s="1"/>
      <c r="K406" s="9">
        <v>14032</v>
      </c>
      <c r="L406" s="1" t="s">
        <v>2535</v>
      </c>
      <c r="M406" s="1" t="s">
        <v>15</v>
      </c>
      <c r="N406" s="1" t="s">
        <v>3184</v>
      </c>
      <c r="O406" s="1" t="s">
        <v>290</v>
      </c>
      <c r="P406" s="1">
        <v>0</v>
      </c>
      <c r="Q406" s="1" t="s">
        <v>290</v>
      </c>
      <c r="R406" t="s">
        <v>2823</v>
      </c>
      <c r="S406" t="s">
        <v>3184</v>
      </c>
      <c r="T406" t="s">
        <v>17</v>
      </c>
      <c r="U406" t="s">
        <v>17</v>
      </c>
    </row>
    <row r="407" spans="1:21">
      <c r="A407" s="1" t="s">
        <v>657</v>
      </c>
      <c r="B407" s="1" t="s">
        <v>658</v>
      </c>
      <c r="C407" s="1" t="s">
        <v>40</v>
      </c>
      <c r="D407" s="1" t="s">
        <v>124</v>
      </c>
      <c r="E407" s="1" t="s">
        <v>103</v>
      </c>
      <c r="F407" s="1" t="s">
        <v>659</v>
      </c>
      <c r="G407" s="1" t="s">
        <v>660</v>
      </c>
      <c r="H407" s="1" t="s">
        <v>127</v>
      </c>
      <c r="I407" s="1" t="s">
        <v>131</v>
      </c>
      <c r="J407" s="1"/>
      <c r="K407" s="9">
        <v>15498.94</v>
      </c>
      <c r="L407" s="1" t="s">
        <v>146</v>
      </c>
      <c r="M407" s="1" t="s">
        <v>15</v>
      </c>
      <c r="N407" s="1" t="s">
        <v>3007</v>
      </c>
      <c r="O407" s="1" t="s">
        <v>1213</v>
      </c>
      <c r="P407" s="1">
        <v>0</v>
      </c>
      <c r="Q407" s="1" t="s">
        <v>659</v>
      </c>
      <c r="R407" t="s">
        <v>2825</v>
      </c>
      <c r="S407" t="s">
        <v>3429</v>
      </c>
      <c r="T407" t="s">
        <v>3430</v>
      </c>
      <c r="U407" t="s">
        <v>17</v>
      </c>
    </row>
    <row r="408" spans="1:21">
      <c r="A408" s="1" t="s">
        <v>1802</v>
      </c>
      <c r="B408" s="1" t="s">
        <v>1803</v>
      </c>
      <c r="C408" s="1" t="s">
        <v>101</v>
      </c>
      <c r="D408" s="1" t="s">
        <v>124</v>
      </c>
      <c r="E408" s="1" t="s">
        <v>103</v>
      </c>
      <c r="F408" s="1" t="s">
        <v>1804</v>
      </c>
      <c r="G408" s="1" t="s">
        <v>1805</v>
      </c>
      <c r="H408" s="1" t="s">
        <v>127</v>
      </c>
      <c r="I408" s="1" t="s">
        <v>131</v>
      </c>
      <c r="J408" s="1"/>
      <c r="K408" s="9">
        <v>36966.519999999997</v>
      </c>
      <c r="L408" s="1" t="s">
        <v>132</v>
      </c>
      <c r="M408" s="1" t="s">
        <v>15</v>
      </c>
      <c r="N408" s="1" t="s">
        <v>3195</v>
      </c>
      <c r="O408" s="1" t="s">
        <v>3042</v>
      </c>
      <c r="P408" s="1">
        <v>0</v>
      </c>
      <c r="Q408" s="1" t="s">
        <v>1804</v>
      </c>
      <c r="R408" t="s">
        <v>2815</v>
      </c>
      <c r="S408" t="s">
        <v>3431</v>
      </c>
      <c r="T408" t="s">
        <v>3432</v>
      </c>
      <c r="U408" t="s">
        <v>17</v>
      </c>
    </row>
    <row r="409" spans="1:21">
      <c r="A409" s="1" t="s">
        <v>1200</v>
      </c>
      <c r="B409" s="1" t="s">
        <v>1201</v>
      </c>
      <c r="C409" s="1" t="s">
        <v>101</v>
      </c>
      <c r="D409" s="1" t="s">
        <v>124</v>
      </c>
      <c r="E409" s="1" t="s">
        <v>103</v>
      </c>
      <c r="F409" s="1" t="s">
        <v>193</v>
      </c>
      <c r="G409" s="1" t="s">
        <v>1202</v>
      </c>
      <c r="H409" s="1" t="s">
        <v>127</v>
      </c>
      <c r="I409" s="1" t="s">
        <v>131</v>
      </c>
      <c r="J409" s="1"/>
      <c r="K409" s="9">
        <v>13404.5</v>
      </c>
      <c r="L409" s="1" t="s">
        <v>132</v>
      </c>
      <c r="M409" s="1" t="s">
        <v>15</v>
      </c>
      <c r="N409" s="1" t="s">
        <v>3164</v>
      </c>
      <c r="O409" s="1" t="s">
        <v>526</v>
      </c>
      <c r="P409" s="1">
        <v>0</v>
      </c>
      <c r="Q409" s="1" t="s">
        <v>193</v>
      </c>
      <c r="R409" t="s">
        <v>2825</v>
      </c>
      <c r="S409" t="s">
        <v>3433</v>
      </c>
      <c r="T409" t="s">
        <v>3434</v>
      </c>
      <c r="U409" t="s">
        <v>17</v>
      </c>
    </row>
    <row r="410" spans="1:21">
      <c r="A410" s="1" t="s">
        <v>324</v>
      </c>
      <c r="B410" s="1" t="s">
        <v>325</v>
      </c>
      <c r="C410" s="1" t="s">
        <v>101</v>
      </c>
      <c r="D410" s="1" t="s">
        <v>102</v>
      </c>
      <c r="E410" s="1" t="s">
        <v>103</v>
      </c>
      <c r="F410" s="1" t="s">
        <v>290</v>
      </c>
      <c r="G410" s="1"/>
      <c r="H410" s="1" t="s">
        <v>106</v>
      </c>
      <c r="I410" s="1" t="s">
        <v>108</v>
      </c>
      <c r="J410" s="1" t="s">
        <v>109</v>
      </c>
      <c r="K410" s="9">
        <v>-31207</v>
      </c>
      <c r="L410" s="1" t="s">
        <v>110</v>
      </c>
      <c r="M410" s="1" t="s">
        <v>15</v>
      </c>
      <c r="N410" s="1" t="s">
        <v>3017</v>
      </c>
      <c r="O410" s="1" t="s">
        <v>1106</v>
      </c>
      <c r="P410" s="1">
        <v>0</v>
      </c>
      <c r="Q410" s="1" t="s">
        <v>290</v>
      </c>
      <c r="R410" t="s">
        <v>2823</v>
      </c>
      <c r="S410" t="s">
        <v>3435</v>
      </c>
      <c r="T410" t="s">
        <v>17</v>
      </c>
      <c r="U410" t="s">
        <v>3436</v>
      </c>
    </row>
    <row r="411" spans="1:21">
      <c r="A411" s="1" t="s">
        <v>2754</v>
      </c>
      <c r="B411" s="1" t="s">
        <v>2755</v>
      </c>
      <c r="C411" s="1" t="s">
        <v>42</v>
      </c>
      <c r="D411" s="1" t="s">
        <v>42</v>
      </c>
      <c r="E411" s="1" t="s">
        <v>103</v>
      </c>
      <c r="F411" s="1" t="s">
        <v>409</v>
      </c>
      <c r="G411" s="1"/>
      <c r="H411" s="1" t="s">
        <v>2379</v>
      </c>
      <c r="I411" s="1" t="s">
        <v>2380</v>
      </c>
      <c r="J411" s="1"/>
      <c r="K411" s="9">
        <v>29950.67</v>
      </c>
      <c r="L411" s="1" t="s">
        <v>2535</v>
      </c>
      <c r="M411" s="1" t="s">
        <v>15</v>
      </c>
      <c r="N411" s="1" t="s">
        <v>2871</v>
      </c>
      <c r="O411" s="1" t="s">
        <v>409</v>
      </c>
      <c r="P411" s="1">
        <v>0</v>
      </c>
      <c r="Q411" s="1" t="s">
        <v>409</v>
      </c>
      <c r="R411" t="s">
        <v>2825</v>
      </c>
      <c r="S411" t="s">
        <v>2871</v>
      </c>
      <c r="T411" t="s">
        <v>17</v>
      </c>
      <c r="U411" t="s">
        <v>17</v>
      </c>
    </row>
    <row r="412" spans="1:21">
      <c r="A412" s="1" t="s">
        <v>2756</v>
      </c>
      <c r="B412" s="1" t="s">
        <v>2757</v>
      </c>
      <c r="C412" s="1" t="s">
        <v>42</v>
      </c>
      <c r="D412" s="1" t="s">
        <v>42</v>
      </c>
      <c r="E412" s="1" t="s">
        <v>103</v>
      </c>
      <c r="F412" s="1" t="s">
        <v>251</v>
      </c>
      <c r="G412" s="1"/>
      <c r="H412" s="1" t="s">
        <v>2379</v>
      </c>
      <c r="I412" s="1" t="s">
        <v>2380</v>
      </c>
      <c r="J412" s="1"/>
      <c r="K412" s="9">
        <v>-29322.34</v>
      </c>
      <c r="L412" s="1" t="s">
        <v>2535</v>
      </c>
      <c r="M412" s="1" t="s">
        <v>15</v>
      </c>
      <c r="N412" s="1" t="s">
        <v>3262</v>
      </c>
      <c r="O412" s="1" t="s">
        <v>251</v>
      </c>
      <c r="P412" s="1">
        <v>0</v>
      </c>
      <c r="Q412" s="1" t="s">
        <v>251</v>
      </c>
      <c r="R412" t="s">
        <v>2825</v>
      </c>
      <c r="S412" t="s">
        <v>3262</v>
      </c>
      <c r="T412" t="s">
        <v>17</v>
      </c>
      <c r="U412" t="s">
        <v>17</v>
      </c>
    </row>
    <row r="413" spans="1:21">
      <c r="A413" s="1" t="s">
        <v>1015</v>
      </c>
      <c r="B413" s="1" t="s">
        <v>1016</v>
      </c>
      <c r="C413" s="1" t="s">
        <v>101</v>
      </c>
      <c r="D413" s="1" t="s">
        <v>102</v>
      </c>
      <c r="E413" s="1" t="s">
        <v>103</v>
      </c>
      <c r="F413" s="1" t="s">
        <v>664</v>
      </c>
      <c r="G413" s="1"/>
      <c r="H413" s="1" t="s">
        <v>106</v>
      </c>
      <c r="I413" s="1" t="s">
        <v>108</v>
      </c>
      <c r="J413" s="1" t="s">
        <v>109</v>
      </c>
      <c r="K413" s="9">
        <v>-52151.86</v>
      </c>
      <c r="L413" s="1" t="s">
        <v>110</v>
      </c>
      <c r="M413" s="1" t="s">
        <v>15</v>
      </c>
      <c r="N413" s="1" t="s">
        <v>3000</v>
      </c>
      <c r="O413" s="1" t="s">
        <v>875</v>
      </c>
      <c r="P413" s="1">
        <v>0</v>
      </c>
      <c r="Q413" s="1" t="s">
        <v>664</v>
      </c>
      <c r="R413" t="s">
        <v>2823</v>
      </c>
      <c r="S413" t="s">
        <v>3437</v>
      </c>
      <c r="T413" t="s">
        <v>17</v>
      </c>
      <c r="U413" t="s">
        <v>3438</v>
      </c>
    </row>
    <row r="414" spans="1:21">
      <c r="A414" s="1" t="s">
        <v>1455</v>
      </c>
      <c r="B414" s="1" t="s">
        <v>1456</v>
      </c>
      <c r="C414" s="1" t="s">
        <v>101</v>
      </c>
      <c r="D414" s="1" t="s">
        <v>124</v>
      </c>
      <c r="E414" s="1" t="s">
        <v>103</v>
      </c>
      <c r="F414" s="1" t="s">
        <v>1457</v>
      </c>
      <c r="G414" s="1" t="s">
        <v>1458</v>
      </c>
      <c r="H414" s="1" t="s">
        <v>127</v>
      </c>
      <c r="I414" s="1" t="s">
        <v>131</v>
      </c>
      <c r="J414" s="1"/>
      <c r="K414" s="9">
        <v>15917.84</v>
      </c>
      <c r="L414" s="1" t="s">
        <v>132</v>
      </c>
      <c r="M414" s="1" t="s">
        <v>15</v>
      </c>
      <c r="N414" s="1" t="s">
        <v>2985</v>
      </c>
      <c r="O414" s="1" t="s">
        <v>412</v>
      </c>
      <c r="P414" s="1">
        <v>0</v>
      </c>
      <c r="Q414" s="1" t="s">
        <v>1457</v>
      </c>
      <c r="R414" t="s">
        <v>2825</v>
      </c>
      <c r="S414" t="s">
        <v>3439</v>
      </c>
      <c r="T414" t="s">
        <v>3440</v>
      </c>
      <c r="U414" t="s">
        <v>17</v>
      </c>
    </row>
    <row r="415" spans="1:21">
      <c r="A415" s="1" t="s">
        <v>2758</v>
      </c>
      <c r="B415" s="1" t="s">
        <v>2603</v>
      </c>
      <c r="C415" s="1" t="s">
        <v>42</v>
      </c>
      <c r="D415" s="1" t="s">
        <v>42</v>
      </c>
      <c r="E415" s="1" t="s">
        <v>103</v>
      </c>
      <c r="F415" s="1" t="s">
        <v>412</v>
      </c>
      <c r="G415" s="1"/>
      <c r="H415" s="1" t="s">
        <v>2379</v>
      </c>
      <c r="I415" s="1" t="s">
        <v>2380</v>
      </c>
      <c r="J415" s="1"/>
      <c r="K415" s="9">
        <v>30160.13</v>
      </c>
      <c r="L415" s="1" t="s">
        <v>2535</v>
      </c>
      <c r="M415" s="1" t="s">
        <v>15</v>
      </c>
      <c r="N415" s="1" t="s">
        <v>2985</v>
      </c>
      <c r="O415" s="1" t="s">
        <v>412</v>
      </c>
      <c r="P415" s="1">
        <v>0</v>
      </c>
      <c r="Q415" s="1" t="s">
        <v>412</v>
      </c>
      <c r="R415" t="s">
        <v>2825</v>
      </c>
      <c r="S415" t="s">
        <v>2985</v>
      </c>
      <c r="T415" t="s">
        <v>17</v>
      </c>
      <c r="U415" t="s">
        <v>17</v>
      </c>
    </row>
    <row r="416" spans="1:21">
      <c r="A416" s="1" t="s">
        <v>1470</v>
      </c>
      <c r="B416" s="1" t="s">
        <v>1471</v>
      </c>
      <c r="C416" s="1" t="s">
        <v>101</v>
      </c>
      <c r="D416" s="1" t="s">
        <v>352</v>
      </c>
      <c r="E416" s="1" t="s">
        <v>103</v>
      </c>
      <c r="F416" s="1" t="s">
        <v>1473</v>
      </c>
      <c r="G416" s="1"/>
      <c r="H416" s="1" t="s">
        <v>106</v>
      </c>
      <c r="I416" s="1" t="s">
        <v>108</v>
      </c>
      <c r="J416" s="1" t="s">
        <v>109</v>
      </c>
      <c r="K416" s="9">
        <v>-32464.02</v>
      </c>
      <c r="L416" s="1" t="s">
        <v>356</v>
      </c>
      <c r="M416" s="1" t="s">
        <v>15</v>
      </c>
      <c r="N416" s="1" t="s">
        <v>2888</v>
      </c>
      <c r="O416" s="1" t="s">
        <v>1473</v>
      </c>
      <c r="P416" s="1">
        <v>0</v>
      </c>
      <c r="Q416" s="1" t="s">
        <v>1473</v>
      </c>
      <c r="R416" t="s">
        <v>2823</v>
      </c>
      <c r="S416" t="s">
        <v>3441</v>
      </c>
      <c r="T416" t="s">
        <v>17</v>
      </c>
      <c r="U416" t="s">
        <v>3442</v>
      </c>
    </row>
    <row r="417" spans="1:21">
      <c r="A417" s="1" t="s">
        <v>1642</v>
      </c>
      <c r="B417" s="1" t="s">
        <v>1643</v>
      </c>
      <c r="C417" s="1" t="s">
        <v>36</v>
      </c>
      <c r="D417" s="1" t="s">
        <v>124</v>
      </c>
      <c r="E417" s="1" t="s">
        <v>103</v>
      </c>
      <c r="F417" s="1" t="s">
        <v>1644</v>
      </c>
      <c r="G417" s="1" t="s">
        <v>1645</v>
      </c>
      <c r="H417" s="1" t="s">
        <v>127</v>
      </c>
      <c r="I417" s="1" t="s">
        <v>131</v>
      </c>
      <c r="J417" s="1"/>
      <c r="K417" s="9">
        <v>8260</v>
      </c>
      <c r="L417" s="1" t="s">
        <v>243</v>
      </c>
      <c r="M417" s="1" t="s">
        <v>15</v>
      </c>
      <c r="N417" s="1" t="s">
        <v>2826</v>
      </c>
      <c r="O417" s="1" t="s">
        <v>1094</v>
      </c>
      <c r="P417" s="1">
        <v>0</v>
      </c>
      <c r="Q417" s="1" t="s">
        <v>1644</v>
      </c>
      <c r="R417" t="s">
        <v>2825</v>
      </c>
      <c r="S417" t="s">
        <v>3443</v>
      </c>
      <c r="T417" t="s">
        <v>3444</v>
      </c>
      <c r="U417" t="s">
        <v>17</v>
      </c>
    </row>
    <row r="418" spans="1:21">
      <c r="A418" s="1" t="s">
        <v>1851</v>
      </c>
      <c r="B418" s="1" t="s">
        <v>1852</v>
      </c>
      <c r="C418" s="1" t="s">
        <v>40</v>
      </c>
      <c r="D418" s="1" t="s">
        <v>124</v>
      </c>
      <c r="E418" s="1" t="s">
        <v>103</v>
      </c>
      <c r="F418" s="1" t="s">
        <v>1094</v>
      </c>
      <c r="G418" s="1" t="s">
        <v>1853</v>
      </c>
      <c r="H418" s="1" t="s">
        <v>127</v>
      </c>
      <c r="I418" s="1" t="s">
        <v>131</v>
      </c>
      <c r="J418" s="1"/>
      <c r="K418" s="9">
        <v>15080.05</v>
      </c>
      <c r="L418" s="1" t="s">
        <v>146</v>
      </c>
      <c r="M418" s="1" t="s">
        <v>15</v>
      </c>
      <c r="N418" s="1" t="s">
        <v>2827</v>
      </c>
      <c r="O418" s="1" t="s">
        <v>258</v>
      </c>
      <c r="P418" s="1">
        <v>0</v>
      </c>
      <c r="Q418" s="1" t="s">
        <v>1094</v>
      </c>
      <c r="R418" t="s">
        <v>2825</v>
      </c>
      <c r="S418" t="s">
        <v>3445</v>
      </c>
      <c r="T418" t="s">
        <v>3446</v>
      </c>
      <c r="U418" t="s">
        <v>17</v>
      </c>
    </row>
    <row r="419" spans="1:21">
      <c r="A419" s="1" t="s">
        <v>1284</v>
      </c>
      <c r="B419" s="1" t="s">
        <v>1285</v>
      </c>
      <c r="C419" s="1" t="s">
        <v>101</v>
      </c>
      <c r="D419" s="1" t="s">
        <v>102</v>
      </c>
      <c r="E419" s="1" t="s">
        <v>103</v>
      </c>
      <c r="F419" s="1" t="s">
        <v>1286</v>
      </c>
      <c r="G419" s="1"/>
      <c r="H419" s="1" t="s">
        <v>106</v>
      </c>
      <c r="I419" s="1" t="s">
        <v>108</v>
      </c>
      <c r="J419" s="1" t="s">
        <v>109</v>
      </c>
      <c r="K419" s="9">
        <v>-15498.94</v>
      </c>
      <c r="L419" s="1" t="s">
        <v>110</v>
      </c>
      <c r="M419" s="1" t="s">
        <v>15</v>
      </c>
      <c r="N419" s="1" t="s">
        <v>2993</v>
      </c>
      <c r="O419" s="1" t="s">
        <v>1678</v>
      </c>
      <c r="P419" s="1">
        <v>0</v>
      </c>
      <c r="Q419" s="1" t="s">
        <v>1286</v>
      </c>
      <c r="R419" t="s">
        <v>2823</v>
      </c>
      <c r="S419" t="s">
        <v>3447</v>
      </c>
      <c r="T419" t="s">
        <v>17</v>
      </c>
      <c r="U419" t="s">
        <v>3448</v>
      </c>
    </row>
    <row r="420" spans="1:21">
      <c r="A420" s="1" t="s">
        <v>2759</v>
      </c>
      <c r="B420" s="1" t="s">
        <v>2722</v>
      </c>
      <c r="C420" s="1" t="s">
        <v>42</v>
      </c>
      <c r="D420" s="1" t="s">
        <v>42</v>
      </c>
      <c r="E420" s="1" t="s">
        <v>103</v>
      </c>
      <c r="F420" s="1" t="s">
        <v>190</v>
      </c>
      <c r="G420" s="1"/>
      <c r="H420" s="1" t="s">
        <v>2379</v>
      </c>
      <c r="I420" s="1" t="s">
        <v>2380</v>
      </c>
      <c r="J420" s="1"/>
      <c r="K420" s="9">
        <v>-77075.87</v>
      </c>
      <c r="L420" s="1" t="s">
        <v>2535</v>
      </c>
      <c r="M420" s="1" t="s">
        <v>15</v>
      </c>
      <c r="N420" s="1" t="s">
        <v>3135</v>
      </c>
      <c r="O420" s="1" t="s">
        <v>190</v>
      </c>
      <c r="P420" s="1">
        <v>0</v>
      </c>
      <c r="Q420" s="1" t="s">
        <v>190</v>
      </c>
      <c r="R420" t="s">
        <v>2823</v>
      </c>
      <c r="S420" t="s">
        <v>3135</v>
      </c>
      <c r="T420" t="s">
        <v>17</v>
      </c>
      <c r="U420" t="s">
        <v>17</v>
      </c>
    </row>
    <row r="421" spans="1:21">
      <c r="A421" s="1" t="s">
        <v>2110</v>
      </c>
      <c r="B421" s="1" t="s">
        <v>2111</v>
      </c>
      <c r="C421" s="1" t="s">
        <v>101</v>
      </c>
      <c r="D421" s="1" t="s">
        <v>102</v>
      </c>
      <c r="E421" s="1" t="s">
        <v>103</v>
      </c>
      <c r="F421" s="1" t="s">
        <v>850</v>
      </c>
      <c r="G421" s="1"/>
      <c r="H421" s="1" t="s">
        <v>106</v>
      </c>
      <c r="I421" s="1" t="s">
        <v>108</v>
      </c>
      <c r="J421" s="1" t="s">
        <v>109</v>
      </c>
      <c r="K421" s="9">
        <v>-16336.73</v>
      </c>
      <c r="L421" s="1" t="s">
        <v>110</v>
      </c>
      <c r="M421" s="1" t="s">
        <v>15</v>
      </c>
      <c r="N421" s="1" t="s">
        <v>3077</v>
      </c>
      <c r="O421" s="1" t="s">
        <v>1218</v>
      </c>
      <c r="P421" s="1">
        <v>0</v>
      </c>
      <c r="Q421" s="1" t="s">
        <v>850</v>
      </c>
      <c r="R421" t="s">
        <v>2823</v>
      </c>
      <c r="S421" t="s">
        <v>3449</v>
      </c>
      <c r="T421" t="s">
        <v>17</v>
      </c>
      <c r="U421" t="s">
        <v>3450</v>
      </c>
    </row>
    <row r="422" spans="1:21">
      <c r="A422" s="1" t="s">
        <v>2128</v>
      </c>
      <c r="B422" s="1" t="s">
        <v>2129</v>
      </c>
      <c r="C422" s="1" t="s">
        <v>101</v>
      </c>
      <c r="D422" s="1" t="s">
        <v>124</v>
      </c>
      <c r="E422" s="1" t="s">
        <v>103</v>
      </c>
      <c r="F422" s="1" t="s">
        <v>375</v>
      </c>
      <c r="G422" s="1" t="s">
        <v>2130</v>
      </c>
      <c r="H422" s="1" t="s">
        <v>127</v>
      </c>
      <c r="I422" s="1" t="s">
        <v>131</v>
      </c>
      <c r="J422" s="1"/>
      <c r="K422" s="9">
        <v>12985.61</v>
      </c>
      <c r="L422" s="1" t="s">
        <v>132</v>
      </c>
      <c r="M422" s="1" t="s">
        <v>15</v>
      </c>
      <c r="N422" s="1" t="s">
        <v>2885</v>
      </c>
      <c r="O422" s="1" t="s">
        <v>314</v>
      </c>
      <c r="P422" s="1">
        <v>0</v>
      </c>
      <c r="Q422" s="1" t="s">
        <v>375</v>
      </c>
      <c r="R422" t="s">
        <v>2825</v>
      </c>
      <c r="S422" t="s">
        <v>3451</v>
      </c>
      <c r="T422" t="s">
        <v>3452</v>
      </c>
      <c r="U422" t="s">
        <v>17</v>
      </c>
    </row>
    <row r="423" spans="1:21">
      <c r="A423" s="1" t="s">
        <v>1530</v>
      </c>
      <c r="B423" s="1" t="s">
        <v>1531</v>
      </c>
      <c r="C423" s="1" t="s">
        <v>101</v>
      </c>
      <c r="D423" s="1" t="s">
        <v>124</v>
      </c>
      <c r="E423" s="1" t="s">
        <v>103</v>
      </c>
      <c r="F423" s="1" t="s">
        <v>1532</v>
      </c>
      <c r="G423" s="1" t="s">
        <v>1533</v>
      </c>
      <c r="H423" s="1" t="s">
        <v>127</v>
      </c>
      <c r="I423" s="1" t="s">
        <v>131</v>
      </c>
      <c r="J423" s="1"/>
      <c r="K423" s="9">
        <v>16755.62</v>
      </c>
      <c r="L423" s="1" t="s">
        <v>132</v>
      </c>
      <c r="M423" s="1" t="s">
        <v>15</v>
      </c>
      <c r="N423" s="1" t="s">
        <v>3102</v>
      </c>
      <c r="O423" s="1" t="s">
        <v>850</v>
      </c>
      <c r="P423" s="1">
        <v>0</v>
      </c>
      <c r="Q423" s="1" t="s">
        <v>1532</v>
      </c>
      <c r="R423" t="s">
        <v>2825</v>
      </c>
      <c r="S423" t="s">
        <v>3453</v>
      </c>
      <c r="T423" t="s">
        <v>3454</v>
      </c>
      <c r="U423" t="s">
        <v>17</v>
      </c>
    </row>
    <row r="424" spans="1:21">
      <c r="A424" s="1" t="s">
        <v>2257</v>
      </c>
      <c r="B424" s="1" t="s">
        <v>2258</v>
      </c>
      <c r="C424" s="1" t="s">
        <v>101</v>
      </c>
      <c r="D424" s="1" t="s">
        <v>124</v>
      </c>
      <c r="E424" s="1" t="s">
        <v>103</v>
      </c>
      <c r="F424" s="1" t="s">
        <v>2259</v>
      </c>
      <c r="G424" s="1" t="s">
        <v>2260</v>
      </c>
      <c r="H424" s="1" t="s">
        <v>127</v>
      </c>
      <c r="I424" s="1" t="s">
        <v>131</v>
      </c>
      <c r="J424" s="1"/>
      <c r="K424" s="9">
        <v>38859</v>
      </c>
      <c r="L424" s="1" t="s">
        <v>132</v>
      </c>
      <c r="M424" s="1" t="s">
        <v>15</v>
      </c>
      <c r="N424" s="1" t="s">
        <v>3455</v>
      </c>
      <c r="O424" s="1" t="s">
        <v>363</v>
      </c>
      <c r="P424" s="1">
        <v>0</v>
      </c>
      <c r="Q424" s="1" t="s">
        <v>2259</v>
      </c>
      <c r="R424" t="s">
        <v>2815</v>
      </c>
      <c r="S424" t="s">
        <v>3456</v>
      </c>
      <c r="T424" t="s">
        <v>3457</v>
      </c>
      <c r="U424" t="s">
        <v>17</v>
      </c>
    </row>
    <row r="425" spans="1:21">
      <c r="A425" s="1" t="s">
        <v>1503</v>
      </c>
      <c r="B425" s="1" t="s">
        <v>1504</v>
      </c>
      <c r="C425" s="1" t="s">
        <v>36</v>
      </c>
      <c r="D425" s="1" t="s">
        <v>124</v>
      </c>
      <c r="E425" s="1" t="s">
        <v>103</v>
      </c>
      <c r="F425" s="1" t="s">
        <v>1505</v>
      </c>
      <c r="G425" s="1" t="s">
        <v>1506</v>
      </c>
      <c r="H425" s="1" t="s">
        <v>127</v>
      </c>
      <c r="I425" s="1" t="s">
        <v>131</v>
      </c>
      <c r="J425" s="1"/>
      <c r="K425" s="9">
        <v>8260</v>
      </c>
      <c r="L425" s="1" t="s">
        <v>243</v>
      </c>
      <c r="M425" s="1" t="s">
        <v>15</v>
      </c>
      <c r="N425" s="1" t="s">
        <v>2838</v>
      </c>
      <c r="O425" s="1" t="s">
        <v>1337</v>
      </c>
      <c r="P425" s="1">
        <v>0</v>
      </c>
      <c r="Q425" s="1" t="s">
        <v>1505</v>
      </c>
      <c r="R425" t="s">
        <v>2825</v>
      </c>
      <c r="S425" t="s">
        <v>3458</v>
      </c>
      <c r="T425" t="s">
        <v>3459</v>
      </c>
      <c r="U425" t="s">
        <v>17</v>
      </c>
    </row>
    <row r="426" spans="1:21">
      <c r="A426" s="1" t="s">
        <v>1844</v>
      </c>
      <c r="B426" s="1" t="s">
        <v>1845</v>
      </c>
      <c r="C426" s="1" t="s">
        <v>101</v>
      </c>
      <c r="D426" s="1" t="s">
        <v>124</v>
      </c>
      <c r="E426" s="1" t="s">
        <v>103</v>
      </c>
      <c r="F426" s="1" t="s">
        <v>1068</v>
      </c>
      <c r="G426" s="1" t="s">
        <v>1846</v>
      </c>
      <c r="H426" s="1" t="s">
        <v>127</v>
      </c>
      <c r="I426" s="1" t="s">
        <v>131</v>
      </c>
      <c r="J426" s="1"/>
      <c r="K426" s="9">
        <v>29901.24</v>
      </c>
      <c r="L426" s="1" t="s">
        <v>132</v>
      </c>
      <c r="M426" s="1" t="s">
        <v>15</v>
      </c>
      <c r="N426" s="1" t="s">
        <v>3012</v>
      </c>
      <c r="O426" s="1" t="s">
        <v>3013</v>
      </c>
      <c r="P426" s="1">
        <v>0</v>
      </c>
      <c r="Q426" s="1" t="s">
        <v>1068</v>
      </c>
      <c r="R426" t="s">
        <v>2815</v>
      </c>
      <c r="S426" t="s">
        <v>3460</v>
      </c>
      <c r="T426" t="s">
        <v>3461</v>
      </c>
      <c r="U426" t="s">
        <v>17</v>
      </c>
    </row>
    <row r="427" spans="1:21">
      <c r="A427" s="1" t="s">
        <v>2760</v>
      </c>
      <c r="B427" s="1" t="s">
        <v>2601</v>
      </c>
      <c r="C427" s="1" t="s">
        <v>42</v>
      </c>
      <c r="D427" s="1" t="s">
        <v>42</v>
      </c>
      <c r="E427" s="1" t="s">
        <v>103</v>
      </c>
      <c r="F427" s="1" t="s">
        <v>1759</v>
      </c>
      <c r="G427" s="1"/>
      <c r="H427" s="1" t="s">
        <v>2379</v>
      </c>
      <c r="I427" s="1" t="s">
        <v>2380</v>
      </c>
      <c r="J427" s="1"/>
      <c r="K427" s="9">
        <v>31626.240000000002</v>
      </c>
      <c r="L427" s="1" t="s">
        <v>2535</v>
      </c>
      <c r="M427" s="1" t="s">
        <v>15</v>
      </c>
      <c r="N427" s="1" t="s">
        <v>2930</v>
      </c>
      <c r="O427" s="1" t="s">
        <v>1759</v>
      </c>
      <c r="P427" s="1">
        <v>0</v>
      </c>
      <c r="Q427" s="1" t="s">
        <v>1759</v>
      </c>
      <c r="R427" t="s">
        <v>2825</v>
      </c>
      <c r="S427" t="s">
        <v>2930</v>
      </c>
      <c r="T427" t="s">
        <v>17</v>
      </c>
      <c r="U427" t="s">
        <v>17</v>
      </c>
    </row>
    <row r="428" spans="1:21">
      <c r="A428" s="1" t="s">
        <v>2761</v>
      </c>
      <c r="B428" s="1" t="s">
        <v>2762</v>
      </c>
      <c r="C428" s="1" t="s">
        <v>42</v>
      </c>
      <c r="D428" s="1" t="s">
        <v>42</v>
      </c>
      <c r="E428" s="1" t="s">
        <v>103</v>
      </c>
      <c r="F428" s="1" t="s">
        <v>1011</v>
      </c>
      <c r="G428" s="1"/>
      <c r="H428" s="1" t="s">
        <v>2379</v>
      </c>
      <c r="I428" s="1" t="s">
        <v>2380</v>
      </c>
      <c r="J428" s="1"/>
      <c r="K428" s="9">
        <v>-15498.94</v>
      </c>
      <c r="L428" s="1" t="s">
        <v>2535</v>
      </c>
      <c r="M428" s="1" t="s">
        <v>15</v>
      </c>
      <c r="N428" s="1" t="s">
        <v>3064</v>
      </c>
      <c r="O428" s="1" t="s">
        <v>1011</v>
      </c>
      <c r="P428" s="1">
        <v>0</v>
      </c>
      <c r="Q428" s="1" t="s">
        <v>1011</v>
      </c>
      <c r="R428" t="s">
        <v>2825</v>
      </c>
      <c r="S428" t="s">
        <v>3064</v>
      </c>
      <c r="T428" t="s">
        <v>17</v>
      </c>
      <c r="U428" t="s">
        <v>17</v>
      </c>
    </row>
    <row r="429" spans="1:21">
      <c r="A429" s="1" t="s">
        <v>1651</v>
      </c>
      <c r="B429" s="1" t="s">
        <v>1652</v>
      </c>
      <c r="C429" s="1" t="s">
        <v>101</v>
      </c>
      <c r="D429" s="1" t="s">
        <v>352</v>
      </c>
      <c r="E429" s="1" t="s">
        <v>103</v>
      </c>
      <c r="F429" s="1" t="s">
        <v>1389</v>
      </c>
      <c r="G429" s="1"/>
      <c r="H429" s="1" t="s">
        <v>106</v>
      </c>
      <c r="I429" s="1" t="s">
        <v>108</v>
      </c>
      <c r="J429" s="1" t="s">
        <v>109</v>
      </c>
      <c r="K429" s="9">
        <v>-17803</v>
      </c>
      <c r="L429" s="1" t="s">
        <v>356</v>
      </c>
      <c r="M429" s="1" t="s">
        <v>15</v>
      </c>
      <c r="N429" s="1" t="s">
        <v>2960</v>
      </c>
      <c r="O429" s="1" t="s">
        <v>680</v>
      </c>
      <c r="P429" s="1">
        <v>0</v>
      </c>
      <c r="Q429" s="1" t="s">
        <v>1389</v>
      </c>
      <c r="R429" t="s">
        <v>2823</v>
      </c>
      <c r="S429" t="s">
        <v>3462</v>
      </c>
      <c r="T429" t="s">
        <v>17</v>
      </c>
      <c r="U429" t="s">
        <v>3463</v>
      </c>
    </row>
    <row r="430" spans="1:21">
      <c r="A430" s="1" t="s">
        <v>2224</v>
      </c>
      <c r="B430" s="1" t="s">
        <v>2225</v>
      </c>
      <c r="C430" s="1" t="s">
        <v>40</v>
      </c>
      <c r="D430" s="1" t="s">
        <v>124</v>
      </c>
      <c r="E430" s="1" t="s">
        <v>103</v>
      </c>
      <c r="F430" s="1" t="s">
        <v>314</v>
      </c>
      <c r="G430" s="1" t="s">
        <v>2226</v>
      </c>
      <c r="H430" s="1" t="s">
        <v>127</v>
      </c>
      <c r="I430" s="1" t="s">
        <v>131</v>
      </c>
      <c r="J430" s="1"/>
      <c r="K430" s="9">
        <v>18012.3</v>
      </c>
      <c r="L430" s="1" t="s">
        <v>146</v>
      </c>
      <c r="M430" s="1" t="s">
        <v>15</v>
      </c>
      <c r="N430" s="1" t="s">
        <v>2864</v>
      </c>
      <c r="O430" s="1" t="s">
        <v>1335</v>
      </c>
      <c r="P430" s="1">
        <v>0</v>
      </c>
      <c r="Q430" s="1" t="s">
        <v>314</v>
      </c>
      <c r="R430" t="s">
        <v>2825</v>
      </c>
      <c r="S430" t="s">
        <v>3464</v>
      </c>
      <c r="T430" t="s">
        <v>3465</v>
      </c>
      <c r="U430" t="s">
        <v>17</v>
      </c>
    </row>
    <row r="431" spans="1:21">
      <c r="A431" s="1" t="s">
        <v>1443</v>
      </c>
      <c r="B431" s="1" t="s">
        <v>1444</v>
      </c>
      <c r="C431" s="1" t="s">
        <v>36</v>
      </c>
      <c r="D431" s="1" t="s">
        <v>124</v>
      </c>
      <c r="E431" s="1" t="s">
        <v>103</v>
      </c>
      <c r="F431" s="1" t="s">
        <v>1402</v>
      </c>
      <c r="G431" s="1" t="s">
        <v>1445</v>
      </c>
      <c r="H431" s="1" t="s">
        <v>127</v>
      </c>
      <c r="I431" s="1" t="s">
        <v>131</v>
      </c>
      <c r="J431" s="1"/>
      <c r="K431" s="9">
        <v>8260</v>
      </c>
      <c r="L431" s="1" t="s">
        <v>243</v>
      </c>
      <c r="M431" s="1" t="s">
        <v>15</v>
      </c>
      <c r="N431" s="1" t="s">
        <v>2829</v>
      </c>
      <c r="O431" s="1" t="s">
        <v>1196</v>
      </c>
      <c r="P431" s="1">
        <v>0</v>
      </c>
      <c r="Q431" s="1" t="s">
        <v>1402</v>
      </c>
      <c r="R431" t="s">
        <v>2825</v>
      </c>
      <c r="S431" t="s">
        <v>3466</v>
      </c>
      <c r="T431" t="s">
        <v>3467</v>
      </c>
      <c r="U431" t="s">
        <v>17</v>
      </c>
    </row>
    <row r="432" spans="1:21">
      <c r="A432" s="1" t="s">
        <v>2763</v>
      </c>
      <c r="B432" s="1" t="s">
        <v>2729</v>
      </c>
      <c r="C432" s="1" t="s">
        <v>42</v>
      </c>
      <c r="D432" s="1" t="s">
        <v>42</v>
      </c>
      <c r="E432" s="1" t="s">
        <v>103</v>
      </c>
      <c r="F432" s="1" t="s">
        <v>151</v>
      </c>
      <c r="G432" s="1"/>
      <c r="H432" s="1" t="s">
        <v>2379</v>
      </c>
      <c r="I432" s="1" t="s">
        <v>2380</v>
      </c>
      <c r="J432" s="1"/>
      <c r="K432" s="9">
        <v>-82521.42</v>
      </c>
      <c r="L432" s="1" t="s">
        <v>2535</v>
      </c>
      <c r="M432" s="1" t="s">
        <v>15</v>
      </c>
      <c r="N432" s="1" t="s">
        <v>2988</v>
      </c>
      <c r="O432" s="1" t="s">
        <v>151</v>
      </c>
      <c r="P432" s="1">
        <v>0</v>
      </c>
      <c r="Q432" s="1" t="s">
        <v>151</v>
      </c>
      <c r="R432" t="s">
        <v>2825</v>
      </c>
      <c r="S432" t="s">
        <v>2988</v>
      </c>
      <c r="T432" t="s">
        <v>17</v>
      </c>
      <c r="U432" t="s">
        <v>17</v>
      </c>
    </row>
    <row r="433" spans="1:21">
      <c r="A433" s="1" t="s">
        <v>2764</v>
      </c>
      <c r="B433" s="1" t="s">
        <v>2606</v>
      </c>
      <c r="C433" s="1" t="s">
        <v>42</v>
      </c>
      <c r="D433" s="1" t="s">
        <v>42</v>
      </c>
      <c r="E433" s="1" t="s">
        <v>103</v>
      </c>
      <c r="F433" s="1" t="s">
        <v>2607</v>
      </c>
      <c r="G433" s="1"/>
      <c r="H433" s="1" t="s">
        <v>2379</v>
      </c>
      <c r="I433" s="1" t="s">
        <v>2380</v>
      </c>
      <c r="J433" s="1"/>
      <c r="K433" s="9">
        <v>14451.72</v>
      </c>
      <c r="L433" s="1" t="s">
        <v>2535</v>
      </c>
      <c r="M433" s="1" t="s">
        <v>15</v>
      </c>
      <c r="N433" s="1" t="s">
        <v>3028</v>
      </c>
      <c r="O433" s="1" t="s">
        <v>2607</v>
      </c>
      <c r="P433" s="1">
        <v>0</v>
      </c>
      <c r="Q433" s="1" t="s">
        <v>2607</v>
      </c>
      <c r="R433" t="s">
        <v>2823</v>
      </c>
      <c r="S433" t="s">
        <v>3028</v>
      </c>
      <c r="T433" t="s">
        <v>17</v>
      </c>
      <c r="U433" t="s">
        <v>17</v>
      </c>
    </row>
    <row r="434" spans="1:21">
      <c r="A434" s="1" t="s">
        <v>2765</v>
      </c>
      <c r="B434" s="1" t="s">
        <v>2757</v>
      </c>
      <c r="C434" s="1" t="s">
        <v>42</v>
      </c>
      <c r="D434" s="1" t="s">
        <v>42</v>
      </c>
      <c r="E434" s="1" t="s">
        <v>103</v>
      </c>
      <c r="F434" s="1" t="s">
        <v>251</v>
      </c>
      <c r="G434" s="1"/>
      <c r="H434" s="1" t="s">
        <v>2379</v>
      </c>
      <c r="I434" s="1" t="s">
        <v>2380</v>
      </c>
      <c r="J434" s="1"/>
      <c r="K434" s="9">
        <v>29322.34</v>
      </c>
      <c r="L434" s="1" t="s">
        <v>2535</v>
      </c>
      <c r="M434" s="1" t="s">
        <v>15</v>
      </c>
      <c r="N434" s="1" t="s">
        <v>3262</v>
      </c>
      <c r="O434" s="1" t="s">
        <v>251</v>
      </c>
      <c r="P434" s="1">
        <v>0</v>
      </c>
      <c r="Q434" s="1" t="s">
        <v>251</v>
      </c>
      <c r="R434" t="s">
        <v>2825</v>
      </c>
      <c r="S434" t="s">
        <v>3262</v>
      </c>
      <c r="T434" t="s">
        <v>17</v>
      </c>
      <c r="U434" t="s">
        <v>17</v>
      </c>
    </row>
    <row r="435" spans="1:21">
      <c r="A435" s="1" t="s">
        <v>640</v>
      </c>
      <c r="B435" s="1" t="s">
        <v>641</v>
      </c>
      <c r="C435" s="1" t="s">
        <v>101</v>
      </c>
      <c r="D435" s="1" t="s">
        <v>124</v>
      </c>
      <c r="E435" s="1" t="s">
        <v>103</v>
      </c>
      <c r="F435" s="1" t="s">
        <v>305</v>
      </c>
      <c r="G435" s="1" t="s">
        <v>643</v>
      </c>
      <c r="H435" s="1" t="s">
        <v>127</v>
      </c>
      <c r="I435" s="1" t="s">
        <v>131</v>
      </c>
      <c r="J435" s="1"/>
      <c r="K435" s="9">
        <v>17174.509999999998</v>
      </c>
      <c r="L435" s="1" t="s">
        <v>132</v>
      </c>
      <c r="M435" s="1" t="s">
        <v>15</v>
      </c>
      <c r="N435" s="1" t="s">
        <v>2830</v>
      </c>
      <c r="O435" s="1" t="s">
        <v>1986</v>
      </c>
      <c r="P435" s="1">
        <v>0</v>
      </c>
      <c r="Q435" s="1" t="s">
        <v>305</v>
      </c>
      <c r="R435" t="s">
        <v>2825</v>
      </c>
      <c r="S435" t="s">
        <v>3468</v>
      </c>
      <c r="T435" t="s">
        <v>3469</v>
      </c>
      <c r="U435" t="s">
        <v>17</v>
      </c>
    </row>
    <row r="436" spans="1:21">
      <c r="A436" s="1" t="s">
        <v>2766</v>
      </c>
      <c r="B436" s="1" t="s">
        <v>2589</v>
      </c>
      <c r="C436" s="1" t="s">
        <v>42</v>
      </c>
      <c r="D436" s="1" t="s">
        <v>42</v>
      </c>
      <c r="E436" s="1" t="s">
        <v>103</v>
      </c>
      <c r="F436" s="1" t="s">
        <v>2147</v>
      </c>
      <c r="G436" s="1"/>
      <c r="H436" s="1" t="s">
        <v>2379</v>
      </c>
      <c r="I436" s="1" t="s">
        <v>2380</v>
      </c>
      <c r="J436" s="1"/>
      <c r="K436" s="9">
        <v>-57806.9</v>
      </c>
      <c r="L436" s="1" t="s">
        <v>2535</v>
      </c>
      <c r="M436" s="1" t="s">
        <v>15</v>
      </c>
      <c r="N436" s="1" t="s">
        <v>2999</v>
      </c>
      <c r="O436" s="1" t="s">
        <v>2147</v>
      </c>
      <c r="P436" s="1">
        <v>0</v>
      </c>
      <c r="Q436" s="1" t="s">
        <v>2147</v>
      </c>
      <c r="R436" t="s">
        <v>2825</v>
      </c>
      <c r="S436" t="s">
        <v>2999</v>
      </c>
      <c r="T436" t="s">
        <v>17</v>
      </c>
      <c r="U436" t="s">
        <v>17</v>
      </c>
    </row>
    <row r="437" spans="1:21">
      <c r="A437" s="1" t="s">
        <v>2767</v>
      </c>
      <c r="B437" s="1" t="s">
        <v>2543</v>
      </c>
      <c r="C437" s="1" t="s">
        <v>42</v>
      </c>
      <c r="D437" s="1" t="s">
        <v>42</v>
      </c>
      <c r="E437" s="1" t="s">
        <v>103</v>
      </c>
      <c r="F437" s="1" t="s">
        <v>901</v>
      </c>
      <c r="G437" s="1"/>
      <c r="H437" s="1" t="s">
        <v>2379</v>
      </c>
      <c r="I437" s="1" t="s">
        <v>2380</v>
      </c>
      <c r="J437" s="1"/>
      <c r="K437" s="9">
        <v>-25342.9</v>
      </c>
      <c r="L437" s="1" t="s">
        <v>2535</v>
      </c>
      <c r="M437" s="1" t="s">
        <v>15</v>
      </c>
      <c r="N437" s="1" t="s">
        <v>2876</v>
      </c>
      <c r="O437" s="1" t="s">
        <v>901</v>
      </c>
      <c r="P437" s="1">
        <v>0</v>
      </c>
      <c r="Q437" s="1" t="s">
        <v>901</v>
      </c>
      <c r="R437" t="s">
        <v>2825</v>
      </c>
      <c r="S437" t="s">
        <v>2876</v>
      </c>
      <c r="T437" t="s">
        <v>17</v>
      </c>
      <c r="U437" t="s">
        <v>17</v>
      </c>
    </row>
    <row r="438" spans="1:21">
      <c r="A438" s="1" t="s">
        <v>2768</v>
      </c>
      <c r="B438" s="1" t="s">
        <v>2769</v>
      </c>
      <c r="C438" s="1" t="s">
        <v>42</v>
      </c>
      <c r="D438" s="1" t="s">
        <v>42</v>
      </c>
      <c r="E438" s="1" t="s">
        <v>103</v>
      </c>
      <c r="F438" s="1" t="s">
        <v>958</v>
      </c>
      <c r="G438" s="1"/>
      <c r="H438" s="1" t="s">
        <v>2379</v>
      </c>
      <c r="I438" s="1" t="s">
        <v>2380</v>
      </c>
      <c r="J438" s="1"/>
      <c r="K438" s="9">
        <v>56340.800000000003</v>
      </c>
      <c r="L438" s="1" t="s">
        <v>2535</v>
      </c>
      <c r="M438" s="1" t="s">
        <v>15</v>
      </c>
      <c r="N438" s="1" t="s">
        <v>2948</v>
      </c>
      <c r="O438" s="1" t="s">
        <v>958</v>
      </c>
      <c r="P438" s="1">
        <v>0</v>
      </c>
      <c r="Q438" s="1" t="s">
        <v>958</v>
      </c>
      <c r="R438" t="s">
        <v>2825</v>
      </c>
      <c r="S438" t="s">
        <v>2948</v>
      </c>
      <c r="T438" t="s">
        <v>17</v>
      </c>
      <c r="U438" t="s">
        <v>17</v>
      </c>
    </row>
    <row r="439" spans="1:21">
      <c r="A439" s="1" t="s">
        <v>2770</v>
      </c>
      <c r="B439" s="1" t="s">
        <v>2771</v>
      </c>
      <c r="C439" s="1" t="s">
        <v>42</v>
      </c>
      <c r="D439" s="1" t="s">
        <v>42</v>
      </c>
      <c r="E439" s="1" t="s">
        <v>103</v>
      </c>
      <c r="F439" s="1" t="s">
        <v>174</v>
      </c>
      <c r="G439" s="1"/>
      <c r="H439" s="1" t="s">
        <v>2379</v>
      </c>
      <c r="I439" s="1" t="s">
        <v>2380</v>
      </c>
      <c r="J439" s="1"/>
      <c r="K439" s="9">
        <v>-51523.54</v>
      </c>
      <c r="L439" s="1" t="s">
        <v>2535</v>
      </c>
      <c r="M439" s="1" t="s">
        <v>15</v>
      </c>
      <c r="N439" s="1" t="s">
        <v>2905</v>
      </c>
      <c r="O439" s="1" t="s">
        <v>174</v>
      </c>
      <c r="P439" s="1">
        <v>0</v>
      </c>
      <c r="Q439" s="1" t="s">
        <v>174</v>
      </c>
      <c r="R439" t="s">
        <v>2825</v>
      </c>
      <c r="S439" t="s">
        <v>2905</v>
      </c>
      <c r="T439" t="s">
        <v>17</v>
      </c>
      <c r="U439" t="s">
        <v>17</v>
      </c>
    </row>
    <row r="440" spans="1:21">
      <c r="A440" s="1" t="s">
        <v>755</v>
      </c>
      <c r="B440" s="1" t="s">
        <v>756</v>
      </c>
      <c r="C440" s="1" t="s">
        <v>101</v>
      </c>
      <c r="D440" s="1" t="s">
        <v>124</v>
      </c>
      <c r="E440" s="1" t="s">
        <v>103</v>
      </c>
      <c r="F440" s="1" t="s">
        <v>629</v>
      </c>
      <c r="G440" s="1" t="s">
        <v>757</v>
      </c>
      <c r="H440" s="1" t="s">
        <v>127</v>
      </c>
      <c r="I440" s="1" t="s">
        <v>131</v>
      </c>
      <c r="J440" s="1"/>
      <c r="K440" s="9">
        <v>9843.93</v>
      </c>
      <c r="L440" s="1" t="s">
        <v>132</v>
      </c>
      <c r="M440" s="1" t="s">
        <v>15</v>
      </c>
      <c r="N440" s="1" t="s">
        <v>2979</v>
      </c>
      <c r="O440" s="1" t="s">
        <v>1079</v>
      </c>
      <c r="P440" s="1">
        <v>0</v>
      </c>
      <c r="Q440" s="1" t="s">
        <v>629</v>
      </c>
      <c r="R440" t="s">
        <v>2825</v>
      </c>
      <c r="S440" t="s">
        <v>3470</v>
      </c>
      <c r="T440" t="s">
        <v>3471</v>
      </c>
      <c r="U440" t="s">
        <v>17</v>
      </c>
    </row>
    <row r="441" spans="1:21">
      <c r="A441" s="1" t="s">
        <v>947</v>
      </c>
      <c r="B441" s="1" t="s">
        <v>948</v>
      </c>
      <c r="C441" s="1" t="s">
        <v>101</v>
      </c>
      <c r="D441" s="1" t="s">
        <v>124</v>
      </c>
      <c r="E441" s="1" t="s">
        <v>103</v>
      </c>
      <c r="F441" s="1" t="s">
        <v>454</v>
      </c>
      <c r="G441" s="1" t="s">
        <v>949</v>
      </c>
      <c r="H441" s="1" t="s">
        <v>127</v>
      </c>
      <c r="I441" s="1" t="s">
        <v>131</v>
      </c>
      <c r="J441" s="1"/>
      <c r="K441" s="9">
        <v>18012.3</v>
      </c>
      <c r="L441" s="1" t="s">
        <v>132</v>
      </c>
      <c r="M441" s="1" t="s">
        <v>15</v>
      </c>
      <c r="N441" s="1" t="s">
        <v>2839</v>
      </c>
      <c r="O441" s="1" t="s">
        <v>338</v>
      </c>
      <c r="P441" s="1">
        <v>0</v>
      </c>
      <c r="Q441" s="1" t="s">
        <v>454</v>
      </c>
      <c r="R441" t="s">
        <v>2825</v>
      </c>
      <c r="S441" t="s">
        <v>3472</v>
      </c>
      <c r="T441" t="s">
        <v>3473</v>
      </c>
      <c r="U441" t="s">
        <v>17</v>
      </c>
    </row>
    <row r="442" spans="1:21">
      <c r="A442" s="1" t="s">
        <v>2525</v>
      </c>
      <c r="B442" s="1" t="s">
        <v>17</v>
      </c>
      <c r="C442" s="1" t="s">
        <v>33</v>
      </c>
      <c r="D442" s="1" t="s">
        <v>2391</v>
      </c>
      <c r="E442" s="1" t="s">
        <v>103</v>
      </c>
      <c r="F442" s="1" t="s">
        <v>298</v>
      </c>
      <c r="G442" s="1"/>
      <c r="H442" s="1" t="s">
        <v>2379</v>
      </c>
      <c r="I442" s="1" t="s">
        <v>2380</v>
      </c>
      <c r="J442" s="1"/>
      <c r="K442" s="9">
        <v>68858.83</v>
      </c>
      <c r="L442" s="1" t="s">
        <v>2494</v>
      </c>
      <c r="M442" s="1" t="s">
        <v>15</v>
      </c>
      <c r="N442" s="1" t="s">
        <v>2832</v>
      </c>
      <c r="O442" s="1" t="s">
        <v>298</v>
      </c>
      <c r="P442" s="1">
        <v>0</v>
      </c>
      <c r="Q442" s="1" t="s">
        <v>298</v>
      </c>
      <c r="R442" t="s">
        <v>2825</v>
      </c>
      <c r="S442" t="s">
        <v>2832</v>
      </c>
      <c r="T442" t="s">
        <v>17</v>
      </c>
      <c r="U442" t="s">
        <v>17</v>
      </c>
    </row>
    <row r="443" spans="1:21">
      <c r="A443" s="1" t="s">
        <v>845</v>
      </c>
      <c r="B443" s="1" t="s">
        <v>846</v>
      </c>
      <c r="C443" s="1" t="s">
        <v>101</v>
      </c>
      <c r="D443" s="1" t="s">
        <v>124</v>
      </c>
      <c r="E443" s="1" t="s">
        <v>103</v>
      </c>
      <c r="F443" s="1" t="s">
        <v>204</v>
      </c>
      <c r="G443" s="1" t="s">
        <v>847</v>
      </c>
      <c r="H443" s="1" t="s">
        <v>127</v>
      </c>
      <c r="I443" s="1" t="s">
        <v>131</v>
      </c>
      <c r="J443" s="1"/>
      <c r="K443" s="9">
        <v>17802.84</v>
      </c>
      <c r="L443" s="1" t="s">
        <v>132</v>
      </c>
      <c r="M443" s="1" t="s">
        <v>15</v>
      </c>
      <c r="N443" s="1" t="s">
        <v>2898</v>
      </c>
      <c r="O443" s="1" t="s">
        <v>462</v>
      </c>
      <c r="P443" s="1">
        <v>0</v>
      </c>
      <c r="Q443" s="1" t="s">
        <v>204</v>
      </c>
      <c r="R443" t="s">
        <v>2825</v>
      </c>
      <c r="S443" t="s">
        <v>3474</v>
      </c>
      <c r="T443" t="s">
        <v>3475</v>
      </c>
      <c r="U443" t="s">
        <v>17</v>
      </c>
    </row>
    <row r="444" spans="1:21">
      <c r="A444" s="1" t="s">
        <v>2772</v>
      </c>
      <c r="B444" s="1" t="s">
        <v>2771</v>
      </c>
      <c r="C444" s="1" t="s">
        <v>42</v>
      </c>
      <c r="D444" s="1" t="s">
        <v>42</v>
      </c>
      <c r="E444" s="1" t="s">
        <v>103</v>
      </c>
      <c r="F444" s="1" t="s">
        <v>174</v>
      </c>
      <c r="G444" s="1"/>
      <c r="H444" s="1" t="s">
        <v>2379</v>
      </c>
      <c r="I444" s="1" t="s">
        <v>2380</v>
      </c>
      <c r="J444" s="1"/>
      <c r="K444" s="9">
        <v>51523.55</v>
      </c>
      <c r="L444" s="1" t="s">
        <v>2535</v>
      </c>
      <c r="M444" s="1" t="s">
        <v>15</v>
      </c>
      <c r="N444" s="1" t="s">
        <v>2905</v>
      </c>
      <c r="O444" s="1" t="s">
        <v>174</v>
      </c>
      <c r="P444" s="1">
        <v>0</v>
      </c>
      <c r="Q444" s="1" t="s">
        <v>174</v>
      </c>
      <c r="R444" t="s">
        <v>2825</v>
      </c>
      <c r="S444" t="s">
        <v>2905</v>
      </c>
      <c r="T444" t="s">
        <v>17</v>
      </c>
      <c r="U444" t="s">
        <v>17</v>
      </c>
    </row>
    <row r="445" spans="1:21">
      <c r="A445" s="1" t="s">
        <v>2773</v>
      </c>
      <c r="B445" s="1" t="s">
        <v>2666</v>
      </c>
      <c r="C445" s="1" t="s">
        <v>42</v>
      </c>
      <c r="D445" s="1" t="s">
        <v>42</v>
      </c>
      <c r="E445" s="1" t="s">
        <v>103</v>
      </c>
      <c r="F445" s="1" t="s">
        <v>783</v>
      </c>
      <c r="G445" s="1"/>
      <c r="H445" s="1" t="s">
        <v>2379</v>
      </c>
      <c r="I445" s="1" t="s">
        <v>2380</v>
      </c>
      <c r="J445" s="1"/>
      <c r="K445" s="9">
        <v>19060</v>
      </c>
      <c r="L445" s="1" t="s">
        <v>2535</v>
      </c>
      <c r="M445" s="1" t="s">
        <v>15</v>
      </c>
      <c r="N445" s="1" t="s">
        <v>2996</v>
      </c>
      <c r="O445" s="1" t="s">
        <v>783</v>
      </c>
      <c r="P445" s="1">
        <v>0</v>
      </c>
      <c r="Q445" s="1" t="s">
        <v>783</v>
      </c>
      <c r="R445" t="s">
        <v>2823</v>
      </c>
      <c r="S445" t="s">
        <v>2996</v>
      </c>
      <c r="T445" t="s">
        <v>17</v>
      </c>
      <c r="U445" t="s">
        <v>17</v>
      </c>
    </row>
    <row r="446" spans="1:21">
      <c r="A446" s="1" t="s">
        <v>1705</v>
      </c>
      <c r="B446" s="1" t="s">
        <v>1706</v>
      </c>
      <c r="C446" s="1" t="s">
        <v>101</v>
      </c>
      <c r="D446" s="1" t="s">
        <v>124</v>
      </c>
      <c r="E446" s="1" t="s">
        <v>103</v>
      </c>
      <c r="F446" s="1" t="s">
        <v>1079</v>
      </c>
      <c r="G446" s="1" t="s">
        <v>1707</v>
      </c>
      <c r="H446" s="1" t="s">
        <v>127</v>
      </c>
      <c r="I446" s="1" t="s">
        <v>131</v>
      </c>
      <c r="J446" s="1"/>
      <c r="K446" s="9">
        <v>6073.9</v>
      </c>
      <c r="L446" s="1" t="s">
        <v>132</v>
      </c>
      <c r="M446" s="1" t="s">
        <v>15</v>
      </c>
      <c r="N446" s="1" t="s">
        <v>2865</v>
      </c>
      <c r="O446" s="1" t="s">
        <v>1052</v>
      </c>
      <c r="P446" s="1">
        <v>0</v>
      </c>
      <c r="Q446" s="1" t="s">
        <v>1079</v>
      </c>
      <c r="R446" t="s">
        <v>2825</v>
      </c>
      <c r="S446" t="s">
        <v>3476</v>
      </c>
      <c r="T446" t="s">
        <v>3477</v>
      </c>
      <c r="U446" t="s">
        <v>17</v>
      </c>
    </row>
    <row r="447" spans="1:21">
      <c r="A447" s="1" t="s">
        <v>2774</v>
      </c>
      <c r="B447" s="1" t="s">
        <v>2775</v>
      </c>
      <c r="C447" s="1" t="s">
        <v>42</v>
      </c>
      <c r="D447" s="1" t="s">
        <v>42</v>
      </c>
      <c r="E447" s="1" t="s">
        <v>103</v>
      </c>
      <c r="F447" s="1" t="s">
        <v>1052</v>
      </c>
      <c r="G447" s="1"/>
      <c r="H447" s="1" t="s">
        <v>2379</v>
      </c>
      <c r="I447" s="1" t="s">
        <v>2380</v>
      </c>
      <c r="J447" s="1"/>
      <c r="K447" s="9">
        <v>89013.58</v>
      </c>
      <c r="L447" s="1" t="s">
        <v>2535</v>
      </c>
      <c r="M447" s="1" t="s">
        <v>15</v>
      </c>
      <c r="N447" s="1" t="s">
        <v>2865</v>
      </c>
      <c r="O447" s="1" t="s">
        <v>1052</v>
      </c>
      <c r="P447" s="1">
        <v>0</v>
      </c>
      <c r="Q447" s="1" t="s">
        <v>1052</v>
      </c>
      <c r="R447" t="s">
        <v>2825</v>
      </c>
      <c r="S447" t="s">
        <v>2865</v>
      </c>
      <c r="T447" t="s">
        <v>17</v>
      </c>
      <c r="U447" t="s">
        <v>17</v>
      </c>
    </row>
    <row r="448" spans="1:21">
      <c r="A448" s="1" t="s">
        <v>1381</v>
      </c>
      <c r="B448" s="1" t="s">
        <v>1382</v>
      </c>
      <c r="C448" s="1" t="s">
        <v>101</v>
      </c>
      <c r="D448" s="1" t="s">
        <v>124</v>
      </c>
      <c r="E448" s="1" t="s">
        <v>103</v>
      </c>
      <c r="F448" s="1" t="s">
        <v>1361</v>
      </c>
      <c r="G448" s="1" t="s">
        <v>1383</v>
      </c>
      <c r="H448" s="1" t="s">
        <v>127</v>
      </c>
      <c r="I448" s="1" t="s">
        <v>131</v>
      </c>
      <c r="J448" s="1"/>
      <c r="K448" s="9">
        <v>15917.84</v>
      </c>
      <c r="L448" s="1" t="s">
        <v>132</v>
      </c>
      <c r="M448" s="1" t="s">
        <v>15</v>
      </c>
      <c r="N448" s="1" t="s">
        <v>2885</v>
      </c>
      <c r="O448" s="1" t="s">
        <v>314</v>
      </c>
      <c r="P448" s="1">
        <v>0</v>
      </c>
      <c r="Q448" s="1" t="s">
        <v>1361</v>
      </c>
      <c r="R448" t="s">
        <v>2825</v>
      </c>
      <c r="S448" t="s">
        <v>3478</v>
      </c>
      <c r="T448" t="s">
        <v>3479</v>
      </c>
      <c r="U448" t="s">
        <v>17</v>
      </c>
    </row>
    <row r="449" spans="1:21">
      <c r="A449" s="1" t="s">
        <v>1194</v>
      </c>
      <c r="B449" s="1" t="s">
        <v>1195</v>
      </c>
      <c r="C449" s="1" t="s">
        <v>101</v>
      </c>
      <c r="D449" s="1" t="s">
        <v>124</v>
      </c>
      <c r="E449" s="1" t="s">
        <v>103</v>
      </c>
      <c r="F449" s="1" t="s">
        <v>849</v>
      </c>
      <c r="G449" s="1" t="s">
        <v>1197</v>
      </c>
      <c r="H449" s="1" t="s">
        <v>127</v>
      </c>
      <c r="I449" s="1" t="s">
        <v>131</v>
      </c>
      <c r="J449" s="1"/>
      <c r="K449" s="9">
        <v>13613.94</v>
      </c>
      <c r="L449" s="1" t="s">
        <v>132</v>
      </c>
      <c r="M449" s="1" t="s">
        <v>15</v>
      </c>
      <c r="N449" s="1" t="s">
        <v>2968</v>
      </c>
      <c r="O449" s="1" t="s">
        <v>726</v>
      </c>
      <c r="P449" s="1">
        <v>0</v>
      </c>
      <c r="Q449" s="1" t="s">
        <v>849</v>
      </c>
      <c r="R449" t="s">
        <v>2825</v>
      </c>
      <c r="S449" t="s">
        <v>3480</v>
      </c>
      <c r="T449" t="s">
        <v>3481</v>
      </c>
      <c r="U449" t="s">
        <v>17</v>
      </c>
    </row>
    <row r="450" spans="1:21">
      <c r="A450" s="1" t="s">
        <v>2776</v>
      </c>
      <c r="B450" s="1" t="s">
        <v>2715</v>
      </c>
      <c r="C450" s="1" t="s">
        <v>42</v>
      </c>
      <c r="D450" s="1" t="s">
        <v>42</v>
      </c>
      <c r="E450" s="1" t="s">
        <v>103</v>
      </c>
      <c r="F450" s="1" t="s">
        <v>1457</v>
      </c>
      <c r="G450" s="1"/>
      <c r="H450" s="1" t="s">
        <v>2379</v>
      </c>
      <c r="I450" s="1" t="s">
        <v>2380</v>
      </c>
      <c r="J450" s="1"/>
      <c r="K450" s="9">
        <v>15708</v>
      </c>
      <c r="L450" s="1" t="s">
        <v>2535</v>
      </c>
      <c r="M450" s="1" t="s">
        <v>15</v>
      </c>
      <c r="N450" s="1" t="s">
        <v>3123</v>
      </c>
      <c r="O450" s="1" t="s">
        <v>1457</v>
      </c>
      <c r="P450" s="1">
        <v>0</v>
      </c>
      <c r="Q450" s="1" t="s">
        <v>1457</v>
      </c>
      <c r="R450" t="s">
        <v>2825</v>
      </c>
      <c r="S450" t="s">
        <v>3123</v>
      </c>
      <c r="T450" t="s">
        <v>17</v>
      </c>
      <c r="U450" t="s">
        <v>17</v>
      </c>
    </row>
    <row r="451" spans="1:21">
      <c r="A451" s="1" t="s">
        <v>303</v>
      </c>
      <c r="B451" s="1" t="s">
        <v>304</v>
      </c>
      <c r="C451" s="1" t="s">
        <v>101</v>
      </c>
      <c r="D451" s="1" t="s">
        <v>102</v>
      </c>
      <c r="E451" s="1" t="s">
        <v>103</v>
      </c>
      <c r="F451" s="1" t="s">
        <v>305</v>
      </c>
      <c r="G451" s="1"/>
      <c r="H451" s="1" t="s">
        <v>106</v>
      </c>
      <c r="I451" s="1" t="s">
        <v>108</v>
      </c>
      <c r="J451" s="1" t="s">
        <v>109</v>
      </c>
      <c r="K451" s="9">
        <v>-18431.189999999999</v>
      </c>
      <c r="L451" s="1" t="s">
        <v>110</v>
      </c>
      <c r="M451" s="1" t="s">
        <v>15</v>
      </c>
      <c r="N451" s="1" t="s">
        <v>2959</v>
      </c>
      <c r="O451" s="1" t="s">
        <v>1674</v>
      </c>
      <c r="P451" s="1">
        <v>0</v>
      </c>
      <c r="Q451" s="1" t="s">
        <v>305</v>
      </c>
      <c r="R451" t="s">
        <v>2823</v>
      </c>
      <c r="S451" t="s">
        <v>3482</v>
      </c>
      <c r="T451" t="s">
        <v>17</v>
      </c>
      <c r="U451" t="s">
        <v>3483</v>
      </c>
    </row>
    <row r="452" spans="1:21">
      <c r="A452" s="1" t="s">
        <v>591</v>
      </c>
      <c r="B452" s="1" t="s">
        <v>592</v>
      </c>
      <c r="C452" s="1" t="s">
        <v>101</v>
      </c>
      <c r="D452" s="1" t="s">
        <v>102</v>
      </c>
      <c r="E452" s="1" t="s">
        <v>103</v>
      </c>
      <c r="F452" s="1" t="s">
        <v>180</v>
      </c>
      <c r="G452" s="1"/>
      <c r="H452" s="1" t="s">
        <v>106</v>
      </c>
      <c r="I452" s="1" t="s">
        <v>108</v>
      </c>
      <c r="J452" s="1" t="s">
        <v>109</v>
      </c>
      <c r="K452" s="9">
        <v>-18012.3</v>
      </c>
      <c r="L452" s="1" t="s">
        <v>110</v>
      </c>
      <c r="M452" s="1" t="s">
        <v>15</v>
      </c>
      <c r="N452" s="1" t="s">
        <v>3129</v>
      </c>
      <c r="O452" s="1" t="s">
        <v>2335</v>
      </c>
      <c r="P452" s="1">
        <v>0</v>
      </c>
      <c r="Q452" s="1" t="s">
        <v>180</v>
      </c>
      <c r="R452" t="s">
        <v>2823</v>
      </c>
      <c r="S452" t="s">
        <v>3484</v>
      </c>
      <c r="T452" t="s">
        <v>17</v>
      </c>
      <c r="U452" t="s">
        <v>3485</v>
      </c>
    </row>
    <row r="453" spans="1:21">
      <c r="A453" s="1" t="s">
        <v>1404</v>
      </c>
      <c r="B453" s="1" t="s">
        <v>1405</v>
      </c>
      <c r="C453" s="1" t="s">
        <v>101</v>
      </c>
      <c r="D453" s="1" t="s">
        <v>102</v>
      </c>
      <c r="E453" s="1" t="s">
        <v>103</v>
      </c>
      <c r="F453" s="1" t="s">
        <v>1406</v>
      </c>
      <c r="G453" s="1"/>
      <c r="H453" s="1" t="s">
        <v>106</v>
      </c>
      <c r="I453" s="1" t="s">
        <v>108</v>
      </c>
      <c r="J453" s="1" t="s">
        <v>230</v>
      </c>
      <c r="K453" s="9">
        <v>-65101.440000000002</v>
      </c>
      <c r="L453" s="1" t="s">
        <v>110</v>
      </c>
      <c r="M453" s="1" t="s">
        <v>15</v>
      </c>
      <c r="N453" s="1" t="s">
        <v>2982</v>
      </c>
      <c r="O453" s="1" t="s">
        <v>2259</v>
      </c>
      <c r="P453" s="1">
        <v>0</v>
      </c>
      <c r="Q453" s="1" t="s">
        <v>2259</v>
      </c>
      <c r="R453" t="s">
        <v>2823</v>
      </c>
      <c r="S453" t="s">
        <v>2982</v>
      </c>
      <c r="T453" t="s">
        <v>17</v>
      </c>
      <c r="U453" t="s">
        <v>3486</v>
      </c>
    </row>
    <row r="454" spans="1:21">
      <c r="A454" s="1" t="s">
        <v>1752</v>
      </c>
      <c r="B454" s="1" t="s">
        <v>1753</v>
      </c>
      <c r="C454" s="1" t="s">
        <v>40</v>
      </c>
      <c r="D454" s="1" t="s">
        <v>124</v>
      </c>
      <c r="E454" s="1" t="s">
        <v>103</v>
      </c>
      <c r="F454" s="1" t="s">
        <v>1551</v>
      </c>
      <c r="G454" s="1" t="s">
        <v>1754</v>
      </c>
      <c r="H454" s="1" t="s">
        <v>127</v>
      </c>
      <c r="I454" s="1" t="s">
        <v>131</v>
      </c>
      <c r="J454" s="1"/>
      <c r="K454" s="9">
        <v>14870.62</v>
      </c>
      <c r="L454" s="1" t="s">
        <v>146</v>
      </c>
      <c r="M454" s="1" t="s">
        <v>15</v>
      </c>
      <c r="N454" s="1" t="s">
        <v>2875</v>
      </c>
      <c r="O454" s="1" t="s">
        <v>517</v>
      </c>
      <c r="P454" s="1">
        <v>0</v>
      </c>
      <c r="Q454" s="1" t="s">
        <v>1551</v>
      </c>
      <c r="R454" t="s">
        <v>2825</v>
      </c>
      <c r="S454" t="s">
        <v>3487</v>
      </c>
      <c r="T454" t="s">
        <v>3488</v>
      </c>
      <c r="U454" t="s">
        <v>17</v>
      </c>
    </row>
    <row r="455" spans="1:21">
      <c r="A455" s="1" t="s">
        <v>1789</v>
      </c>
      <c r="B455" s="1" t="s">
        <v>1790</v>
      </c>
      <c r="C455" s="1" t="s">
        <v>40</v>
      </c>
      <c r="D455" s="1" t="s">
        <v>124</v>
      </c>
      <c r="E455" s="1" t="s">
        <v>103</v>
      </c>
      <c r="F455" s="1" t="s">
        <v>393</v>
      </c>
      <c r="G455" s="1" t="s">
        <v>1791</v>
      </c>
      <c r="H455" s="1" t="s">
        <v>127</v>
      </c>
      <c r="I455" s="1" t="s">
        <v>131</v>
      </c>
      <c r="J455" s="1"/>
      <c r="K455" s="9">
        <v>15080.05</v>
      </c>
      <c r="L455" s="1" t="s">
        <v>146</v>
      </c>
      <c r="M455" s="1" t="s">
        <v>15</v>
      </c>
      <c r="N455" s="1" t="s">
        <v>2827</v>
      </c>
      <c r="O455" s="1" t="s">
        <v>258</v>
      </c>
      <c r="P455" s="1">
        <v>0</v>
      </c>
      <c r="Q455" s="1" t="s">
        <v>393</v>
      </c>
      <c r="R455" t="s">
        <v>2825</v>
      </c>
      <c r="S455" t="s">
        <v>3489</v>
      </c>
      <c r="T455" t="s">
        <v>3490</v>
      </c>
      <c r="U455" t="s">
        <v>17</v>
      </c>
    </row>
    <row r="456" spans="1:21">
      <c r="A456" s="1" t="s">
        <v>2777</v>
      </c>
      <c r="B456" s="1" t="s">
        <v>2769</v>
      </c>
      <c r="C456" s="1" t="s">
        <v>42</v>
      </c>
      <c r="D456" s="1" t="s">
        <v>42</v>
      </c>
      <c r="E456" s="1" t="s">
        <v>103</v>
      </c>
      <c r="F456" s="1" t="s">
        <v>958</v>
      </c>
      <c r="G456" s="1"/>
      <c r="H456" s="1" t="s">
        <v>2379</v>
      </c>
      <c r="I456" s="1" t="s">
        <v>2380</v>
      </c>
      <c r="J456" s="1"/>
      <c r="K456" s="9">
        <v>-56340.800000000003</v>
      </c>
      <c r="L456" s="1" t="s">
        <v>2535</v>
      </c>
      <c r="M456" s="1" t="s">
        <v>15</v>
      </c>
      <c r="N456" s="1" t="s">
        <v>2948</v>
      </c>
      <c r="O456" s="1" t="s">
        <v>958</v>
      </c>
      <c r="P456" s="1">
        <v>0</v>
      </c>
      <c r="Q456" s="1" t="s">
        <v>958</v>
      </c>
      <c r="R456" t="s">
        <v>2825</v>
      </c>
      <c r="S456" t="s">
        <v>2948</v>
      </c>
      <c r="T456" t="s">
        <v>17</v>
      </c>
      <c r="U456" t="s">
        <v>17</v>
      </c>
    </row>
    <row r="457" spans="1:21">
      <c r="A457" s="1" t="s">
        <v>2145</v>
      </c>
      <c r="B457" s="1" t="s">
        <v>2146</v>
      </c>
      <c r="C457" s="1" t="s">
        <v>101</v>
      </c>
      <c r="D457" s="1" t="s">
        <v>124</v>
      </c>
      <c r="E457" s="1" t="s">
        <v>103</v>
      </c>
      <c r="F457" s="1" t="s">
        <v>2147</v>
      </c>
      <c r="G457" s="1" t="s">
        <v>2148</v>
      </c>
      <c r="H457" s="1" t="s">
        <v>127</v>
      </c>
      <c r="I457" s="1" t="s">
        <v>131</v>
      </c>
      <c r="J457" s="1"/>
      <c r="K457" s="9">
        <v>12147.83</v>
      </c>
      <c r="L457" s="1" t="s">
        <v>132</v>
      </c>
      <c r="M457" s="1" t="s">
        <v>15</v>
      </c>
      <c r="N457" s="1" t="s">
        <v>2879</v>
      </c>
      <c r="O457" s="1" t="s">
        <v>278</v>
      </c>
      <c r="P457" s="1">
        <v>0</v>
      </c>
      <c r="Q457" s="1" t="s">
        <v>2147</v>
      </c>
      <c r="R457" t="s">
        <v>2825</v>
      </c>
      <c r="S457" t="s">
        <v>3491</v>
      </c>
      <c r="T457" t="s">
        <v>3492</v>
      </c>
      <c r="U457" t="s">
        <v>17</v>
      </c>
    </row>
    <row r="458" spans="1:21">
      <c r="A458" s="1" t="s">
        <v>99</v>
      </c>
      <c r="B458" s="1" t="s">
        <v>100</v>
      </c>
      <c r="C458" s="1" t="s">
        <v>101</v>
      </c>
      <c r="D458" s="1" t="s">
        <v>102</v>
      </c>
      <c r="E458" s="1" t="s">
        <v>103</v>
      </c>
      <c r="F458" s="1" t="s">
        <v>104</v>
      </c>
      <c r="G458" s="1"/>
      <c r="H458" s="1" t="s">
        <v>106</v>
      </c>
      <c r="I458" s="1" t="s">
        <v>108</v>
      </c>
      <c r="J458" s="1" t="s">
        <v>109</v>
      </c>
      <c r="K458" s="9">
        <v>-14451.72</v>
      </c>
      <c r="L458" s="1" t="s">
        <v>110</v>
      </c>
      <c r="M458" s="1" t="s">
        <v>15</v>
      </c>
      <c r="N458" s="1" t="s">
        <v>3028</v>
      </c>
      <c r="O458" s="1" t="s">
        <v>2607</v>
      </c>
      <c r="P458" s="1">
        <v>0</v>
      </c>
      <c r="Q458" s="1" t="s">
        <v>104</v>
      </c>
      <c r="R458" t="s">
        <v>2823</v>
      </c>
      <c r="S458" t="s">
        <v>3493</v>
      </c>
      <c r="T458" t="s">
        <v>17</v>
      </c>
      <c r="U458" t="s">
        <v>3494</v>
      </c>
    </row>
    <row r="459" spans="1:21">
      <c r="A459" s="1" t="s">
        <v>2778</v>
      </c>
      <c r="B459" s="1" t="s">
        <v>2553</v>
      </c>
      <c r="C459" s="1" t="s">
        <v>42</v>
      </c>
      <c r="D459" s="1" t="s">
        <v>42</v>
      </c>
      <c r="E459" s="1" t="s">
        <v>103</v>
      </c>
      <c r="F459" s="1" t="s">
        <v>130</v>
      </c>
      <c r="G459" s="1"/>
      <c r="H459" s="1" t="s">
        <v>2379</v>
      </c>
      <c r="I459" s="1" t="s">
        <v>2380</v>
      </c>
      <c r="J459" s="1"/>
      <c r="K459" s="9">
        <v>-31207.35</v>
      </c>
      <c r="L459" s="1" t="s">
        <v>2535</v>
      </c>
      <c r="M459" s="1" t="s">
        <v>15</v>
      </c>
      <c r="N459" s="1" t="s">
        <v>2924</v>
      </c>
      <c r="O459" s="1" t="s">
        <v>130</v>
      </c>
      <c r="P459" s="1">
        <v>0</v>
      </c>
      <c r="Q459" s="1" t="s">
        <v>130</v>
      </c>
      <c r="R459" t="s">
        <v>2825</v>
      </c>
      <c r="S459" t="s">
        <v>2924</v>
      </c>
      <c r="T459" t="s">
        <v>17</v>
      </c>
      <c r="U459" t="s">
        <v>17</v>
      </c>
    </row>
    <row r="460" spans="1:21">
      <c r="A460" s="1" t="s">
        <v>2004</v>
      </c>
      <c r="B460" s="1" t="s">
        <v>2005</v>
      </c>
      <c r="C460" s="1" t="s">
        <v>40</v>
      </c>
      <c r="D460" s="1" t="s">
        <v>124</v>
      </c>
      <c r="E460" s="1" t="s">
        <v>103</v>
      </c>
      <c r="F460" s="1" t="s">
        <v>341</v>
      </c>
      <c r="G460" s="1" t="s">
        <v>2006</v>
      </c>
      <c r="H460" s="1" t="s">
        <v>127</v>
      </c>
      <c r="I460" s="1" t="s">
        <v>131</v>
      </c>
      <c r="J460" s="1"/>
      <c r="K460" s="9">
        <v>16546.18</v>
      </c>
      <c r="L460" s="1" t="s">
        <v>146</v>
      </c>
      <c r="M460" s="1" t="s">
        <v>15</v>
      </c>
      <c r="N460" s="1" t="s">
        <v>2921</v>
      </c>
      <c r="O460" s="1" t="s">
        <v>428</v>
      </c>
      <c r="P460" s="1">
        <v>0</v>
      </c>
      <c r="Q460" s="1" t="s">
        <v>341</v>
      </c>
      <c r="R460" t="s">
        <v>2825</v>
      </c>
      <c r="S460" t="s">
        <v>3495</v>
      </c>
      <c r="T460" t="s">
        <v>3496</v>
      </c>
      <c r="U460" t="s">
        <v>17</v>
      </c>
    </row>
    <row r="461" spans="1:21">
      <c r="A461" s="1" t="s">
        <v>2779</v>
      </c>
      <c r="B461" s="1" t="s">
        <v>2775</v>
      </c>
      <c r="C461" s="1" t="s">
        <v>42</v>
      </c>
      <c r="D461" s="1" t="s">
        <v>42</v>
      </c>
      <c r="E461" s="1" t="s">
        <v>103</v>
      </c>
      <c r="F461" s="1" t="s">
        <v>1052</v>
      </c>
      <c r="G461" s="1"/>
      <c r="H461" s="1" t="s">
        <v>2379</v>
      </c>
      <c r="I461" s="1" t="s">
        <v>2380</v>
      </c>
      <c r="J461" s="1"/>
      <c r="K461" s="9">
        <v>-89014.22</v>
      </c>
      <c r="L461" s="1" t="s">
        <v>2535</v>
      </c>
      <c r="M461" s="1" t="s">
        <v>15</v>
      </c>
      <c r="N461" s="1" t="s">
        <v>2865</v>
      </c>
      <c r="O461" s="1" t="s">
        <v>1052</v>
      </c>
      <c r="P461" s="1">
        <v>0</v>
      </c>
      <c r="Q461" s="1" t="s">
        <v>1052</v>
      </c>
      <c r="R461" t="s">
        <v>2825</v>
      </c>
      <c r="S461" t="s">
        <v>2865</v>
      </c>
      <c r="T461" t="s">
        <v>17</v>
      </c>
      <c r="U461" t="s">
        <v>17</v>
      </c>
    </row>
    <row r="462" spans="1:21">
      <c r="A462" s="1" t="s">
        <v>2780</v>
      </c>
      <c r="B462" s="1" t="s">
        <v>2614</v>
      </c>
      <c r="C462" s="1" t="s">
        <v>42</v>
      </c>
      <c r="D462" s="1" t="s">
        <v>42</v>
      </c>
      <c r="E462" s="1" t="s">
        <v>103</v>
      </c>
      <c r="F462" s="1" t="s">
        <v>130</v>
      </c>
      <c r="G462" s="1"/>
      <c r="H462" s="1" t="s">
        <v>2379</v>
      </c>
      <c r="I462" s="1" t="s">
        <v>2380</v>
      </c>
      <c r="J462" s="1"/>
      <c r="K462" s="9">
        <v>14661</v>
      </c>
      <c r="L462" s="1" t="s">
        <v>2535</v>
      </c>
      <c r="M462" s="1" t="s">
        <v>15</v>
      </c>
      <c r="N462" s="1" t="s">
        <v>3055</v>
      </c>
      <c r="O462" s="1" t="s">
        <v>130</v>
      </c>
      <c r="P462" s="1">
        <v>0</v>
      </c>
      <c r="Q462" s="1" t="s">
        <v>130</v>
      </c>
      <c r="R462" t="s">
        <v>2825</v>
      </c>
      <c r="S462" t="s">
        <v>3055</v>
      </c>
      <c r="T462" t="s">
        <v>17</v>
      </c>
      <c r="U462" t="s">
        <v>17</v>
      </c>
    </row>
    <row r="463" spans="1:21">
      <c r="A463" s="1" t="s">
        <v>1676</v>
      </c>
      <c r="B463" s="1" t="s">
        <v>1677</v>
      </c>
      <c r="C463" s="1" t="s">
        <v>101</v>
      </c>
      <c r="D463" s="1" t="s">
        <v>124</v>
      </c>
      <c r="E463" s="1" t="s">
        <v>103</v>
      </c>
      <c r="F463" s="1" t="s">
        <v>1678</v>
      </c>
      <c r="G463" s="1" t="s">
        <v>1679</v>
      </c>
      <c r="H463" s="1" t="s">
        <v>127</v>
      </c>
      <c r="I463" s="1" t="s">
        <v>131</v>
      </c>
      <c r="J463" s="1"/>
      <c r="K463" s="9">
        <v>15498.94</v>
      </c>
      <c r="L463" s="1" t="s">
        <v>132</v>
      </c>
      <c r="M463" s="1" t="s">
        <v>15</v>
      </c>
      <c r="N463" s="1" t="s">
        <v>2848</v>
      </c>
      <c r="O463" s="1" t="s">
        <v>2251</v>
      </c>
      <c r="P463" s="1">
        <v>0</v>
      </c>
      <c r="Q463" s="1" t="s">
        <v>1678</v>
      </c>
      <c r="R463" t="s">
        <v>2825</v>
      </c>
      <c r="S463" t="s">
        <v>3497</v>
      </c>
      <c r="T463" t="s">
        <v>3498</v>
      </c>
      <c r="U463" t="s">
        <v>17</v>
      </c>
    </row>
    <row r="464" spans="1:21">
      <c r="A464" s="1" t="s">
        <v>2159</v>
      </c>
      <c r="B464" s="1" t="s">
        <v>2160</v>
      </c>
      <c r="C464" s="1" t="s">
        <v>101</v>
      </c>
      <c r="D464" s="1" t="s">
        <v>102</v>
      </c>
      <c r="E464" s="1" t="s">
        <v>103</v>
      </c>
      <c r="F464" s="1" t="s">
        <v>287</v>
      </c>
      <c r="G464" s="1"/>
      <c r="H464" s="1" t="s">
        <v>106</v>
      </c>
      <c r="I464" s="1" t="s">
        <v>108</v>
      </c>
      <c r="J464" s="1" t="s">
        <v>109</v>
      </c>
      <c r="K464" s="9">
        <v>-31206</v>
      </c>
      <c r="L464" s="1" t="s">
        <v>110</v>
      </c>
      <c r="M464" s="1" t="s">
        <v>15</v>
      </c>
      <c r="N464" s="1" t="s">
        <v>2892</v>
      </c>
      <c r="O464" s="1" t="s">
        <v>1110</v>
      </c>
      <c r="P464" s="1">
        <v>0</v>
      </c>
      <c r="Q464" s="1" t="s">
        <v>287</v>
      </c>
      <c r="R464" t="s">
        <v>2823</v>
      </c>
      <c r="S464" t="s">
        <v>3499</v>
      </c>
      <c r="T464" t="s">
        <v>17</v>
      </c>
      <c r="U464" t="s">
        <v>3500</v>
      </c>
    </row>
    <row r="465" spans="1:21">
      <c r="A465" s="1" t="s">
        <v>343</v>
      </c>
      <c r="B465" s="1" t="s">
        <v>344</v>
      </c>
      <c r="C465" s="1" t="s">
        <v>101</v>
      </c>
      <c r="D465" s="1" t="s">
        <v>102</v>
      </c>
      <c r="E465" s="1" t="s">
        <v>103</v>
      </c>
      <c r="F465" s="1" t="s">
        <v>298</v>
      </c>
      <c r="G465" s="1"/>
      <c r="H465" s="1" t="s">
        <v>106</v>
      </c>
      <c r="I465" s="1" t="s">
        <v>108</v>
      </c>
      <c r="J465" s="1" t="s">
        <v>109</v>
      </c>
      <c r="K465" s="9">
        <v>-16127.29</v>
      </c>
      <c r="L465" s="1" t="s">
        <v>110</v>
      </c>
      <c r="M465" s="1" t="s">
        <v>15</v>
      </c>
      <c r="N465" s="1" t="s">
        <v>3052</v>
      </c>
      <c r="O465" s="1" t="s">
        <v>1286</v>
      </c>
      <c r="P465" s="1">
        <v>0</v>
      </c>
      <c r="Q465" s="1" t="s">
        <v>298</v>
      </c>
      <c r="R465" t="s">
        <v>2823</v>
      </c>
      <c r="S465" t="s">
        <v>3501</v>
      </c>
      <c r="T465" t="s">
        <v>17</v>
      </c>
      <c r="U465" t="s">
        <v>3502</v>
      </c>
    </row>
    <row r="466" spans="1:21">
      <c r="A466" s="1" t="s">
        <v>2781</v>
      </c>
      <c r="B466" s="1" t="s">
        <v>2717</v>
      </c>
      <c r="C466" s="1" t="s">
        <v>42</v>
      </c>
      <c r="D466" s="1" t="s">
        <v>42</v>
      </c>
      <c r="E466" s="1" t="s">
        <v>103</v>
      </c>
      <c r="F466" s="1" t="s">
        <v>469</v>
      </c>
      <c r="G466" s="1"/>
      <c r="H466" s="1" t="s">
        <v>2379</v>
      </c>
      <c r="I466" s="1" t="s">
        <v>2380</v>
      </c>
      <c r="J466" s="1"/>
      <c r="K466" s="9">
        <v>15498.94</v>
      </c>
      <c r="L466" s="1" t="s">
        <v>2535</v>
      </c>
      <c r="M466" s="1" t="s">
        <v>15</v>
      </c>
      <c r="N466" s="1" t="s">
        <v>3031</v>
      </c>
      <c r="O466" s="1" t="s">
        <v>469</v>
      </c>
      <c r="P466" s="1">
        <v>0</v>
      </c>
      <c r="Q466" s="1" t="s">
        <v>469</v>
      </c>
      <c r="R466" t="s">
        <v>2825</v>
      </c>
      <c r="S466" t="s">
        <v>3031</v>
      </c>
      <c r="T466" t="s">
        <v>17</v>
      </c>
      <c r="U466" t="s">
        <v>17</v>
      </c>
    </row>
    <row r="467" spans="1:21">
      <c r="A467" s="1" t="s">
        <v>789</v>
      </c>
      <c r="B467" s="1" t="s">
        <v>790</v>
      </c>
      <c r="C467" s="1" t="s">
        <v>40</v>
      </c>
      <c r="D467" s="1" t="s">
        <v>124</v>
      </c>
      <c r="E467" s="1" t="s">
        <v>103</v>
      </c>
      <c r="F467" s="1" t="s">
        <v>791</v>
      </c>
      <c r="G467" s="1" t="s">
        <v>792</v>
      </c>
      <c r="H467" s="1" t="s">
        <v>127</v>
      </c>
      <c r="I467" s="1" t="s">
        <v>131</v>
      </c>
      <c r="J467" s="1"/>
      <c r="K467" s="9">
        <v>34947.879999999997</v>
      </c>
      <c r="L467" s="1" t="s">
        <v>146</v>
      </c>
      <c r="M467" s="1" t="s">
        <v>15</v>
      </c>
      <c r="N467" s="1" t="s">
        <v>3185</v>
      </c>
      <c r="O467" s="1" t="s">
        <v>2259</v>
      </c>
      <c r="P467" s="1">
        <v>0</v>
      </c>
      <c r="Q467" s="1" t="s">
        <v>791</v>
      </c>
      <c r="R467" t="s">
        <v>2815</v>
      </c>
      <c r="S467" t="s">
        <v>3503</v>
      </c>
      <c r="T467" t="s">
        <v>3504</v>
      </c>
      <c r="U467" t="s">
        <v>17</v>
      </c>
    </row>
    <row r="468" spans="1:21">
      <c r="A468" s="1" t="s">
        <v>2782</v>
      </c>
      <c r="B468" s="1" t="s">
        <v>2616</v>
      </c>
      <c r="C468" s="1" t="s">
        <v>42</v>
      </c>
      <c r="D468" s="1" t="s">
        <v>42</v>
      </c>
      <c r="E468" s="1" t="s">
        <v>103</v>
      </c>
      <c r="F468" s="1" t="s">
        <v>1117</v>
      </c>
      <c r="G468" s="1"/>
      <c r="H468" s="1" t="s">
        <v>2379</v>
      </c>
      <c r="I468" s="1" t="s">
        <v>2380</v>
      </c>
      <c r="J468" s="1"/>
      <c r="K468" s="9">
        <v>21572</v>
      </c>
      <c r="L468" s="1" t="s">
        <v>2535</v>
      </c>
      <c r="M468" s="1" t="s">
        <v>15</v>
      </c>
      <c r="N468" s="1" t="s">
        <v>2822</v>
      </c>
      <c r="O468" s="1" t="s">
        <v>1117</v>
      </c>
      <c r="P468" s="1">
        <v>0</v>
      </c>
      <c r="Q468" s="1" t="s">
        <v>1117</v>
      </c>
      <c r="R468" t="s">
        <v>2823</v>
      </c>
      <c r="S468" t="s">
        <v>2822</v>
      </c>
      <c r="T468" t="s">
        <v>17</v>
      </c>
      <c r="U468" t="s">
        <v>17</v>
      </c>
    </row>
    <row r="469" spans="1:21">
      <c r="A469" s="1" t="s">
        <v>2783</v>
      </c>
      <c r="B469" s="1" t="s">
        <v>2784</v>
      </c>
      <c r="C469" s="1" t="s">
        <v>42</v>
      </c>
      <c r="D469" s="1" t="s">
        <v>42</v>
      </c>
      <c r="E469" s="1" t="s">
        <v>103</v>
      </c>
      <c r="F469" s="1" t="s">
        <v>1624</v>
      </c>
      <c r="G469" s="1"/>
      <c r="H469" s="1" t="s">
        <v>2379</v>
      </c>
      <c r="I469" s="1" t="s">
        <v>2380</v>
      </c>
      <c r="J469" s="1"/>
      <c r="K469" s="9">
        <v>16965</v>
      </c>
      <c r="L469" s="1" t="s">
        <v>2535</v>
      </c>
      <c r="M469" s="1" t="s">
        <v>15</v>
      </c>
      <c r="N469" s="1" t="s">
        <v>3283</v>
      </c>
      <c r="O469" s="1" t="s">
        <v>1624</v>
      </c>
      <c r="P469" s="1">
        <v>0</v>
      </c>
      <c r="Q469" s="1" t="s">
        <v>1624</v>
      </c>
      <c r="R469" t="s">
        <v>2825</v>
      </c>
      <c r="S469" t="s">
        <v>3283</v>
      </c>
      <c r="T469" t="s">
        <v>17</v>
      </c>
      <c r="U469" t="s">
        <v>17</v>
      </c>
    </row>
    <row r="470" spans="1:21">
      <c r="A470" s="1" t="s">
        <v>1254</v>
      </c>
      <c r="B470" s="1" t="s">
        <v>1255</v>
      </c>
      <c r="C470" s="1" t="s">
        <v>101</v>
      </c>
      <c r="D470" s="1" t="s">
        <v>352</v>
      </c>
      <c r="E470" s="1" t="s">
        <v>103</v>
      </c>
      <c r="F470" s="1" t="s">
        <v>1256</v>
      </c>
      <c r="G470" s="1"/>
      <c r="H470" s="1" t="s">
        <v>106</v>
      </c>
      <c r="I470" s="1" t="s">
        <v>108</v>
      </c>
      <c r="J470" s="1" t="s">
        <v>109</v>
      </c>
      <c r="K470" s="9">
        <v>-63252.42</v>
      </c>
      <c r="L470" s="1" t="s">
        <v>356</v>
      </c>
      <c r="M470" s="1" t="s">
        <v>15</v>
      </c>
      <c r="N470" s="1" t="s">
        <v>3061</v>
      </c>
      <c r="O470" s="1" t="s">
        <v>1256</v>
      </c>
      <c r="P470" s="1">
        <v>0</v>
      </c>
      <c r="Q470" s="1" t="s">
        <v>1256</v>
      </c>
      <c r="R470" t="s">
        <v>2823</v>
      </c>
      <c r="S470" t="s">
        <v>3505</v>
      </c>
      <c r="T470" t="s">
        <v>17</v>
      </c>
      <c r="U470" t="s">
        <v>3506</v>
      </c>
    </row>
    <row r="471" spans="1:21">
      <c r="A471" s="1" t="s">
        <v>1824</v>
      </c>
      <c r="B471" s="1" t="s">
        <v>1825</v>
      </c>
      <c r="C471" s="1" t="s">
        <v>101</v>
      </c>
      <c r="D471" s="1" t="s">
        <v>102</v>
      </c>
      <c r="E471" s="1" t="s">
        <v>103</v>
      </c>
      <c r="F471" s="1" t="s">
        <v>1826</v>
      </c>
      <c r="G471" s="1"/>
      <c r="H471" s="1" t="s">
        <v>106</v>
      </c>
      <c r="I471" s="1" t="s">
        <v>108</v>
      </c>
      <c r="J471" s="1" t="s">
        <v>109</v>
      </c>
      <c r="K471" s="9">
        <v>-16965</v>
      </c>
      <c r="L471" s="1" t="s">
        <v>110</v>
      </c>
      <c r="M471" s="1" t="s">
        <v>15</v>
      </c>
      <c r="N471" s="1" t="s">
        <v>3283</v>
      </c>
      <c r="O471" s="1" t="s">
        <v>1624</v>
      </c>
      <c r="P471" s="1">
        <v>0</v>
      </c>
      <c r="Q471" s="1" t="s">
        <v>1826</v>
      </c>
      <c r="R471" t="s">
        <v>2823</v>
      </c>
      <c r="S471" t="s">
        <v>3507</v>
      </c>
      <c r="T471" t="s">
        <v>17</v>
      </c>
      <c r="U471" t="s">
        <v>3508</v>
      </c>
    </row>
    <row r="472" spans="1:21">
      <c r="A472" s="1" t="s">
        <v>2526</v>
      </c>
      <c r="B472" s="1" t="s">
        <v>17</v>
      </c>
      <c r="C472" s="1" t="s">
        <v>33</v>
      </c>
      <c r="D472" s="1" t="s">
        <v>2391</v>
      </c>
      <c r="E472" s="1" t="s">
        <v>103</v>
      </c>
      <c r="F472" s="1" t="s">
        <v>1094</v>
      </c>
      <c r="G472" s="1"/>
      <c r="H472" s="1" t="s">
        <v>2379</v>
      </c>
      <c r="I472" s="1" t="s">
        <v>2380</v>
      </c>
      <c r="J472" s="1"/>
      <c r="K472" s="9">
        <v>-8260</v>
      </c>
      <c r="L472" s="1" t="s">
        <v>2494</v>
      </c>
      <c r="M472" s="1" t="s">
        <v>15</v>
      </c>
      <c r="N472" s="1" t="s">
        <v>2826</v>
      </c>
      <c r="O472" s="1" t="s">
        <v>1094</v>
      </c>
      <c r="P472" s="1">
        <v>0</v>
      </c>
      <c r="Q472" s="1" t="s">
        <v>1094</v>
      </c>
      <c r="R472" t="s">
        <v>2825</v>
      </c>
      <c r="S472" t="s">
        <v>2826</v>
      </c>
      <c r="T472" t="s">
        <v>17</v>
      </c>
      <c r="U472" t="s">
        <v>17</v>
      </c>
    </row>
    <row r="473" spans="1:21">
      <c r="A473" s="1" t="s">
        <v>1101</v>
      </c>
      <c r="B473" s="1" t="s">
        <v>1102</v>
      </c>
      <c r="C473" s="1" t="s">
        <v>101</v>
      </c>
      <c r="D473" s="1" t="s">
        <v>124</v>
      </c>
      <c r="E473" s="1" t="s">
        <v>103</v>
      </c>
      <c r="F473" s="1" t="s">
        <v>290</v>
      </c>
      <c r="G473" s="1" t="s">
        <v>1103</v>
      </c>
      <c r="H473" s="1" t="s">
        <v>127</v>
      </c>
      <c r="I473" s="1" t="s">
        <v>131</v>
      </c>
      <c r="J473" s="1"/>
      <c r="K473" s="9">
        <v>17383.97</v>
      </c>
      <c r="L473" s="1" t="s">
        <v>132</v>
      </c>
      <c r="M473" s="1" t="s">
        <v>15</v>
      </c>
      <c r="N473" s="1" t="s">
        <v>2927</v>
      </c>
      <c r="O473" s="1" t="s">
        <v>534</v>
      </c>
      <c r="P473" s="1">
        <v>0</v>
      </c>
      <c r="Q473" s="1" t="s">
        <v>290</v>
      </c>
      <c r="R473" t="s">
        <v>2825</v>
      </c>
      <c r="S473" t="s">
        <v>3509</v>
      </c>
      <c r="T473" t="s">
        <v>3510</v>
      </c>
      <c r="U473" t="s">
        <v>17</v>
      </c>
    </row>
    <row r="474" spans="1:21">
      <c r="A474" s="1" t="s">
        <v>2785</v>
      </c>
      <c r="B474" s="1" t="s">
        <v>2739</v>
      </c>
      <c r="C474" s="1" t="s">
        <v>42</v>
      </c>
      <c r="D474" s="1" t="s">
        <v>42</v>
      </c>
      <c r="E474" s="1" t="s">
        <v>103</v>
      </c>
      <c r="F474" s="1" t="s">
        <v>528</v>
      </c>
      <c r="G474" s="1"/>
      <c r="H474" s="1" t="s">
        <v>2379</v>
      </c>
      <c r="I474" s="1" t="s">
        <v>2380</v>
      </c>
      <c r="J474" s="1"/>
      <c r="K474" s="9">
        <v>-17802.84</v>
      </c>
      <c r="L474" s="1" t="s">
        <v>2535</v>
      </c>
      <c r="M474" s="1" t="s">
        <v>15</v>
      </c>
      <c r="N474" s="1" t="s">
        <v>3022</v>
      </c>
      <c r="O474" s="1" t="s">
        <v>528</v>
      </c>
      <c r="P474" s="1">
        <v>0</v>
      </c>
      <c r="Q474" s="1" t="s">
        <v>528</v>
      </c>
      <c r="R474" t="s">
        <v>2825</v>
      </c>
      <c r="S474" t="s">
        <v>3022</v>
      </c>
      <c r="T474" t="s">
        <v>17</v>
      </c>
      <c r="U474" t="s">
        <v>17</v>
      </c>
    </row>
    <row r="475" spans="1:21">
      <c r="A475" s="1" t="s">
        <v>2786</v>
      </c>
      <c r="B475" s="1" t="s">
        <v>2784</v>
      </c>
      <c r="C475" s="1" t="s">
        <v>42</v>
      </c>
      <c r="D475" s="1" t="s">
        <v>42</v>
      </c>
      <c r="E475" s="1" t="s">
        <v>103</v>
      </c>
      <c r="F475" s="1" t="s">
        <v>1624</v>
      </c>
      <c r="G475" s="1"/>
      <c r="H475" s="1" t="s">
        <v>2379</v>
      </c>
      <c r="I475" s="1" t="s">
        <v>2380</v>
      </c>
      <c r="J475" s="1"/>
      <c r="K475" s="9">
        <v>-16965.080000000002</v>
      </c>
      <c r="L475" s="1" t="s">
        <v>2535</v>
      </c>
      <c r="M475" s="1" t="s">
        <v>15</v>
      </c>
      <c r="N475" s="1" t="s">
        <v>3283</v>
      </c>
      <c r="O475" s="1" t="s">
        <v>1624</v>
      </c>
      <c r="P475" s="1">
        <v>0</v>
      </c>
      <c r="Q475" s="1" t="s">
        <v>1624</v>
      </c>
      <c r="R475" t="s">
        <v>2825</v>
      </c>
      <c r="S475" t="s">
        <v>3283</v>
      </c>
      <c r="T475" t="s">
        <v>17</v>
      </c>
      <c r="U475" t="s">
        <v>17</v>
      </c>
    </row>
    <row r="476" spans="1:21">
      <c r="A476" s="1" t="s">
        <v>1717</v>
      </c>
      <c r="B476" s="1" t="s">
        <v>1718</v>
      </c>
      <c r="C476" s="1" t="s">
        <v>101</v>
      </c>
      <c r="D476" s="1" t="s">
        <v>124</v>
      </c>
      <c r="E476" s="1" t="s">
        <v>103</v>
      </c>
      <c r="F476" s="1" t="s">
        <v>1691</v>
      </c>
      <c r="G476" s="1" t="s">
        <v>1719</v>
      </c>
      <c r="H476" s="1" t="s">
        <v>127</v>
      </c>
      <c r="I476" s="1" t="s">
        <v>131</v>
      </c>
      <c r="J476" s="1"/>
      <c r="K476" s="9">
        <v>15708.4</v>
      </c>
      <c r="L476" s="1" t="s">
        <v>132</v>
      </c>
      <c r="M476" s="1" t="s">
        <v>15</v>
      </c>
      <c r="N476" s="1" t="s">
        <v>2865</v>
      </c>
      <c r="O476" s="1" t="s">
        <v>1052</v>
      </c>
      <c r="P476" s="1">
        <v>0</v>
      </c>
      <c r="Q476" s="1" t="s">
        <v>1691</v>
      </c>
      <c r="R476" t="s">
        <v>2825</v>
      </c>
      <c r="S476" t="s">
        <v>3511</v>
      </c>
      <c r="T476" t="s">
        <v>3512</v>
      </c>
      <c r="U476" t="s">
        <v>17</v>
      </c>
    </row>
    <row r="477" spans="1:21">
      <c r="A477" s="1" t="s">
        <v>835</v>
      </c>
      <c r="B477" s="1" t="s">
        <v>836</v>
      </c>
      <c r="C477" s="1" t="s">
        <v>101</v>
      </c>
      <c r="D477" s="1" t="s">
        <v>352</v>
      </c>
      <c r="E477" s="1" t="s">
        <v>103</v>
      </c>
      <c r="F477" s="1" t="s">
        <v>443</v>
      </c>
      <c r="G477" s="1"/>
      <c r="H477" s="1" t="s">
        <v>106</v>
      </c>
      <c r="I477" s="1" t="s">
        <v>108</v>
      </c>
      <c r="J477" s="1" t="s">
        <v>109</v>
      </c>
      <c r="K477" s="9">
        <v>-15498.94</v>
      </c>
      <c r="L477" s="1" t="s">
        <v>356</v>
      </c>
      <c r="M477" s="1" t="s">
        <v>15</v>
      </c>
      <c r="N477" s="1" t="s">
        <v>3076</v>
      </c>
      <c r="O477" s="1" t="s">
        <v>2624</v>
      </c>
      <c r="P477" s="1">
        <v>0</v>
      </c>
      <c r="Q477" s="1" t="s">
        <v>443</v>
      </c>
      <c r="R477" t="s">
        <v>2823</v>
      </c>
      <c r="S477" t="s">
        <v>3513</v>
      </c>
      <c r="T477" t="s">
        <v>17</v>
      </c>
      <c r="U477" t="s">
        <v>3514</v>
      </c>
    </row>
    <row r="478" spans="1:21">
      <c r="A478" s="1" t="s">
        <v>684</v>
      </c>
      <c r="B478" s="1" t="s">
        <v>685</v>
      </c>
      <c r="C478" s="1" t="s">
        <v>40</v>
      </c>
      <c r="D478" s="1" t="s">
        <v>124</v>
      </c>
      <c r="E478" s="1" t="s">
        <v>103</v>
      </c>
      <c r="F478" s="1" t="s">
        <v>686</v>
      </c>
      <c r="G478" s="1" t="s">
        <v>687</v>
      </c>
      <c r="H478" s="1" t="s">
        <v>127</v>
      </c>
      <c r="I478" s="1" t="s">
        <v>131</v>
      </c>
      <c r="J478" s="1"/>
      <c r="K478" s="9">
        <v>18012.3</v>
      </c>
      <c r="L478" s="1" t="s">
        <v>146</v>
      </c>
      <c r="M478" s="1" t="s">
        <v>15</v>
      </c>
      <c r="N478" s="1" t="s">
        <v>2868</v>
      </c>
      <c r="O478" s="1" t="s">
        <v>1572</v>
      </c>
      <c r="P478" s="1">
        <v>0</v>
      </c>
      <c r="Q478" s="1" t="s">
        <v>686</v>
      </c>
      <c r="R478" t="s">
        <v>2825</v>
      </c>
      <c r="S478" t="s">
        <v>3515</v>
      </c>
      <c r="T478" t="s">
        <v>3516</v>
      </c>
      <c r="U478" t="s">
        <v>17</v>
      </c>
    </row>
    <row r="479" spans="1:21">
      <c r="A479" s="1" t="s">
        <v>1662</v>
      </c>
      <c r="B479" s="1" t="s">
        <v>1663</v>
      </c>
      <c r="C479" s="1" t="s">
        <v>40</v>
      </c>
      <c r="D479" s="1" t="s">
        <v>124</v>
      </c>
      <c r="E479" s="1" t="s">
        <v>103</v>
      </c>
      <c r="F479" s="1" t="s">
        <v>305</v>
      </c>
      <c r="G479" s="1" t="s">
        <v>1664</v>
      </c>
      <c r="H479" s="1" t="s">
        <v>127</v>
      </c>
      <c r="I479" s="1" t="s">
        <v>131</v>
      </c>
      <c r="J479" s="1"/>
      <c r="K479" s="9">
        <v>21572.87</v>
      </c>
      <c r="L479" s="1" t="s">
        <v>146</v>
      </c>
      <c r="M479" s="1" t="s">
        <v>15</v>
      </c>
      <c r="N479" s="1" t="s">
        <v>2830</v>
      </c>
      <c r="O479" s="1" t="s">
        <v>1986</v>
      </c>
      <c r="P479" s="1">
        <v>0</v>
      </c>
      <c r="Q479" s="1" t="s">
        <v>305</v>
      </c>
      <c r="R479" t="s">
        <v>2825</v>
      </c>
      <c r="S479" t="s">
        <v>3517</v>
      </c>
      <c r="T479" t="s">
        <v>3518</v>
      </c>
      <c r="U479" t="s">
        <v>17</v>
      </c>
    </row>
    <row r="480" spans="1:21">
      <c r="A480" s="1" t="s">
        <v>2133</v>
      </c>
      <c r="B480" s="1" t="s">
        <v>2134</v>
      </c>
      <c r="C480" s="1" t="s">
        <v>101</v>
      </c>
      <c r="D480" s="1" t="s">
        <v>124</v>
      </c>
      <c r="E480" s="1" t="s">
        <v>103</v>
      </c>
      <c r="F480" s="1" t="s">
        <v>2136</v>
      </c>
      <c r="G480" s="1" t="s">
        <v>2135</v>
      </c>
      <c r="H480" s="1" t="s">
        <v>127</v>
      </c>
      <c r="I480" s="1" t="s">
        <v>131</v>
      </c>
      <c r="J480" s="1"/>
      <c r="K480" s="9">
        <v>15708.4</v>
      </c>
      <c r="L480" s="1" t="s">
        <v>132</v>
      </c>
      <c r="M480" s="1" t="s">
        <v>15</v>
      </c>
      <c r="N480" s="1" t="s">
        <v>2833</v>
      </c>
      <c r="O480" s="1" t="s">
        <v>964</v>
      </c>
      <c r="P480" s="1">
        <v>0</v>
      </c>
      <c r="Q480" s="1" t="s">
        <v>2136</v>
      </c>
      <c r="R480" t="s">
        <v>2825</v>
      </c>
      <c r="S480" t="s">
        <v>3519</v>
      </c>
      <c r="T480" t="s">
        <v>3520</v>
      </c>
      <c r="U480" t="s">
        <v>17</v>
      </c>
    </row>
    <row r="481" spans="1:21">
      <c r="A481" s="1" t="s">
        <v>2787</v>
      </c>
      <c r="B481" s="1" t="s">
        <v>2788</v>
      </c>
      <c r="C481" s="1" t="s">
        <v>42</v>
      </c>
      <c r="D481" s="1" t="s">
        <v>42</v>
      </c>
      <c r="E481" s="1" t="s">
        <v>103</v>
      </c>
      <c r="F481" s="1" t="s">
        <v>428</v>
      </c>
      <c r="G481" s="1"/>
      <c r="H481" s="1" t="s">
        <v>2379</v>
      </c>
      <c r="I481" s="1" t="s">
        <v>2380</v>
      </c>
      <c r="J481" s="1"/>
      <c r="K481" s="9">
        <v>16546</v>
      </c>
      <c r="L481" s="1" t="s">
        <v>2535</v>
      </c>
      <c r="M481" s="1" t="s">
        <v>15</v>
      </c>
      <c r="N481" s="1" t="s">
        <v>2921</v>
      </c>
      <c r="O481" s="1" t="s">
        <v>428</v>
      </c>
      <c r="P481" s="1">
        <v>0</v>
      </c>
      <c r="Q481" s="1" t="s">
        <v>428</v>
      </c>
      <c r="R481" t="s">
        <v>2825</v>
      </c>
      <c r="S481" t="s">
        <v>2921</v>
      </c>
      <c r="T481" t="s">
        <v>17</v>
      </c>
      <c r="U481" t="s">
        <v>17</v>
      </c>
    </row>
    <row r="482" spans="1:21">
      <c r="A482" s="1" t="s">
        <v>2288</v>
      </c>
      <c r="B482" s="1" t="s">
        <v>2289</v>
      </c>
      <c r="C482" s="1" t="s">
        <v>101</v>
      </c>
      <c r="D482" s="1" t="s">
        <v>124</v>
      </c>
      <c r="E482" s="1" t="s">
        <v>103</v>
      </c>
      <c r="F482" s="1" t="s">
        <v>2292</v>
      </c>
      <c r="G482" s="1" t="s">
        <v>2291</v>
      </c>
      <c r="H482" s="1" t="s">
        <v>127</v>
      </c>
      <c r="I482" s="1" t="s">
        <v>131</v>
      </c>
      <c r="J482" s="1"/>
      <c r="K482" s="9">
        <v>16127.29</v>
      </c>
      <c r="L482" s="1" t="s">
        <v>132</v>
      </c>
      <c r="M482" s="1" t="s">
        <v>15</v>
      </c>
      <c r="N482" s="1" t="s">
        <v>2829</v>
      </c>
      <c r="O482" s="1" t="s">
        <v>1196</v>
      </c>
      <c r="P482" s="1">
        <v>0</v>
      </c>
      <c r="Q482" s="1" t="s">
        <v>2292</v>
      </c>
      <c r="R482" t="s">
        <v>2825</v>
      </c>
      <c r="S482" t="s">
        <v>3521</v>
      </c>
      <c r="T482" t="s">
        <v>3522</v>
      </c>
      <c r="U482" t="s">
        <v>17</v>
      </c>
    </row>
    <row r="483" spans="1:21">
      <c r="A483" s="1" t="s">
        <v>2789</v>
      </c>
      <c r="B483" s="1" t="s">
        <v>2755</v>
      </c>
      <c r="C483" s="1" t="s">
        <v>42</v>
      </c>
      <c r="D483" s="1" t="s">
        <v>42</v>
      </c>
      <c r="E483" s="1" t="s">
        <v>103</v>
      </c>
      <c r="F483" s="1" t="s">
        <v>409</v>
      </c>
      <c r="G483" s="1"/>
      <c r="H483" s="1" t="s">
        <v>2379</v>
      </c>
      <c r="I483" s="1" t="s">
        <v>2380</v>
      </c>
      <c r="J483" s="1"/>
      <c r="K483" s="9">
        <v>-29950.67</v>
      </c>
      <c r="L483" s="1" t="s">
        <v>2535</v>
      </c>
      <c r="M483" s="1" t="s">
        <v>15</v>
      </c>
      <c r="N483" s="1" t="s">
        <v>2871</v>
      </c>
      <c r="O483" s="1" t="s">
        <v>409</v>
      </c>
      <c r="P483" s="1">
        <v>0</v>
      </c>
      <c r="Q483" s="1" t="s">
        <v>409</v>
      </c>
      <c r="R483" t="s">
        <v>2825</v>
      </c>
      <c r="S483" t="s">
        <v>2871</v>
      </c>
      <c r="T483" t="s">
        <v>17</v>
      </c>
      <c r="U483" t="s">
        <v>17</v>
      </c>
    </row>
    <row r="484" spans="1:21">
      <c r="A484" s="1" t="s">
        <v>226</v>
      </c>
      <c r="B484" s="1" t="s">
        <v>227</v>
      </c>
      <c r="C484" s="1" t="s">
        <v>101</v>
      </c>
      <c r="D484" s="1" t="s">
        <v>102</v>
      </c>
      <c r="E484" s="1" t="s">
        <v>103</v>
      </c>
      <c r="F484" s="1" t="s">
        <v>228</v>
      </c>
      <c r="G484" s="1"/>
      <c r="H484" s="1" t="s">
        <v>106</v>
      </c>
      <c r="I484" s="1" t="s">
        <v>108</v>
      </c>
      <c r="J484" s="1" t="s">
        <v>230</v>
      </c>
      <c r="K484" s="9">
        <v>-38859</v>
      </c>
      <c r="L484" s="1" t="s">
        <v>110</v>
      </c>
      <c r="M484" s="1" t="s">
        <v>15</v>
      </c>
      <c r="N484" s="1" t="s">
        <v>3455</v>
      </c>
      <c r="O484" s="1" t="s">
        <v>363</v>
      </c>
      <c r="P484" s="1">
        <v>0</v>
      </c>
      <c r="Q484" s="1" t="s">
        <v>363</v>
      </c>
      <c r="R484" t="s">
        <v>2823</v>
      </c>
      <c r="S484" t="s">
        <v>3455</v>
      </c>
      <c r="T484" t="s">
        <v>17</v>
      </c>
      <c r="U484" t="s">
        <v>3523</v>
      </c>
    </row>
    <row r="485" spans="1:21">
      <c r="A485" s="1" t="s">
        <v>2790</v>
      </c>
      <c r="B485" s="1" t="s">
        <v>2652</v>
      </c>
      <c r="C485" s="1" t="s">
        <v>42</v>
      </c>
      <c r="D485" s="1" t="s">
        <v>42</v>
      </c>
      <c r="E485" s="1" t="s">
        <v>103</v>
      </c>
      <c r="F485" s="1" t="s">
        <v>301</v>
      </c>
      <c r="G485" s="1"/>
      <c r="H485" s="1" t="s">
        <v>2379</v>
      </c>
      <c r="I485" s="1" t="s">
        <v>2380</v>
      </c>
      <c r="J485" s="1"/>
      <c r="K485" s="9">
        <v>-15080.05</v>
      </c>
      <c r="L485" s="1" t="s">
        <v>2535</v>
      </c>
      <c r="M485" s="1" t="s">
        <v>15</v>
      </c>
      <c r="N485" s="1" t="s">
        <v>3090</v>
      </c>
      <c r="O485" s="1" t="s">
        <v>301</v>
      </c>
      <c r="P485" s="1">
        <v>0</v>
      </c>
      <c r="Q485" s="1" t="s">
        <v>301</v>
      </c>
      <c r="R485" t="s">
        <v>2825</v>
      </c>
      <c r="S485" t="s">
        <v>3090</v>
      </c>
      <c r="T485" t="s">
        <v>17</v>
      </c>
      <c r="U485" t="s">
        <v>17</v>
      </c>
    </row>
    <row r="486" spans="1:21">
      <c r="A486" s="1" t="s">
        <v>1001</v>
      </c>
      <c r="B486" s="1" t="s">
        <v>1002</v>
      </c>
      <c r="C486" s="1" t="s">
        <v>101</v>
      </c>
      <c r="D486" s="1" t="s">
        <v>102</v>
      </c>
      <c r="E486" s="1" t="s">
        <v>103</v>
      </c>
      <c r="F486" s="1" t="s">
        <v>1003</v>
      </c>
      <c r="G486" s="1"/>
      <c r="H486" s="1" t="s">
        <v>106</v>
      </c>
      <c r="I486" s="1" t="s">
        <v>108</v>
      </c>
      <c r="J486" s="1" t="s">
        <v>109</v>
      </c>
      <c r="K486" s="9">
        <v>-15080</v>
      </c>
      <c r="L486" s="1" t="s">
        <v>110</v>
      </c>
      <c r="M486" s="1" t="s">
        <v>15</v>
      </c>
      <c r="N486" s="1" t="s">
        <v>3090</v>
      </c>
      <c r="O486" s="1" t="s">
        <v>301</v>
      </c>
      <c r="P486" s="1">
        <v>0</v>
      </c>
      <c r="Q486" s="1" t="s">
        <v>294</v>
      </c>
      <c r="R486" t="s">
        <v>2823</v>
      </c>
      <c r="S486" t="s">
        <v>3524</v>
      </c>
      <c r="T486" t="s">
        <v>17</v>
      </c>
      <c r="U486" t="s">
        <v>3525</v>
      </c>
    </row>
    <row r="487" spans="1:21">
      <c r="A487" s="1" t="s">
        <v>1549</v>
      </c>
      <c r="B487" s="1" t="s">
        <v>1550</v>
      </c>
      <c r="C487" s="1" t="s">
        <v>101</v>
      </c>
      <c r="D487" s="1" t="s">
        <v>102</v>
      </c>
      <c r="E487" s="1" t="s">
        <v>103</v>
      </c>
      <c r="F487" s="1" t="s">
        <v>1551</v>
      </c>
      <c r="G487" s="1"/>
      <c r="H487" s="1" t="s">
        <v>106</v>
      </c>
      <c r="I487" s="1" t="s">
        <v>108</v>
      </c>
      <c r="J487" s="1" t="s">
        <v>109</v>
      </c>
      <c r="K487" s="9">
        <v>-15708</v>
      </c>
      <c r="L487" s="1" t="s">
        <v>110</v>
      </c>
      <c r="M487" s="1" t="s">
        <v>15</v>
      </c>
      <c r="N487" s="1" t="s">
        <v>2895</v>
      </c>
      <c r="O487" s="1" t="s">
        <v>212</v>
      </c>
      <c r="P487" s="1">
        <v>0</v>
      </c>
      <c r="Q487" s="1" t="s">
        <v>1551</v>
      </c>
      <c r="R487" t="s">
        <v>2823</v>
      </c>
      <c r="S487" t="s">
        <v>3526</v>
      </c>
      <c r="T487" t="s">
        <v>17</v>
      </c>
      <c r="U487" t="s">
        <v>3527</v>
      </c>
    </row>
    <row r="488" spans="1:21">
      <c r="A488" s="1" t="s">
        <v>1261</v>
      </c>
      <c r="B488" s="1" t="s">
        <v>1262</v>
      </c>
      <c r="C488" s="1" t="s">
        <v>40</v>
      </c>
      <c r="D488" s="1" t="s">
        <v>124</v>
      </c>
      <c r="E488" s="1" t="s">
        <v>103</v>
      </c>
      <c r="F488" s="1" t="s">
        <v>673</v>
      </c>
      <c r="G488" s="1" t="s">
        <v>1263</v>
      </c>
      <c r="H488" s="1" t="s">
        <v>127</v>
      </c>
      <c r="I488" s="1" t="s">
        <v>131</v>
      </c>
      <c r="J488" s="1"/>
      <c r="K488" s="9">
        <v>15708.4</v>
      </c>
      <c r="L488" s="1" t="s">
        <v>146</v>
      </c>
      <c r="M488" s="1" t="s">
        <v>15</v>
      </c>
      <c r="N488" s="1" t="s">
        <v>3123</v>
      </c>
      <c r="O488" s="1" t="s">
        <v>1457</v>
      </c>
      <c r="P488" s="1">
        <v>0</v>
      </c>
      <c r="Q488" s="1" t="s">
        <v>673</v>
      </c>
      <c r="R488" t="s">
        <v>2825</v>
      </c>
      <c r="S488" t="s">
        <v>3528</v>
      </c>
      <c r="T488" t="s">
        <v>3529</v>
      </c>
      <c r="U488" t="s">
        <v>17</v>
      </c>
    </row>
    <row r="489" spans="1:21">
      <c r="A489" s="1" t="s">
        <v>2791</v>
      </c>
      <c r="B489" s="1" t="s">
        <v>2713</v>
      </c>
      <c r="C489" s="1" t="s">
        <v>42</v>
      </c>
      <c r="D489" s="1" t="s">
        <v>42</v>
      </c>
      <c r="E489" s="1" t="s">
        <v>103</v>
      </c>
      <c r="F489" s="1" t="s">
        <v>197</v>
      </c>
      <c r="G489" s="1"/>
      <c r="H489" s="1" t="s">
        <v>2379</v>
      </c>
      <c r="I489" s="1" t="s">
        <v>2380</v>
      </c>
      <c r="J489" s="1"/>
      <c r="K489" s="9">
        <v>-15080.05</v>
      </c>
      <c r="L489" s="1" t="s">
        <v>2535</v>
      </c>
      <c r="M489" s="1" t="s">
        <v>15</v>
      </c>
      <c r="N489" s="1" t="s">
        <v>3025</v>
      </c>
      <c r="O489" s="1" t="s">
        <v>197</v>
      </c>
      <c r="P489" s="1">
        <v>0</v>
      </c>
      <c r="Q489" s="1" t="s">
        <v>197</v>
      </c>
      <c r="R489" t="s">
        <v>2825</v>
      </c>
      <c r="S489" t="s">
        <v>3025</v>
      </c>
      <c r="T489" t="s">
        <v>17</v>
      </c>
      <c r="U489" t="s">
        <v>17</v>
      </c>
    </row>
    <row r="490" spans="1:21">
      <c r="A490" s="1" t="s">
        <v>1736</v>
      </c>
      <c r="B490" s="1" t="s">
        <v>1737</v>
      </c>
      <c r="C490" s="1" t="s">
        <v>101</v>
      </c>
      <c r="D490" s="1" t="s">
        <v>124</v>
      </c>
      <c r="E490" s="1" t="s">
        <v>103</v>
      </c>
      <c r="F490" s="1" t="s">
        <v>1649</v>
      </c>
      <c r="G490" s="1" t="s">
        <v>1738</v>
      </c>
      <c r="H490" s="1" t="s">
        <v>127</v>
      </c>
      <c r="I490" s="1" t="s">
        <v>131</v>
      </c>
      <c r="J490" s="1"/>
      <c r="K490" s="9">
        <v>14870.62</v>
      </c>
      <c r="L490" s="1" t="s">
        <v>132</v>
      </c>
      <c r="M490" s="1" t="s">
        <v>15</v>
      </c>
      <c r="N490" s="1" t="s">
        <v>2842</v>
      </c>
      <c r="O490" s="1" t="s">
        <v>378</v>
      </c>
      <c r="P490" s="1">
        <v>0</v>
      </c>
      <c r="Q490" s="1" t="s">
        <v>1649</v>
      </c>
      <c r="R490" t="s">
        <v>2825</v>
      </c>
      <c r="S490" t="s">
        <v>3530</v>
      </c>
      <c r="T490" t="s">
        <v>3531</v>
      </c>
      <c r="U490" t="s">
        <v>17</v>
      </c>
    </row>
    <row r="491" spans="1:21">
      <c r="A491" s="1" t="s">
        <v>1866</v>
      </c>
      <c r="B491" s="1" t="s">
        <v>1867</v>
      </c>
      <c r="C491" s="1" t="s">
        <v>40</v>
      </c>
      <c r="D491" s="1" t="s">
        <v>124</v>
      </c>
      <c r="E491" s="1" t="s">
        <v>103</v>
      </c>
      <c r="F491" s="1" t="s">
        <v>822</v>
      </c>
      <c r="G491" s="1" t="s">
        <v>1868</v>
      </c>
      <c r="H491" s="1" t="s">
        <v>127</v>
      </c>
      <c r="I491" s="1" t="s">
        <v>131</v>
      </c>
      <c r="J491" s="1"/>
      <c r="K491" s="9">
        <v>15498.94</v>
      </c>
      <c r="L491" s="1" t="s">
        <v>146</v>
      </c>
      <c r="M491" s="1" t="s">
        <v>15</v>
      </c>
      <c r="N491" s="1" t="s">
        <v>2827</v>
      </c>
      <c r="O491" s="1" t="s">
        <v>258</v>
      </c>
      <c r="P491" s="1">
        <v>0</v>
      </c>
      <c r="Q491" s="1" t="s">
        <v>822</v>
      </c>
      <c r="R491" t="s">
        <v>2825</v>
      </c>
      <c r="S491" t="s">
        <v>3532</v>
      </c>
      <c r="T491" t="s">
        <v>3533</v>
      </c>
      <c r="U491" t="s">
        <v>17</v>
      </c>
    </row>
    <row r="492" spans="1:21">
      <c r="A492" s="1" t="s">
        <v>675</v>
      </c>
      <c r="B492" s="1" t="s">
        <v>676</v>
      </c>
      <c r="C492" s="1" t="s">
        <v>101</v>
      </c>
      <c r="D492" s="1" t="s">
        <v>124</v>
      </c>
      <c r="E492" s="1" t="s">
        <v>103</v>
      </c>
      <c r="F492" s="1" t="s">
        <v>678</v>
      </c>
      <c r="G492" s="1" t="s">
        <v>677</v>
      </c>
      <c r="H492" s="1" t="s">
        <v>127</v>
      </c>
      <c r="I492" s="1" t="s">
        <v>131</v>
      </c>
      <c r="J492" s="1"/>
      <c r="K492" s="9">
        <v>16755.62</v>
      </c>
      <c r="L492" s="1" t="s">
        <v>132</v>
      </c>
      <c r="M492" s="1" t="s">
        <v>15</v>
      </c>
      <c r="N492" s="1" t="s">
        <v>3170</v>
      </c>
      <c r="O492" s="1" t="s">
        <v>1819</v>
      </c>
      <c r="P492" s="1">
        <v>0</v>
      </c>
      <c r="Q492" s="1" t="s">
        <v>678</v>
      </c>
      <c r="R492" t="s">
        <v>2825</v>
      </c>
      <c r="S492" t="s">
        <v>3534</v>
      </c>
      <c r="T492" t="s">
        <v>3535</v>
      </c>
      <c r="U492" t="s">
        <v>17</v>
      </c>
    </row>
    <row r="493" spans="1:21">
      <c r="A493" s="1" t="s">
        <v>2792</v>
      </c>
      <c r="B493" s="1" t="s">
        <v>2704</v>
      </c>
      <c r="C493" s="1" t="s">
        <v>42</v>
      </c>
      <c r="D493" s="1" t="s">
        <v>42</v>
      </c>
      <c r="E493" s="1" t="s">
        <v>103</v>
      </c>
      <c r="F493" s="1" t="s">
        <v>1616</v>
      </c>
      <c r="G493" s="1"/>
      <c r="H493" s="1" t="s">
        <v>2379</v>
      </c>
      <c r="I493" s="1" t="s">
        <v>2380</v>
      </c>
      <c r="J493" s="1"/>
      <c r="K493" s="9">
        <v>14661</v>
      </c>
      <c r="L493" s="1" t="s">
        <v>2535</v>
      </c>
      <c r="M493" s="1" t="s">
        <v>15</v>
      </c>
      <c r="N493" s="1" t="s">
        <v>3177</v>
      </c>
      <c r="O493" s="1" t="s">
        <v>1616</v>
      </c>
      <c r="P493" s="1">
        <v>0</v>
      </c>
      <c r="Q493" s="1" t="s">
        <v>1616</v>
      </c>
      <c r="R493" t="s">
        <v>2823</v>
      </c>
      <c r="S493" t="s">
        <v>3177</v>
      </c>
      <c r="T493" t="s">
        <v>17</v>
      </c>
      <c r="U493" t="s">
        <v>17</v>
      </c>
    </row>
    <row r="494" spans="1:21">
      <c r="A494" s="1" t="s">
        <v>2793</v>
      </c>
      <c r="B494" s="1" t="s">
        <v>2794</v>
      </c>
      <c r="C494" s="1" t="s">
        <v>42</v>
      </c>
      <c r="D494" s="1" t="s">
        <v>42</v>
      </c>
      <c r="E494" s="1" t="s">
        <v>103</v>
      </c>
      <c r="F494" s="1" t="s">
        <v>464</v>
      </c>
      <c r="G494" s="1"/>
      <c r="H494" s="1" t="s">
        <v>2379</v>
      </c>
      <c r="I494" s="1" t="s">
        <v>2380</v>
      </c>
      <c r="J494" s="1"/>
      <c r="K494" s="9">
        <v>-11100.61</v>
      </c>
      <c r="L494" s="1" t="s">
        <v>2535</v>
      </c>
      <c r="M494" s="1" t="s">
        <v>15</v>
      </c>
      <c r="N494" s="1" t="s">
        <v>2908</v>
      </c>
      <c r="O494" s="1" t="s">
        <v>464</v>
      </c>
      <c r="P494" s="1">
        <v>0</v>
      </c>
      <c r="Q494" s="1" t="s">
        <v>464</v>
      </c>
      <c r="R494" t="s">
        <v>2825</v>
      </c>
      <c r="S494" t="s">
        <v>2908</v>
      </c>
      <c r="T494" t="s">
        <v>17</v>
      </c>
      <c r="U494" t="s">
        <v>17</v>
      </c>
    </row>
    <row r="495" spans="1:21">
      <c r="A495" s="1" t="s">
        <v>2795</v>
      </c>
      <c r="B495" s="1" t="s">
        <v>2747</v>
      </c>
      <c r="C495" s="1" t="s">
        <v>42</v>
      </c>
      <c r="D495" s="1" t="s">
        <v>42</v>
      </c>
      <c r="E495" s="1" t="s">
        <v>103</v>
      </c>
      <c r="F495" s="1" t="s">
        <v>528</v>
      </c>
      <c r="G495" s="1"/>
      <c r="H495" s="1" t="s">
        <v>2379</v>
      </c>
      <c r="I495" s="1" t="s">
        <v>2380</v>
      </c>
      <c r="J495" s="1"/>
      <c r="K495" s="9">
        <v>17802.84</v>
      </c>
      <c r="L495" s="1" t="s">
        <v>2535</v>
      </c>
      <c r="M495" s="1" t="s">
        <v>15</v>
      </c>
      <c r="N495" s="1" t="s">
        <v>3022</v>
      </c>
      <c r="O495" s="1" t="s">
        <v>528</v>
      </c>
      <c r="P495" s="1">
        <v>0</v>
      </c>
      <c r="Q495" s="1" t="s">
        <v>528</v>
      </c>
      <c r="R495" t="s">
        <v>2825</v>
      </c>
      <c r="S495" t="s">
        <v>3022</v>
      </c>
      <c r="T495" t="s">
        <v>17</v>
      </c>
      <c r="U495" t="s">
        <v>17</v>
      </c>
    </row>
    <row r="496" spans="1:21">
      <c r="A496" s="1" t="s">
        <v>2796</v>
      </c>
      <c r="B496" s="1" t="s">
        <v>2660</v>
      </c>
      <c r="C496" s="1" t="s">
        <v>42</v>
      </c>
      <c r="D496" s="1" t="s">
        <v>42</v>
      </c>
      <c r="E496" s="1" t="s">
        <v>103</v>
      </c>
      <c r="F496" s="1" t="s">
        <v>1256</v>
      </c>
      <c r="G496" s="1"/>
      <c r="H496" s="1" t="s">
        <v>2379</v>
      </c>
      <c r="I496" s="1" t="s">
        <v>2380</v>
      </c>
      <c r="J496" s="1"/>
      <c r="K496" s="9">
        <v>-63252.47</v>
      </c>
      <c r="L496" s="1" t="s">
        <v>2535</v>
      </c>
      <c r="M496" s="1" t="s">
        <v>15</v>
      </c>
      <c r="N496" s="1" t="s">
        <v>3061</v>
      </c>
      <c r="O496" s="1" t="s">
        <v>1256</v>
      </c>
      <c r="P496" s="1">
        <v>0</v>
      </c>
      <c r="Q496" s="1" t="s">
        <v>1256</v>
      </c>
      <c r="R496" t="s">
        <v>2825</v>
      </c>
      <c r="S496" t="s">
        <v>3061</v>
      </c>
      <c r="T496" t="s">
        <v>17</v>
      </c>
      <c r="U496" t="s">
        <v>17</v>
      </c>
    </row>
    <row r="497" spans="1:21">
      <c r="A497" s="1" t="s">
        <v>2527</v>
      </c>
      <c r="B497" s="1" t="s">
        <v>17</v>
      </c>
      <c r="C497" s="1" t="s">
        <v>33</v>
      </c>
      <c r="D497" s="1" t="s">
        <v>2391</v>
      </c>
      <c r="E497" s="1" t="s">
        <v>103</v>
      </c>
      <c r="F497" s="1" t="s">
        <v>1117</v>
      </c>
      <c r="G497" s="1"/>
      <c r="H497" s="1" t="s">
        <v>2379</v>
      </c>
      <c r="I497" s="1" t="s">
        <v>2380</v>
      </c>
      <c r="J497" s="1"/>
      <c r="K497" s="9">
        <v>-61576.9</v>
      </c>
      <c r="L497" s="1" t="s">
        <v>2494</v>
      </c>
      <c r="M497" s="1" t="s">
        <v>15</v>
      </c>
      <c r="N497" s="1" t="s">
        <v>2834</v>
      </c>
      <c r="O497" s="1" t="s">
        <v>1117</v>
      </c>
      <c r="P497" s="1">
        <v>0</v>
      </c>
      <c r="Q497" s="1" t="s">
        <v>1117</v>
      </c>
      <c r="R497" t="s">
        <v>2823</v>
      </c>
      <c r="S497" t="s">
        <v>2834</v>
      </c>
      <c r="T497" t="s">
        <v>17</v>
      </c>
      <c r="U497" t="s">
        <v>17</v>
      </c>
    </row>
    <row r="498" spans="1:21">
      <c r="A498" s="1" t="s">
        <v>1333</v>
      </c>
      <c r="B498" s="1" t="s">
        <v>1334</v>
      </c>
      <c r="C498" s="1" t="s">
        <v>101</v>
      </c>
      <c r="D498" s="1" t="s">
        <v>352</v>
      </c>
      <c r="E498" s="1" t="s">
        <v>103</v>
      </c>
      <c r="F498" s="1" t="s">
        <v>1337</v>
      </c>
      <c r="G498" s="1"/>
      <c r="H498" s="1" t="s">
        <v>106</v>
      </c>
      <c r="I498" s="1" t="s">
        <v>108</v>
      </c>
      <c r="J498" s="1" t="s">
        <v>109</v>
      </c>
      <c r="K498" s="9">
        <v>-8120</v>
      </c>
      <c r="L498" s="1" t="s">
        <v>356</v>
      </c>
      <c r="M498" s="1" t="s">
        <v>15</v>
      </c>
      <c r="N498" s="1" t="s">
        <v>2838</v>
      </c>
      <c r="O498" s="1" t="s">
        <v>1337</v>
      </c>
      <c r="P498" s="1">
        <v>0</v>
      </c>
      <c r="Q498" s="1" t="s">
        <v>1337</v>
      </c>
      <c r="R498" t="s">
        <v>2823</v>
      </c>
      <c r="S498" t="s">
        <v>3536</v>
      </c>
      <c r="T498" t="s">
        <v>17</v>
      </c>
      <c r="U498" t="s">
        <v>3537</v>
      </c>
    </row>
    <row r="499" spans="1:21">
      <c r="A499" s="1" t="s">
        <v>2797</v>
      </c>
      <c r="B499" s="1" t="s">
        <v>2702</v>
      </c>
      <c r="C499" s="1" t="s">
        <v>42</v>
      </c>
      <c r="D499" s="1" t="s">
        <v>42</v>
      </c>
      <c r="E499" s="1" t="s">
        <v>103</v>
      </c>
      <c r="F499" s="1" t="s">
        <v>526</v>
      </c>
      <c r="G499" s="1"/>
      <c r="H499" s="1" t="s">
        <v>2379</v>
      </c>
      <c r="I499" s="1" t="s">
        <v>2380</v>
      </c>
      <c r="J499" s="1"/>
      <c r="K499" s="9">
        <v>25761.759999999998</v>
      </c>
      <c r="L499" s="1" t="s">
        <v>2535</v>
      </c>
      <c r="M499" s="1" t="s">
        <v>15</v>
      </c>
      <c r="N499" s="1" t="s">
        <v>3164</v>
      </c>
      <c r="O499" s="1" t="s">
        <v>526</v>
      </c>
      <c r="P499" s="1">
        <v>0</v>
      </c>
      <c r="Q499" s="1" t="s">
        <v>526</v>
      </c>
      <c r="R499" t="s">
        <v>2825</v>
      </c>
      <c r="S499" t="s">
        <v>3164</v>
      </c>
      <c r="T499" t="s">
        <v>17</v>
      </c>
      <c r="U499" t="s">
        <v>17</v>
      </c>
    </row>
    <row r="500" spans="1:21">
      <c r="A500" s="1" t="s">
        <v>2798</v>
      </c>
      <c r="B500" s="1" t="s">
        <v>2711</v>
      </c>
      <c r="C500" s="1" t="s">
        <v>42</v>
      </c>
      <c r="D500" s="1" t="s">
        <v>42</v>
      </c>
      <c r="E500" s="1" t="s">
        <v>103</v>
      </c>
      <c r="F500" s="1" t="s">
        <v>2251</v>
      </c>
      <c r="G500" s="1"/>
      <c r="H500" s="1" t="s">
        <v>2379</v>
      </c>
      <c r="I500" s="1" t="s">
        <v>2380</v>
      </c>
      <c r="J500" s="1"/>
      <c r="K500" s="9">
        <v>45659.07</v>
      </c>
      <c r="L500" s="1" t="s">
        <v>2535</v>
      </c>
      <c r="M500" s="1" t="s">
        <v>15</v>
      </c>
      <c r="N500" s="1" t="s">
        <v>2848</v>
      </c>
      <c r="O500" s="1" t="s">
        <v>2251</v>
      </c>
      <c r="P500" s="1">
        <v>0</v>
      </c>
      <c r="Q500" s="1" t="s">
        <v>2251</v>
      </c>
      <c r="R500" t="s">
        <v>2825</v>
      </c>
      <c r="S500" t="s">
        <v>2848</v>
      </c>
      <c r="T500" t="s">
        <v>17</v>
      </c>
      <c r="U500" t="s">
        <v>17</v>
      </c>
    </row>
    <row r="501" spans="1:21">
      <c r="A501" s="1" t="s">
        <v>2799</v>
      </c>
      <c r="B501" s="1" t="s">
        <v>2557</v>
      </c>
      <c r="C501" s="1" t="s">
        <v>42</v>
      </c>
      <c r="D501" s="1" t="s">
        <v>42</v>
      </c>
      <c r="E501" s="1" t="s">
        <v>103</v>
      </c>
      <c r="F501" s="1" t="s">
        <v>2318</v>
      </c>
      <c r="G501" s="1"/>
      <c r="H501" s="1" t="s">
        <v>2379</v>
      </c>
      <c r="I501" s="1" t="s">
        <v>2380</v>
      </c>
      <c r="J501" s="1"/>
      <c r="K501" s="9">
        <v>-55503</v>
      </c>
      <c r="L501" s="1" t="s">
        <v>2535</v>
      </c>
      <c r="M501" s="1" t="s">
        <v>15</v>
      </c>
      <c r="N501" s="1" t="s">
        <v>2861</v>
      </c>
      <c r="O501" s="1" t="s">
        <v>2318</v>
      </c>
      <c r="P501" s="1">
        <v>0</v>
      </c>
      <c r="Q501" s="1" t="s">
        <v>2318</v>
      </c>
      <c r="R501" t="s">
        <v>2825</v>
      </c>
      <c r="S501" t="s">
        <v>2861</v>
      </c>
      <c r="T501" t="s">
        <v>17</v>
      </c>
      <c r="U501" t="s">
        <v>17</v>
      </c>
    </row>
    <row r="502" spans="1:21">
      <c r="A502" s="1" t="s">
        <v>2800</v>
      </c>
      <c r="B502" s="1" t="s">
        <v>2794</v>
      </c>
      <c r="C502" s="1" t="s">
        <v>42</v>
      </c>
      <c r="D502" s="1" t="s">
        <v>42</v>
      </c>
      <c r="E502" s="1" t="s">
        <v>103</v>
      </c>
      <c r="F502" s="1" t="s">
        <v>464</v>
      </c>
      <c r="G502" s="1"/>
      <c r="H502" s="1" t="s">
        <v>2379</v>
      </c>
      <c r="I502" s="1" t="s">
        <v>2380</v>
      </c>
      <c r="J502" s="1"/>
      <c r="K502" s="9">
        <v>11100.61</v>
      </c>
      <c r="L502" s="1" t="s">
        <v>2535</v>
      </c>
      <c r="M502" s="1" t="s">
        <v>15</v>
      </c>
      <c r="N502" s="1" t="s">
        <v>2908</v>
      </c>
      <c r="O502" s="1" t="s">
        <v>464</v>
      </c>
      <c r="P502" s="1">
        <v>0</v>
      </c>
      <c r="Q502" s="1" t="s">
        <v>464</v>
      </c>
      <c r="R502" t="s">
        <v>2825</v>
      </c>
      <c r="S502" t="s">
        <v>2908</v>
      </c>
      <c r="T502" t="s">
        <v>17</v>
      </c>
      <c r="U502" t="s">
        <v>17</v>
      </c>
    </row>
    <row r="503" spans="1:21">
      <c r="A503" s="1" t="s">
        <v>2801</v>
      </c>
      <c r="B503" s="1" t="s">
        <v>2737</v>
      </c>
      <c r="C503" s="1" t="s">
        <v>42</v>
      </c>
      <c r="D503" s="1" t="s">
        <v>42</v>
      </c>
      <c r="E503" s="1" t="s">
        <v>103</v>
      </c>
      <c r="F503" s="1" t="s">
        <v>166</v>
      </c>
      <c r="G503" s="1"/>
      <c r="H503" s="1" t="s">
        <v>2379</v>
      </c>
      <c r="I503" s="1" t="s">
        <v>2380</v>
      </c>
      <c r="J503" s="1"/>
      <c r="K503" s="9">
        <v>-16336.73</v>
      </c>
      <c r="L503" s="1" t="s">
        <v>2535</v>
      </c>
      <c r="M503" s="1" t="s">
        <v>15</v>
      </c>
      <c r="N503" s="1" t="s">
        <v>2913</v>
      </c>
      <c r="O503" s="1" t="s">
        <v>166</v>
      </c>
      <c r="P503" s="1">
        <v>0</v>
      </c>
      <c r="Q503" s="1" t="s">
        <v>166</v>
      </c>
      <c r="R503" t="s">
        <v>2825</v>
      </c>
      <c r="S503" t="s">
        <v>2913</v>
      </c>
      <c r="T503" t="s">
        <v>17</v>
      </c>
      <c r="U503" t="s">
        <v>17</v>
      </c>
    </row>
    <row r="504" spans="1:21">
      <c r="A504" s="1" t="s">
        <v>414</v>
      </c>
      <c r="B504" s="1" t="s">
        <v>415</v>
      </c>
      <c r="C504" s="1" t="s">
        <v>101</v>
      </c>
      <c r="D504" s="1" t="s">
        <v>124</v>
      </c>
      <c r="E504" s="1" t="s">
        <v>103</v>
      </c>
      <c r="F504" s="1" t="s">
        <v>416</v>
      </c>
      <c r="G504" s="1" t="s">
        <v>417</v>
      </c>
      <c r="H504" s="1" t="s">
        <v>127</v>
      </c>
      <c r="I504" s="1" t="s">
        <v>131</v>
      </c>
      <c r="J504" s="1"/>
      <c r="K504" s="9">
        <v>17802.84</v>
      </c>
      <c r="L504" s="1" t="s">
        <v>132</v>
      </c>
      <c r="M504" s="1" t="s">
        <v>15</v>
      </c>
      <c r="N504" s="1" t="s">
        <v>2845</v>
      </c>
      <c r="O504" s="1" t="s">
        <v>1672</v>
      </c>
      <c r="P504" s="1">
        <v>0</v>
      </c>
      <c r="Q504" s="1" t="s">
        <v>416</v>
      </c>
      <c r="R504" t="s">
        <v>2825</v>
      </c>
      <c r="S504" t="s">
        <v>3538</v>
      </c>
      <c r="T504" t="s">
        <v>3539</v>
      </c>
      <c r="U504" t="s">
        <v>17</v>
      </c>
    </row>
    <row r="505" spans="1:21">
      <c r="A505" s="1" t="s">
        <v>195</v>
      </c>
      <c r="B505" s="1" t="s">
        <v>196</v>
      </c>
      <c r="C505" s="1" t="s">
        <v>101</v>
      </c>
      <c r="D505" s="1" t="s">
        <v>102</v>
      </c>
      <c r="E505" s="1" t="s">
        <v>103</v>
      </c>
      <c r="F505" s="1" t="s">
        <v>197</v>
      </c>
      <c r="G505" s="1"/>
      <c r="H505" s="1" t="s">
        <v>106</v>
      </c>
      <c r="I505" s="1" t="s">
        <v>108</v>
      </c>
      <c r="J505" s="1" t="s">
        <v>109</v>
      </c>
      <c r="K505" s="9">
        <v>-14451.72</v>
      </c>
      <c r="L505" s="1" t="s">
        <v>110</v>
      </c>
      <c r="M505" s="1" t="s">
        <v>15</v>
      </c>
      <c r="N505" s="1" t="s">
        <v>2874</v>
      </c>
      <c r="O505" s="1" t="s">
        <v>1154</v>
      </c>
      <c r="P505" s="1">
        <v>0</v>
      </c>
      <c r="Q505" s="1" t="s">
        <v>197</v>
      </c>
      <c r="R505" t="s">
        <v>2823</v>
      </c>
      <c r="S505" t="s">
        <v>3540</v>
      </c>
      <c r="T505" t="s">
        <v>17</v>
      </c>
      <c r="U505" t="s">
        <v>3541</v>
      </c>
    </row>
    <row r="506" spans="1:21">
      <c r="A506" s="1" t="s">
        <v>827</v>
      </c>
      <c r="B506" s="1" t="s">
        <v>828</v>
      </c>
      <c r="C506" s="1" t="s">
        <v>101</v>
      </c>
      <c r="D506" s="1" t="s">
        <v>102</v>
      </c>
      <c r="E506" s="1" t="s">
        <v>103</v>
      </c>
      <c r="F506" s="1" t="s">
        <v>829</v>
      </c>
      <c r="G506" s="1"/>
      <c r="H506" s="1" t="s">
        <v>106</v>
      </c>
      <c r="I506" s="1" t="s">
        <v>108</v>
      </c>
      <c r="J506" s="1" t="s">
        <v>109</v>
      </c>
      <c r="K506" s="9">
        <v>-16336.73</v>
      </c>
      <c r="L506" s="1" t="s">
        <v>110</v>
      </c>
      <c r="M506" s="1" t="s">
        <v>15</v>
      </c>
      <c r="N506" s="1" t="s">
        <v>2913</v>
      </c>
      <c r="O506" s="1" t="s">
        <v>166</v>
      </c>
      <c r="P506" s="1">
        <v>0</v>
      </c>
      <c r="Q506" s="1" t="s">
        <v>829</v>
      </c>
      <c r="R506" t="s">
        <v>2823</v>
      </c>
      <c r="S506" t="s">
        <v>3542</v>
      </c>
      <c r="T506" t="s">
        <v>17</v>
      </c>
      <c r="U506" t="s">
        <v>3543</v>
      </c>
    </row>
    <row r="507" spans="1:21">
      <c r="A507" s="1" t="s">
        <v>1597</v>
      </c>
      <c r="B507" s="1" t="s">
        <v>1598</v>
      </c>
      <c r="C507" s="1" t="s">
        <v>101</v>
      </c>
      <c r="D507" s="1" t="s">
        <v>124</v>
      </c>
      <c r="E507" s="1" t="s">
        <v>103</v>
      </c>
      <c r="F507" s="1" t="s">
        <v>1286</v>
      </c>
      <c r="G507" s="1" t="s">
        <v>1599</v>
      </c>
      <c r="H507" s="1" t="s">
        <v>127</v>
      </c>
      <c r="I507" s="1" t="s">
        <v>131</v>
      </c>
      <c r="J507" s="1"/>
      <c r="K507" s="9">
        <v>14870.62</v>
      </c>
      <c r="L507" s="1" t="s">
        <v>132</v>
      </c>
      <c r="M507" s="1" t="s">
        <v>15</v>
      </c>
      <c r="N507" s="1" t="s">
        <v>2848</v>
      </c>
      <c r="O507" s="1" t="s">
        <v>2251</v>
      </c>
      <c r="P507" s="1">
        <v>0</v>
      </c>
      <c r="Q507" s="1" t="s">
        <v>1286</v>
      </c>
      <c r="R507" t="s">
        <v>2825</v>
      </c>
      <c r="S507" t="s">
        <v>3544</v>
      </c>
      <c r="T507" t="s">
        <v>3545</v>
      </c>
      <c r="U507" t="s">
        <v>17</v>
      </c>
    </row>
    <row r="508" spans="1:21">
      <c r="A508" s="1" t="s">
        <v>2802</v>
      </c>
      <c r="B508" s="1" t="s">
        <v>2685</v>
      </c>
      <c r="C508" s="1" t="s">
        <v>42</v>
      </c>
      <c r="D508" s="1" t="s">
        <v>42</v>
      </c>
      <c r="E508" s="1" t="s">
        <v>103</v>
      </c>
      <c r="F508" s="1" t="s">
        <v>2686</v>
      </c>
      <c r="G508" s="1"/>
      <c r="H508" s="1" t="s">
        <v>2379</v>
      </c>
      <c r="I508" s="1" t="s">
        <v>2380</v>
      </c>
      <c r="J508" s="1"/>
      <c r="K508" s="9">
        <v>13404.5</v>
      </c>
      <c r="L508" s="1" t="s">
        <v>2535</v>
      </c>
      <c r="M508" s="1" t="s">
        <v>15</v>
      </c>
      <c r="N508" s="1" t="s">
        <v>2858</v>
      </c>
      <c r="O508" s="1" t="s">
        <v>2686</v>
      </c>
      <c r="P508" s="1">
        <v>0</v>
      </c>
      <c r="Q508" s="1" t="s">
        <v>2686</v>
      </c>
      <c r="R508" t="s">
        <v>2823</v>
      </c>
      <c r="S508" t="s">
        <v>2858</v>
      </c>
      <c r="T508" t="s">
        <v>17</v>
      </c>
      <c r="U508" t="s">
        <v>17</v>
      </c>
    </row>
    <row r="509" spans="1:21">
      <c r="A509" s="1" t="s">
        <v>1602</v>
      </c>
      <c r="B509" s="1" t="s">
        <v>1603</v>
      </c>
      <c r="C509" s="1" t="s">
        <v>101</v>
      </c>
      <c r="D509" s="1" t="s">
        <v>124</v>
      </c>
      <c r="E509" s="1" t="s">
        <v>103</v>
      </c>
      <c r="F509" s="1" t="s">
        <v>378</v>
      </c>
      <c r="G509" s="1" t="s">
        <v>1604</v>
      </c>
      <c r="H509" s="1" t="s">
        <v>127</v>
      </c>
      <c r="I509" s="1" t="s">
        <v>131</v>
      </c>
      <c r="J509" s="1"/>
      <c r="K509" s="9">
        <v>15917.84</v>
      </c>
      <c r="L509" s="1" t="s">
        <v>132</v>
      </c>
      <c r="M509" s="1" t="s">
        <v>15</v>
      </c>
      <c r="N509" s="1" t="s">
        <v>2854</v>
      </c>
      <c r="O509" s="1" t="s">
        <v>314</v>
      </c>
      <c r="P509" s="1">
        <v>0</v>
      </c>
      <c r="Q509" s="1" t="s">
        <v>378</v>
      </c>
      <c r="R509" t="s">
        <v>2825</v>
      </c>
      <c r="S509" t="s">
        <v>3546</v>
      </c>
      <c r="T509" t="s">
        <v>3547</v>
      </c>
      <c r="U509" t="s">
        <v>17</v>
      </c>
    </row>
    <row r="510" spans="1:21">
      <c r="A510" s="1" t="s">
        <v>2528</v>
      </c>
      <c r="B510" s="1" t="s">
        <v>17</v>
      </c>
      <c r="C510" s="1" t="s">
        <v>33</v>
      </c>
      <c r="D510" s="1" t="s">
        <v>2391</v>
      </c>
      <c r="E510" s="1" t="s">
        <v>103</v>
      </c>
      <c r="F510" s="1" t="s">
        <v>1196</v>
      </c>
      <c r="G510" s="1"/>
      <c r="H510" s="1" t="s">
        <v>2379</v>
      </c>
      <c r="I510" s="1" t="s">
        <v>2380</v>
      </c>
      <c r="J510" s="1"/>
      <c r="K510" s="9">
        <v>-24387.29</v>
      </c>
      <c r="L510" s="1" t="s">
        <v>2494</v>
      </c>
      <c r="M510" s="1" t="s">
        <v>15</v>
      </c>
      <c r="N510" s="1" t="s">
        <v>2829</v>
      </c>
      <c r="O510" s="1" t="s">
        <v>1196</v>
      </c>
      <c r="P510" s="1">
        <v>0</v>
      </c>
      <c r="Q510" s="1" t="s">
        <v>1196</v>
      </c>
      <c r="R510" t="s">
        <v>2825</v>
      </c>
      <c r="S510" t="s">
        <v>2829</v>
      </c>
      <c r="T510" t="s">
        <v>17</v>
      </c>
      <c r="U510" t="s">
        <v>17</v>
      </c>
    </row>
    <row r="511" spans="1:21">
      <c r="A511" s="1" t="s">
        <v>2328</v>
      </c>
      <c r="B511" s="1" t="s">
        <v>2329</v>
      </c>
      <c r="C511" s="1" t="s">
        <v>101</v>
      </c>
      <c r="D511" s="1" t="s">
        <v>124</v>
      </c>
      <c r="E511" s="1" t="s">
        <v>103</v>
      </c>
      <c r="F511" s="1" t="s">
        <v>576</v>
      </c>
      <c r="G511" s="1" t="s">
        <v>2330</v>
      </c>
      <c r="H511" s="1" t="s">
        <v>127</v>
      </c>
      <c r="I511" s="1" t="s">
        <v>131</v>
      </c>
      <c r="J511" s="1"/>
      <c r="K511" s="9">
        <v>11728.94</v>
      </c>
      <c r="L511" s="1" t="s">
        <v>132</v>
      </c>
      <c r="M511" s="1" t="s">
        <v>15</v>
      </c>
      <c r="N511" s="1" t="s">
        <v>3135</v>
      </c>
      <c r="O511" s="1" t="s">
        <v>190</v>
      </c>
      <c r="P511" s="1">
        <v>0</v>
      </c>
      <c r="Q511" s="1" t="s">
        <v>576</v>
      </c>
      <c r="R511" t="s">
        <v>2825</v>
      </c>
      <c r="S511" t="s">
        <v>3548</v>
      </c>
      <c r="T511" t="s">
        <v>3549</v>
      </c>
      <c r="U511" t="s">
        <v>17</v>
      </c>
    </row>
    <row r="512" spans="1:21">
      <c r="A512" s="1" t="s">
        <v>2803</v>
      </c>
      <c r="B512" s="1" t="s">
        <v>2804</v>
      </c>
      <c r="C512" s="1" t="s">
        <v>42</v>
      </c>
      <c r="D512" s="1" t="s">
        <v>42</v>
      </c>
      <c r="E512" s="1" t="s">
        <v>103</v>
      </c>
      <c r="F512" s="1" t="s">
        <v>104</v>
      </c>
      <c r="G512" s="1"/>
      <c r="H512" s="1" t="s">
        <v>2379</v>
      </c>
      <c r="I512" s="1" t="s">
        <v>2380</v>
      </c>
      <c r="J512" s="1"/>
      <c r="K512" s="9">
        <v>23666.83</v>
      </c>
      <c r="L512" s="1" t="s">
        <v>2535</v>
      </c>
      <c r="M512" s="1" t="s">
        <v>15</v>
      </c>
      <c r="N512" s="1" t="s">
        <v>3056</v>
      </c>
      <c r="O512" s="1" t="s">
        <v>104</v>
      </c>
      <c r="P512" s="1">
        <v>0</v>
      </c>
      <c r="Q512" s="1" t="s">
        <v>104</v>
      </c>
      <c r="R512" t="s">
        <v>2823</v>
      </c>
      <c r="S512" t="s">
        <v>3056</v>
      </c>
      <c r="T512" t="s">
        <v>17</v>
      </c>
      <c r="U512" t="s">
        <v>17</v>
      </c>
    </row>
    <row r="513" spans="1:21">
      <c r="A513" s="1" t="s">
        <v>2196</v>
      </c>
      <c r="B513" s="1" t="s">
        <v>2197</v>
      </c>
      <c r="C513" s="1" t="s">
        <v>101</v>
      </c>
      <c r="D513" s="1" t="s">
        <v>124</v>
      </c>
      <c r="E513" s="1" t="s">
        <v>103</v>
      </c>
      <c r="F513" s="1" t="s">
        <v>2199</v>
      </c>
      <c r="G513" s="1" t="s">
        <v>2198</v>
      </c>
      <c r="H513" s="1" t="s">
        <v>127</v>
      </c>
      <c r="I513" s="1" t="s">
        <v>131</v>
      </c>
      <c r="J513" s="1"/>
      <c r="K513" s="9">
        <v>15708.4</v>
      </c>
      <c r="L513" s="1" t="s">
        <v>132</v>
      </c>
      <c r="M513" s="1" t="s">
        <v>15</v>
      </c>
      <c r="N513" s="1" t="s">
        <v>2839</v>
      </c>
      <c r="O513" s="1" t="s">
        <v>338</v>
      </c>
      <c r="P513" s="1">
        <v>0</v>
      </c>
      <c r="Q513" s="1" t="s">
        <v>2199</v>
      </c>
      <c r="R513" t="s">
        <v>2825</v>
      </c>
      <c r="S513" t="s">
        <v>3550</v>
      </c>
      <c r="T513" t="s">
        <v>3551</v>
      </c>
      <c r="U513" t="s">
        <v>17</v>
      </c>
    </row>
    <row r="514" spans="1:21">
      <c r="A514" s="1" t="s">
        <v>1327</v>
      </c>
      <c r="B514" s="1" t="s">
        <v>1328</v>
      </c>
      <c r="C514" s="1" t="s">
        <v>101</v>
      </c>
      <c r="D514" s="1" t="s">
        <v>102</v>
      </c>
      <c r="E514" s="1" t="s">
        <v>103</v>
      </c>
      <c r="F514" s="1" t="s">
        <v>333</v>
      </c>
      <c r="G514" s="1"/>
      <c r="H514" s="1" t="s">
        <v>106</v>
      </c>
      <c r="I514" s="1" t="s">
        <v>108</v>
      </c>
      <c r="J514" s="1" t="s">
        <v>109</v>
      </c>
      <c r="K514" s="9">
        <v>-56340.800000000003</v>
      </c>
      <c r="L514" s="1" t="s">
        <v>110</v>
      </c>
      <c r="M514" s="1" t="s">
        <v>15</v>
      </c>
      <c r="N514" s="1" t="s">
        <v>2948</v>
      </c>
      <c r="O514" s="1" t="s">
        <v>958</v>
      </c>
      <c r="P514" s="1">
        <v>0</v>
      </c>
      <c r="Q514" s="1" t="s">
        <v>333</v>
      </c>
      <c r="R514" t="s">
        <v>2823</v>
      </c>
      <c r="S514" t="s">
        <v>3552</v>
      </c>
      <c r="T514" t="s">
        <v>17</v>
      </c>
      <c r="U514" t="s">
        <v>3553</v>
      </c>
    </row>
    <row r="515" spans="1:21">
      <c r="A515" s="1" t="s">
        <v>361</v>
      </c>
      <c r="B515" s="1" t="s">
        <v>362</v>
      </c>
      <c r="C515" s="1" t="s">
        <v>101</v>
      </c>
      <c r="D515" s="1" t="s">
        <v>102</v>
      </c>
      <c r="E515" s="1" t="s">
        <v>103</v>
      </c>
      <c r="F515" s="1" t="s">
        <v>363</v>
      </c>
      <c r="G515" s="1"/>
      <c r="H515" s="1" t="s">
        <v>106</v>
      </c>
      <c r="I515" s="1" t="s">
        <v>108</v>
      </c>
      <c r="J515" s="1" t="s">
        <v>230</v>
      </c>
      <c r="K515" s="9">
        <v>-36588.019999999997</v>
      </c>
      <c r="L515" s="1" t="s">
        <v>110</v>
      </c>
      <c r="M515" s="1" t="s">
        <v>15</v>
      </c>
      <c r="N515" s="1" t="s">
        <v>3167</v>
      </c>
      <c r="O515" s="1" t="s">
        <v>1807</v>
      </c>
      <c r="P515" s="1">
        <v>0</v>
      </c>
      <c r="Q515" s="1" t="s">
        <v>1807</v>
      </c>
      <c r="R515" t="s">
        <v>2823</v>
      </c>
      <c r="S515" t="s">
        <v>3167</v>
      </c>
      <c r="T515" t="s">
        <v>17</v>
      </c>
      <c r="U515" t="s">
        <v>3554</v>
      </c>
    </row>
    <row r="516" spans="1:21">
      <c r="A516" s="1" t="s">
        <v>263</v>
      </c>
      <c r="B516" s="1" t="s">
        <v>264</v>
      </c>
      <c r="C516" s="1" t="s">
        <v>36</v>
      </c>
      <c r="D516" s="1" t="s">
        <v>124</v>
      </c>
      <c r="E516" s="1" t="s">
        <v>103</v>
      </c>
      <c r="F516" s="1" t="s">
        <v>265</v>
      </c>
      <c r="G516" s="1" t="s">
        <v>266</v>
      </c>
      <c r="H516" s="1" t="s">
        <v>127</v>
      </c>
      <c r="I516" s="1" t="s">
        <v>131</v>
      </c>
      <c r="J516" s="1"/>
      <c r="K516" s="9">
        <v>8260</v>
      </c>
      <c r="L516" s="1" t="s">
        <v>243</v>
      </c>
      <c r="M516" s="1" t="s">
        <v>15</v>
      </c>
      <c r="N516" s="1" t="s">
        <v>2831</v>
      </c>
      <c r="O516" s="1" t="s">
        <v>1418</v>
      </c>
      <c r="P516" s="1">
        <v>0</v>
      </c>
      <c r="Q516" s="1" t="s">
        <v>265</v>
      </c>
      <c r="R516" t="s">
        <v>2825</v>
      </c>
      <c r="S516" t="s">
        <v>3555</v>
      </c>
      <c r="T516" t="s">
        <v>3556</v>
      </c>
      <c r="U516" t="s">
        <v>17</v>
      </c>
    </row>
    <row r="517" spans="1:21">
      <c r="A517" s="1" t="s">
        <v>2529</v>
      </c>
      <c r="B517" s="1" t="s">
        <v>17</v>
      </c>
      <c r="C517" s="1" t="s">
        <v>33</v>
      </c>
      <c r="D517" s="1" t="s">
        <v>2391</v>
      </c>
      <c r="E517" s="1" t="s">
        <v>103</v>
      </c>
      <c r="F517" s="1" t="s">
        <v>1986</v>
      </c>
      <c r="G517" s="1"/>
      <c r="H517" s="1" t="s">
        <v>2379</v>
      </c>
      <c r="I517" s="1" t="s">
        <v>2380</v>
      </c>
      <c r="J517" s="1"/>
      <c r="K517" s="9">
        <v>-95507.05</v>
      </c>
      <c r="L517" s="1" t="s">
        <v>2494</v>
      </c>
      <c r="M517" s="1" t="s">
        <v>15</v>
      </c>
      <c r="N517" s="1" t="s">
        <v>2830</v>
      </c>
      <c r="O517" s="1" t="s">
        <v>1986</v>
      </c>
      <c r="P517" s="1">
        <v>0</v>
      </c>
      <c r="Q517" s="1" t="s">
        <v>1986</v>
      </c>
      <c r="R517" t="s">
        <v>2823</v>
      </c>
      <c r="S517" t="s">
        <v>2830</v>
      </c>
      <c r="T517" t="s">
        <v>17</v>
      </c>
      <c r="U517" t="s">
        <v>17</v>
      </c>
    </row>
    <row r="518" spans="1:21">
      <c r="A518" s="1" t="s">
        <v>2805</v>
      </c>
      <c r="B518" s="1" t="s">
        <v>2788</v>
      </c>
      <c r="C518" s="1" t="s">
        <v>42</v>
      </c>
      <c r="D518" s="1" t="s">
        <v>42</v>
      </c>
      <c r="E518" s="1" t="s">
        <v>103</v>
      </c>
      <c r="F518" s="1" t="s">
        <v>428</v>
      </c>
      <c r="G518" s="1"/>
      <c r="H518" s="1" t="s">
        <v>2379</v>
      </c>
      <c r="I518" s="1" t="s">
        <v>2380</v>
      </c>
      <c r="J518" s="1"/>
      <c r="K518" s="9">
        <v>-16546.18</v>
      </c>
      <c r="L518" s="1" t="s">
        <v>2535</v>
      </c>
      <c r="M518" s="1" t="s">
        <v>15</v>
      </c>
      <c r="N518" s="1" t="s">
        <v>2921</v>
      </c>
      <c r="O518" s="1" t="s">
        <v>428</v>
      </c>
      <c r="P518" s="1">
        <v>0</v>
      </c>
      <c r="Q518" s="1" t="s">
        <v>428</v>
      </c>
      <c r="R518" t="s">
        <v>2825</v>
      </c>
      <c r="S518" t="s">
        <v>2921</v>
      </c>
      <c r="T518" t="s">
        <v>17</v>
      </c>
      <c r="U518" t="s">
        <v>17</v>
      </c>
    </row>
    <row r="519" spans="1:21">
      <c r="A519" s="1" t="s">
        <v>515</v>
      </c>
      <c r="B519" s="1" t="s">
        <v>516</v>
      </c>
      <c r="C519" s="1" t="s">
        <v>101</v>
      </c>
      <c r="D519" s="1" t="s">
        <v>124</v>
      </c>
      <c r="E519" s="1" t="s">
        <v>103</v>
      </c>
      <c r="F519" s="1" t="s">
        <v>517</v>
      </c>
      <c r="G519" s="1" t="s">
        <v>518</v>
      </c>
      <c r="H519" s="1" t="s">
        <v>127</v>
      </c>
      <c r="I519" s="1" t="s">
        <v>131</v>
      </c>
      <c r="J519" s="1"/>
      <c r="K519" s="9">
        <v>8377.82</v>
      </c>
      <c r="L519" s="1" t="s">
        <v>132</v>
      </c>
      <c r="M519" s="1" t="s">
        <v>15</v>
      </c>
      <c r="N519" s="1" t="s">
        <v>2948</v>
      </c>
      <c r="O519" s="1" t="s">
        <v>958</v>
      </c>
      <c r="P519" s="1">
        <v>0</v>
      </c>
      <c r="Q519" s="1" t="s">
        <v>517</v>
      </c>
      <c r="R519" t="s">
        <v>2825</v>
      </c>
      <c r="S519" t="s">
        <v>3557</v>
      </c>
      <c r="T519" t="s">
        <v>3558</v>
      </c>
      <c r="U519" t="s">
        <v>17</v>
      </c>
    </row>
    <row r="520" spans="1:21">
      <c r="A520" s="1" t="s">
        <v>2806</v>
      </c>
      <c r="B520" s="1" t="s">
        <v>2762</v>
      </c>
      <c r="C520" s="1" t="s">
        <v>42</v>
      </c>
      <c r="D520" s="1" t="s">
        <v>42</v>
      </c>
      <c r="E520" s="1" t="s">
        <v>103</v>
      </c>
      <c r="F520" s="1" t="s">
        <v>1678</v>
      </c>
      <c r="G520" s="1"/>
      <c r="H520" s="1" t="s">
        <v>2379</v>
      </c>
      <c r="I520" s="1" t="s">
        <v>2380</v>
      </c>
      <c r="J520" s="1"/>
      <c r="K520" s="9">
        <v>15498.94</v>
      </c>
      <c r="L520" s="1" t="s">
        <v>2535</v>
      </c>
      <c r="M520" s="1" t="s">
        <v>15</v>
      </c>
      <c r="N520" s="1" t="s">
        <v>2993</v>
      </c>
      <c r="O520" s="1" t="s">
        <v>1678</v>
      </c>
      <c r="P520" s="1">
        <v>0</v>
      </c>
      <c r="Q520" s="1" t="s">
        <v>1678</v>
      </c>
      <c r="R520" t="s">
        <v>2825</v>
      </c>
      <c r="S520" t="s">
        <v>2993</v>
      </c>
      <c r="T520" t="s">
        <v>17</v>
      </c>
      <c r="U520" t="s">
        <v>17</v>
      </c>
    </row>
    <row r="521" spans="1:21">
      <c r="A521" s="1" t="s">
        <v>1086</v>
      </c>
      <c r="B521" s="1" t="s">
        <v>1087</v>
      </c>
      <c r="C521" s="1" t="s">
        <v>40</v>
      </c>
      <c r="D521" s="1" t="s">
        <v>124</v>
      </c>
      <c r="E521" s="1" t="s">
        <v>103</v>
      </c>
      <c r="F521" s="1" t="s">
        <v>1088</v>
      </c>
      <c r="G521" s="1" t="s">
        <v>1089</v>
      </c>
      <c r="H521" s="1" t="s">
        <v>127</v>
      </c>
      <c r="I521" s="1" t="s">
        <v>131</v>
      </c>
      <c r="J521" s="1"/>
      <c r="K521" s="9">
        <v>15917.84</v>
      </c>
      <c r="L521" s="1" t="s">
        <v>146</v>
      </c>
      <c r="M521" s="1" t="s">
        <v>15</v>
      </c>
      <c r="N521" s="1" t="s">
        <v>2827</v>
      </c>
      <c r="O521" s="1" t="s">
        <v>258</v>
      </c>
      <c r="P521" s="1">
        <v>0</v>
      </c>
      <c r="Q521" s="1" t="s">
        <v>1088</v>
      </c>
      <c r="R521" t="s">
        <v>2825</v>
      </c>
      <c r="S521" t="s">
        <v>3559</v>
      </c>
      <c r="T521" t="s">
        <v>3560</v>
      </c>
      <c r="U521" t="s">
        <v>17</v>
      </c>
    </row>
    <row r="522" spans="1:21">
      <c r="A522" s="1" t="s">
        <v>747</v>
      </c>
      <c r="B522" s="1" t="s">
        <v>748</v>
      </c>
      <c r="C522" s="1" t="s">
        <v>101</v>
      </c>
      <c r="D522" s="1" t="s">
        <v>124</v>
      </c>
      <c r="E522" s="1" t="s">
        <v>103</v>
      </c>
      <c r="F522" s="1" t="s">
        <v>750</v>
      </c>
      <c r="G522" s="1" t="s">
        <v>749</v>
      </c>
      <c r="H522" s="1" t="s">
        <v>127</v>
      </c>
      <c r="I522" s="1" t="s">
        <v>131</v>
      </c>
      <c r="J522" s="1"/>
      <c r="K522" s="9">
        <v>14032.83</v>
      </c>
      <c r="L522" s="1" t="s">
        <v>132</v>
      </c>
      <c r="M522" s="1" t="s">
        <v>15</v>
      </c>
      <c r="N522" s="1" t="s">
        <v>2865</v>
      </c>
      <c r="O522" s="1" t="s">
        <v>1052</v>
      </c>
      <c r="P522" s="1">
        <v>0</v>
      </c>
      <c r="Q522" s="1" t="s">
        <v>750</v>
      </c>
      <c r="R522" t="s">
        <v>2825</v>
      </c>
      <c r="S522" t="s">
        <v>3561</v>
      </c>
      <c r="T522" t="s">
        <v>3562</v>
      </c>
      <c r="U522" t="s">
        <v>17</v>
      </c>
    </row>
    <row r="523" spans="1:21">
      <c r="A523" s="1" t="s">
        <v>2807</v>
      </c>
      <c r="B523" s="1" t="s">
        <v>2804</v>
      </c>
      <c r="C523" s="1" t="s">
        <v>42</v>
      </c>
      <c r="D523" s="1" t="s">
        <v>42</v>
      </c>
      <c r="E523" s="1" t="s">
        <v>103</v>
      </c>
      <c r="F523" s="1" t="s">
        <v>104</v>
      </c>
      <c r="G523" s="1"/>
      <c r="H523" s="1" t="s">
        <v>2379</v>
      </c>
      <c r="I523" s="1" t="s">
        <v>2380</v>
      </c>
      <c r="J523" s="1"/>
      <c r="K523" s="9">
        <v>-23667.33</v>
      </c>
      <c r="L523" s="1" t="s">
        <v>2535</v>
      </c>
      <c r="M523" s="1" t="s">
        <v>15</v>
      </c>
      <c r="N523" s="1" t="s">
        <v>3056</v>
      </c>
      <c r="O523" s="1" t="s">
        <v>104</v>
      </c>
      <c r="P523" s="1">
        <v>0</v>
      </c>
      <c r="Q523" s="1" t="s">
        <v>104</v>
      </c>
      <c r="R523" t="s">
        <v>2823</v>
      </c>
      <c r="S523" t="s">
        <v>3056</v>
      </c>
      <c r="T523" t="s">
        <v>17</v>
      </c>
      <c r="U523" t="s">
        <v>17</v>
      </c>
    </row>
    <row r="524" spans="1:21">
      <c r="A524" s="1" t="s">
        <v>1340</v>
      </c>
      <c r="B524" s="1" t="s">
        <v>1341</v>
      </c>
      <c r="C524" s="1" t="s">
        <v>101</v>
      </c>
      <c r="D524" s="1" t="s">
        <v>124</v>
      </c>
      <c r="E524" s="1" t="s">
        <v>103</v>
      </c>
      <c r="F524" s="1" t="s">
        <v>1345</v>
      </c>
      <c r="G524" s="1" t="s">
        <v>1343</v>
      </c>
      <c r="H524" s="1" t="s">
        <v>127</v>
      </c>
      <c r="I524" s="1" t="s">
        <v>131</v>
      </c>
      <c r="J524" s="1"/>
      <c r="K524" s="9">
        <v>17174.509999999998</v>
      </c>
      <c r="L524" s="1" t="s">
        <v>132</v>
      </c>
      <c r="M524" s="1" t="s">
        <v>15</v>
      </c>
      <c r="N524" s="1" t="s">
        <v>3000</v>
      </c>
      <c r="O524" s="1" t="s">
        <v>875</v>
      </c>
      <c r="P524" s="1">
        <v>0</v>
      </c>
      <c r="Q524" s="1" t="s">
        <v>1345</v>
      </c>
      <c r="R524" t="s">
        <v>2825</v>
      </c>
      <c r="S524" t="s">
        <v>3563</v>
      </c>
      <c r="T524" t="s">
        <v>3564</v>
      </c>
      <c r="U524" t="s">
        <v>17</v>
      </c>
    </row>
    <row r="525" spans="1:21">
      <c r="A525" s="1" t="s">
        <v>1022</v>
      </c>
      <c r="B525" s="1" t="s">
        <v>1023</v>
      </c>
      <c r="C525" s="1" t="s">
        <v>36</v>
      </c>
      <c r="D525" s="1" t="s">
        <v>124</v>
      </c>
      <c r="E525" s="1" t="s">
        <v>103</v>
      </c>
      <c r="F525" s="1" t="s">
        <v>673</v>
      </c>
      <c r="G525" s="1" t="s">
        <v>1024</v>
      </c>
      <c r="H525" s="1" t="s">
        <v>127</v>
      </c>
      <c r="I525" s="1" t="s">
        <v>131</v>
      </c>
      <c r="J525" s="1"/>
      <c r="K525" s="9">
        <v>29500</v>
      </c>
      <c r="L525" s="1" t="s">
        <v>243</v>
      </c>
      <c r="M525" s="1" t="s">
        <v>15</v>
      </c>
      <c r="N525" s="1" t="s">
        <v>3185</v>
      </c>
      <c r="O525" s="1" t="s">
        <v>2259</v>
      </c>
      <c r="P525" s="1">
        <v>0</v>
      </c>
      <c r="Q525" s="1" t="s">
        <v>673</v>
      </c>
      <c r="R525" t="s">
        <v>2815</v>
      </c>
      <c r="S525" t="s">
        <v>3565</v>
      </c>
      <c r="T525" t="s">
        <v>3566</v>
      </c>
      <c r="U525" t="s">
        <v>17</v>
      </c>
    </row>
    <row r="526" spans="1:21">
      <c r="A526" s="1" t="s">
        <v>1764</v>
      </c>
      <c r="B526" s="1" t="s">
        <v>1765</v>
      </c>
      <c r="C526" s="1" t="s">
        <v>40</v>
      </c>
      <c r="D526" s="1" t="s">
        <v>124</v>
      </c>
      <c r="E526" s="1" t="s">
        <v>103</v>
      </c>
      <c r="F526" s="1" t="s">
        <v>787</v>
      </c>
      <c r="G526" s="1" t="s">
        <v>1766</v>
      </c>
      <c r="H526" s="1" t="s">
        <v>127</v>
      </c>
      <c r="I526" s="1" t="s">
        <v>131</v>
      </c>
      <c r="J526" s="1"/>
      <c r="K526" s="9">
        <v>15498.94</v>
      </c>
      <c r="L526" s="1" t="s">
        <v>146</v>
      </c>
      <c r="M526" s="1" t="s">
        <v>15</v>
      </c>
      <c r="N526" s="1" t="s">
        <v>2892</v>
      </c>
      <c r="O526" s="1" t="s">
        <v>1110</v>
      </c>
      <c r="P526" s="1">
        <v>0</v>
      </c>
      <c r="Q526" s="1" t="s">
        <v>787</v>
      </c>
      <c r="R526" t="s">
        <v>2825</v>
      </c>
      <c r="S526" t="s">
        <v>3567</v>
      </c>
      <c r="T526" t="s">
        <v>3568</v>
      </c>
      <c r="U5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Varkur, Vaishnavi</cp:lastModifiedBy>
  <cp:revision/>
  <dcterms:created xsi:type="dcterms:W3CDTF">2026-08-03T11:35:59Z</dcterms:created>
  <dcterms:modified xsi:type="dcterms:W3CDTF">2026-08-06T04:41:50Z</dcterms:modified>
  <cp:category/>
  <cp:contentStatus/>
</cp:coreProperties>
</file>